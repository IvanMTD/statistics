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rachkov_is\Desktop\ИИМАХ\"/>
    </mc:Choice>
  </mc:AlternateContent>
  <xr:revisionPtr revIDLastSave="0" documentId="13_ncr:1_{459C30E1-67F0-4576-94E6-E97FC1AF1D9E}" xr6:coauthVersionLast="47" xr6:coauthVersionMax="47" xr10:uidLastSave="{00000000-0000-0000-0000-000000000000}"/>
  <workbookProtection workbookAlgorithmName="SHA-512" workbookHashValue="g8k8e5kjE9v+GYD1IjgZ8v8dHhqcJj8gV1kNIApCs6XhuQlSbbv2Jf3OI7rbYBC4FIwmJsEpSBpFGKiJDFkysA==" workbookSaltValue="yjQ7AHmK62kVi7/VInkN8g==" workbookSpinCount="100000" lockStructure="1"/>
  <bookViews>
    <workbookView xWindow="-120" yWindow="-120" windowWidth="29040" windowHeight="15720" tabRatio="719" activeTab="2" xr2:uid="{B7F3AD7A-508F-44A1-920E-6CDE18D04167}"/>
  </bookViews>
  <sheets>
    <sheet name="Раздел 0" sheetId="25" r:id="rId1"/>
    <sheet name="Раздел 1" sheetId="17" r:id="rId2"/>
    <sheet name="Раздел 2" sheetId="3" r:id="rId3"/>
    <sheet name="Раздел 3" sheetId="6" r:id="rId4"/>
    <sheet name="Раздел 4" sheetId="8" r:id="rId5"/>
    <sheet name="Раздел 5" sheetId="10" r:id="rId6"/>
    <sheet name="Раздел 6" sheetId="11" r:id="rId7"/>
    <sheet name="Раздел 7" sheetId="12" r:id="rId8"/>
    <sheet name="Раздел 8" sheetId="13" r:id="rId9"/>
    <sheet name="Раздел 9" sheetId="14" r:id="rId10"/>
    <sheet name="Раздел 10" sheetId="16" r:id="rId11"/>
    <sheet name="Раздел 11" sheetId="15" r:id="rId12"/>
  </sheets>
  <definedNames>
    <definedName name="_xlnm._FilterDatabase" localSheetId="10" hidden="1">'Раздел 10'!$G$5:$X$5</definedName>
    <definedName name="_xlnm._FilterDatabase" localSheetId="2" hidden="1">'Раздел 2'!$A$10:$AH$323</definedName>
    <definedName name="_xlnm._FilterDatabase" localSheetId="3" hidden="1">'Раздел 3'!$G$10:$AM$323</definedName>
    <definedName name="_xlnm._FilterDatabase" localSheetId="4" hidden="1">'Раздел 4'!$G$1:$G$324</definedName>
    <definedName name="_xlnm._FilterDatabase" localSheetId="5" hidden="1">'Раздел 5'!$G$10:$AB$323</definedName>
    <definedName name="_xlnm._FilterDatabase" localSheetId="6" hidden="1">'Раздел 6'!$G$10:$AR$323</definedName>
    <definedName name="_xlnm._FilterDatabase" localSheetId="7" hidden="1">'Раздел 7'!$G$10:$H$10</definedName>
    <definedName name="_xlnm._FilterDatabase" localSheetId="8" hidden="1">'Раздел 8'!$G$10:$AM$323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6" i="3" l="1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I15" i="14"/>
  <c r="F10" i="3" a="1"/>
  <c r="F10" i="3" s="1"/>
  <c r="B10" i="3"/>
  <c r="F10" i="6" a="1"/>
  <c r="F10" i="6" s="1"/>
  <c r="B10" i="6"/>
  <c r="F10" i="8" a="1"/>
  <c r="F10" i="8" s="1"/>
  <c r="B10" i="8"/>
  <c r="F10" i="10" a="1"/>
  <c r="F10" i="10" s="1"/>
  <c r="B10" i="10"/>
  <c r="F10" i="11" a="1"/>
  <c r="F10" i="11" s="1"/>
  <c r="B10" i="11"/>
  <c r="F10" i="12" a="1"/>
  <c r="F10" i="12" s="1"/>
  <c r="B10" i="12"/>
  <c r="F10" i="13" a="1"/>
  <c r="F10" i="13" s="1"/>
  <c r="B10" i="13"/>
  <c r="F7" i="14" a="1"/>
  <c r="F7" i="14" s="1"/>
  <c r="B7" i="14"/>
  <c r="F5" i="16" a="1"/>
  <c r="F5" i="16" s="1"/>
  <c r="B5" i="16"/>
  <c r="F4" i="15" a="1"/>
  <c r="F4" i="15" s="1"/>
  <c r="B4" i="15"/>
  <c r="A7" i="14"/>
  <c r="A5" i="16"/>
  <c r="A4" i="15"/>
  <c r="A10" i="13"/>
  <c r="A10" i="12"/>
  <c r="A10" i="11"/>
  <c r="A10" i="10"/>
  <c r="A10" i="8"/>
  <c r="A10" i="6"/>
  <c r="A10" i="3"/>
  <c r="J21" i="16"/>
  <c r="J310" i="13"/>
  <c r="I310" i="13" s="1"/>
  <c r="AL271" i="13"/>
  <c r="K271" i="13"/>
  <c r="L271" i="13"/>
  <c r="M271" i="13"/>
  <c r="N271" i="13"/>
  <c r="O271" i="13"/>
  <c r="P271" i="13"/>
  <c r="Q271" i="13"/>
  <c r="R271" i="13"/>
  <c r="S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AJ271" i="13"/>
  <c r="AK271" i="13"/>
  <c r="J271" i="13"/>
  <c r="BL271" i="12"/>
  <c r="P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U271" i="12"/>
  <c r="AV271" i="12"/>
  <c r="AW271" i="12"/>
  <c r="AX271" i="12"/>
  <c r="AY271" i="12"/>
  <c r="AZ271" i="12"/>
  <c r="BA271" i="12"/>
  <c r="BB271" i="12"/>
  <c r="BC271" i="12"/>
  <c r="BD271" i="12"/>
  <c r="BE271" i="12"/>
  <c r="BF271" i="12"/>
  <c r="BG271" i="12"/>
  <c r="BH271" i="12"/>
  <c r="BI271" i="12"/>
  <c r="BJ271" i="12"/>
  <c r="BK271" i="12"/>
  <c r="O271" i="12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J271" i="11"/>
  <c r="AK271" i="11"/>
  <c r="AL271" i="11"/>
  <c r="AM271" i="11"/>
  <c r="AN271" i="11"/>
  <c r="AO271" i="11"/>
  <c r="AP271" i="11"/>
  <c r="AQ271" i="11"/>
  <c r="AR271" i="11"/>
  <c r="O271" i="11"/>
  <c r="K271" i="10"/>
  <c r="AB271" i="10"/>
  <c r="AA271" i="10"/>
  <c r="Y271" i="10"/>
  <c r="X271" i="10"/>
  <c r="V271" i="10"/>
  <c r="U271" i="10"/>
  <c r="R271" i="10"/>
  <c r="Q271" i="10"/>
  <c r="O271" i="10"/>
  <c r="N271" i="10"/>
  <c r="L271" i="10"/>
  <c r="P12" i="8"/>
  <c r="P13" i="8"/>
  <c r="P14" i="8"/>
  <c r="P15" i="8"/>
  <c r="P16" i="8"/>
  <c r="P18" i="8"/>
  <c r="P19" i="8"/>
  <c r="P20" i="8"/>
  <c r="P21" i="8"/>
  <c r="P22" i="8"/>
  <c r="P23" i="8"/>
  <c r="P24" i="8"/>
  <c r="P25" i="8"/>
  <c r="P27" i="8"/>
  <c r="P28" i="8"/>
  <c r="P29" i="8"/>
  <c r="P30" i="8"/>
  <c r="P31" i="8"/>
  <c r="P32" i="8"/>
  <c r="P33" i="8"/>
  <c r="P35" i="8"/>
  <c r="P36" i="8"/>
  <c r="P37" i="8"/>
  <c r="P38" i="8"/>
  <c r="P39" i="8"/>
  <c r="P40" i="8"/>
  <c r="P41" i="8"/>
  <c r="P42" i="8"/>
  <c r="P43" i="8"/>
  <c r="P44" i="8"/>
  <c r="P46" i="8"/>
  <c r="P47" i="8"/>
  <c r="P48" i="8"/>
  <c r="P49" i="8"/>
  <c r="P50" i="8"/>
  <c r="P51" i="8"/>
  <c r="P52" i="8"/>
  <c r="P54" i="8"/>
  <c r="P55" i="8"/>
  <c r="P56" i="8"/>
  <c r="P57" i="8"/>
  <c r="P58" i="8"/>
  <c r="P59" i="8"/>
  <c r="P60" i="8"/>
  <c r="P61" i="8"/>
  <c r="P62" i="8"/>
  <c r="P63" i="8"/>
  <c r="P65" i="8"/>
  <c r="P66" i="8"/>
  <c r="P67" i="8"/>
  <c r="P68" i="8"/>
  <c r="P69" i="8"/>
  <c r="P71" i="8"/>
  <c r="P72" i="8"/>
  <c r="P73" i="8"/>
  <c r="P74" i="8"/>
  <c r="P75" i="8"/>
  <c r="P77" i="8"/>
  <c r="P78" i="8"/>
  <c r="P79" i="8"/>
  <c r="P80" i="8"/>
  <c r="P81" i="8"/>
  <c r="P82" i="8"/>
  <c r="P83" i="8"/>
  <c r="P84" i="8"/>
  <c r="P85" i="8"/>
  <c r="P86" i="8"/>
  <c r="P87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3" i="8"/>
  <c r="P104" i="8"/>
  <c r="P105" i="8"/>
  <c r="P106" i="8"/>
  <c r="P107" i="8"/>
  <c r="P108" i="8"/>
  <c r="P109" i="8"/>
  <c r="P111" i="8"/>
  <c r="P112" i="8"/>
  <c r="P113" i="8"/>
  <c r="P114" i="8"/>
  <c r="P115" i="8"/>
  <c r="P116" i="8"/>
  <c r="P117" i="8"/>
  <c r="P118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1" i="8"/>
  <c r="P152" i="8"/>
  <c r="P153" i="8"/>
  <c r="P154" i="8"/>
  <c r="P155" i="8"/>
  <c r="P156" i="8"/>
  <c r="P157" i="8"/>
  <c r="P158" i="8"/>
  <c r="P160" i="8"/>
  <c r="P161" i="8"/>
  <c r="P162" i="8"/>
  <c r="P163" i="8"/>
  <c r="P164" i="8"/>
  <c r="P166" i="8"/>
  <c r="P167" i="8"/>
  <c r="P168" i="8"/>
  <c r="P169" i="8"/>
  <c r="P170" i="8"/>
  <c r="P171" i="8"/>
  <c r="P172" i="8"/>
  <c r="P173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4" i="8"/>
  <c r="P225" i="8"/>
  <c r="P226" i="8"/>
  <c r="P227" i="8"/>
  <c r="P228" i="8"/>
  <c r="P229" i="8"/>
  <c r="P230" i="8"/>
  <c r="P231" i="8"/>
  <c r="P232" i="8"/>
  <c r="P234" i="8"/>
  <c r="P235" i="8"/>
  <c r="P236" i="8"/>
  <c r="P237" i="8"/>
  <c r="P238" i="8"/>
  <c r="P239" i="8"/>
  <c r="P240" i="8"/>
  <c r="P241" i="8"/>
  <c r="P242" i="8"/>
  <c r="P244" i="8"/>
  <c r="P245" i="8"/>
  <c r="P246" i="8"/>
  <c r="P247" i="8"/>
  <c r="P248" i="8"/>
  <c r="P249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2" i="8"/>
  <c r="P273" i="8"/>
  <c r="P274" i="8"/>
  <c r="P275" i="8"/>
  <c r="P276" i="8"/>
  <c r="P277" i="8"/>
  <c r="P279" i="8"/>
  <c r="P280" i="8"/>
  <c r="P281" i="8"/>
  <c r="P282" i="8"/>
  <c r="P283" i="8"/>
  <c r="P284" i="8"/>
  <c r="P285" i="8"/>
  <c r="P286" i="8"/>
  <c r="P288" i="8"/>
  <c r="P289" i="8"/>
  <c r="P290" i="8"/>
  <c r="P291" i="8"/>
  <c r="P292" i="8"/>
  <c r="P293" i="8"/>
  <c r="P294" i="8"/>
  <c r="P296" i="8"/>
  <c r="P297" i="8"/>
  <c r="P298" i="8"/>
  <c r="P299" i="8"/>
  <c r="P300" i="8"/>
  <c r="P301" i="8"/>
  <c r="P302" i="8"/>
  <c r="P303" i="8"/>
  <c r="P305" i="8"/>
  <c r="P306" i="8"/>
  <c r="P307" i="8"/>
  <c r="P308" i="8"/>
  <c r="P309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V12" i="8"/>
  <c r="V13" i="8"/>
  <c r="V14" i="8"/>
  <c r="V15" i="8"/>
  <c r="V16" i="8"/>
  <c r="V18" i="8"/>
  <c r="U18" i="8" s="1"/>
  <c r="V19" i="8"/>
  <c r="V20" i="8"/>
  <c r="V21" i="8"/>
  <c r="V22" i="8"/>
  <c r="V23" i="8"/>
  <c r="V24" i="8"/>
  <c r="V25" i="8"/>
  <c r="V27" i="8"/>
  <c r="V28" i="8"/>
  <c r="V29" i="8"/>
  <c r="V30" i="8"/>
  <c r="V31" i="8"/>
  <c r="V32" i="8"/>
  <c r="V33" i="8"/>
  <c r="V35" i="8"/>
  <c r="V36" i="8"/>
  <c r="V37" i="8"/>
  <c r="V38" i="8"/>
  <c r="V39" i="8"/>
  <c r="V40" i="8"/>
  <c r="V41" i="8"/>
  <c r="V42" i="8"/>
  <c r="U42" i="8" s="1"/>
  <c r="V43" i="8"/>
  <c r="V44" i="8"/>
  <c r="V46" i="8"/>
  <c r="V47" i="8"/>
  <c r="V48" i="8"/>
  <c r="V49" i="8"/>
  <c r="V50" i="8"/>
  <c r="U50" i="8" s="1"/>
  <c r="V51" i="8"/>
  <c r="V52" i="8"/>
  <c r="V54" i="8"/>
  <c r="V55" i="8"/>
  <c r="V56" i="8"/>
  <c r="V57" i="8"/>
  <c r="V58" i="8"/>
  <c r="U58" i="8" s="1"/>
  <c r="V59" i="8"/>
  <c r="V60" i="8"/>
  <c r="V61" i="8"/>
  <c r="V62" i="8"/>
  <c r="V63" i="8"/>
  <c r="V65" i="8"/>
  <c r="V66" i="8"/>
  <c r="U66" i="8" s="1"/>
  <c r="V67" i="8"/>
  <c r="V68" i="8"/>
  <c r="V69" i="8"/>
  <c r="V71" i="8"/>
  <c r="V72" i="8"/>
  <c r="V73" i="8"/>
  <c r="V74" i="8"/>
  <c r="V75" i="8"/>
  <c r="V77" i="8"/>
  <c r="V78" i="8"/>
  <c r="V79" i="8"/>
  <c r="V80" i="8"/>
  <c r="V81" i="8"/>
  <c r="V82" i="8"/>
  <c r="U82" i="8" s="1"/>
  <c r="V83" i="8"/>
  <c r="V84" i="8"/>
  <c r="V85" i="8"/>
  <c r="V86" i="8"/>
  <c r="V87" i="8"/>
  <c r="V89" i="8"/>
  <c r="V90" i="8"/>
  <c r="U90" i="8" s="1"/>
  <c r="V91" i="8"/>
  <c r="V92" i="8"/>
  <c r="V93" i="8"/>
  <c r="V94" i="8"/>
  <c r="V95" i="8"/>
  <c r="V96" i="8"/>
  <c r="V97" i="8"/>
  <c r="V98" i="8"/>
  <c r="U98" i="8" s="1"/>
  <c r="V99" i="8"/>
  <c r="V100" i="8"/>
  <c r="V101" i="8"/>
  <c r="V103" i="8"/>
  <c r="V104" i="8"/>
  <c r="V105" i="8"/>
  <c r="V106" i="8"/>
  <c r="U106" i="8" s="1"/>
  <c r="V107" i="8"/>
  <c r="V108" i="8"/>
  <c r="V109" i="8"/>
  <c r="V111" i="8"/>
  <c r="V112" i="8"/>
  <c r="V113" i="8"/>
  <c r="V114" i="8"/>
  <c r="U114" i="8" s="1"/>
  <c r="V115" i="8"/>
  <c r="V116" i="8"/>
  <c r="V117" i="8"/>
  <c r="V118" i="8"/>
  <c r="V120" i="8"/>
  <c r="V121" i="8"/>
  <c r="V122" i="8"/>
  <c r="U122" i="8" s="1"/>
  <c r="V123" i="8"/>
  <c r="V124" i="8"/>
  <c r="V125" i="8"/>
  <c r="V126" i="8"/>
  <c r="V127" i="8"/>
  <c r="V128" i="8"/>
  <c r="V129" i="8"/>
  <c r="V130" i="8"/>
  <c r="U130" i="8" s="1"/>
  <c r="V131" i="8"/>
  <c r="V132" i="8"/>
  <c r="V133" i="8"/>
  <c r="V134" i="8"/>
  <c r="V135" i="8"/>
  <c r="V136" i="8"/>
  <c r="V137" i="8"/>
  <c r="V138" i="8"/>
  <c r="U138" i="8" s="1"/>
  <c r="V139" i="8"/>
  <c r="V140" i="8"/>
  <c r="V141" i="8"/>
  <c r="V142" i="8"/>
  <c r="V143" i="8"/>
  <c r="V144" i="8"/>
  <c r="V145" i="8"/>
  <c r="V146" i="8"/>
  <c r="U146" i="8" s="1"/>
  <c r="V147" i="8"/>
  <c r="V148" i="8"/>
  <c r="V149" i="8"/>
  <c r="V151" i="8"/>
  <c r="V152" i="8"/>
  <c r="V153" i="8"/>
  <c r="V154" i="8"/>
  <c r="U154" i="8" s="1"/>
  <c r="V155" i="8"/>
  <c r="V156" i="8"/>
  <c r="V157" i="8"/>
  <c r="V158" i="8"/>
  <c r="V160" i="8"/>
  <c r="V161" i="8"/>
  <c r="V162" i="8"/>
  <c r="U162" i="8" s="1"/>
  <c r="V163" i="8"/>
  <c r="V164" i="8"/>
  <c r="V166" i="8"/>
  <c r="V167" i="8"/>
  <c r="V168" i="8"/>
  <c r="V169" i="8"/>
  <c r="V170" i="8"/>
  <c r="U170" i="8" s="1"/>
  <c r="V171" i="8"/>
  <c r="V172" i="8"/>
  <c r="V173" i="8"/>
  <c r="V175" i="8"/>
  <c r="V176" i="8"/>
  <c r="V177" i="8"/>
  <c r="V178" i="8"/>
  <c r="U178" i="8" s="1"/>
  <c r="V179" i="8"/>
  <c r="V180" i="8"/>
  <c r="V181" i="8"/>
  <c r="V182" i="8"/>
  <c r="V183" i="8"/>
  <c r="V184" i="8"/>
  <c r="V185" i="8"/>
  <c r="V186" i="8"/>
  <c r="U186" i="8" s="1"/>
  <c r="V187" i="8"/>
  <c r="V188" i="8"/>
  <c r="V189" i="8"/>
  <c r="V190" i="8"/>
  <c r="V191" i="8"/>
  <c r="V192" i="8"/>
  <c r="V193" i="8"/>
  <c r="V194" i="8"/>
  <c r="U194" i="8" s="1"/>
  <c r="V196" i="8"/>
  <c r="V197" i="8"/>
  <c r="V198" i="8"/>
  <c r="V199" i="8"/>
  <c r="V200" i="8"/>
  <c r="V201" i="8"/>
  <c r="V202" i="8"/>
  <c r="U202" i="8" s="1"/>
  <c r="V203" i="8"/>
  <c r="V204" i="8"/>
  <c r="V205" i="8"/>
  <c r="V206" i="8"/>
  <c r="V207" i="8"/>
  <c r="V208" i="8"/>
  <c r="V209" i="8"/>
  <c r="V211" i="8"/>
  <c r="V212" i="8"/>
  <c r="V213" i="8"/>
  <c r="V214" i="8"/>
  <c r="V215" i="8"/>
  <c r="V216" i="8"/>
  <c r="V217" i="8"/>
  <c r="V218" i="8"/>
  <c r="U218" i="8" s="1"/>
  <c r="V219" i="8"/>
  <c r="V220" i="8"/>
  <c r="V221" i="8"/>
  <c r="V222" i="8"/>
  <c r="V224" i="8"/>
  <c r="V225" i="8"/>
  <c r="V226" i="8"/>
  <c r="U226" i="8" s="1"/>
  <c r="V227" i="8"/>
  <c r="V228" i="8"/>
  <c r="V229" i="8"/>
  <c r="V230" i="8"/>
  <c r="V231" i="8"/>
  <c r="V232" i="8"/>
  <c r="V234" i="8"/>
  <c r="U234" i="8" s="1"/>
  <c r="V235" i="8"/>
  <c r="V236" i="8"/>
  <c r="V237" i="8"/>
  <c r="V238" i="8"/>
  <c r="V239" i="8"/>
  <c r="V240" i="8"/>
  <c r="V241" i="8"/>
  <c r="V242" i="8"/>
  <c r="U242" i="8" s="1"/>
  <c r="V244" i="8"/>
  <c r="V245" i="8"/>
  <c r="V246" i="8"/>
  <c r="V247" i="8"/>
  <c r="V248" i="8"/>
  <c r="V249" i="8"/>
  <c r="V251" i="8"/>
  <c r="V252" i="8"/>
  <c r="V253" i="8"/>
  <c r="V254" i="8"/>
  <c r="V255" i="8"/>
  <c r="V256" i="8"/>
  <c r="V257" i="8"/>
  <c r="V258" i="8"/>
  <c r="U258" i="8" s="1"/>
  <c r="V259" i="8"/>
  <c r="V260" i="8"/>
  <c r="V261" i="8"/>
  <c r="V262" i="8"/>
  <c r="V263" i="8"/>
  <c r="V264" i="8"/>
  <c r="V265" i="8"/>
  <c r="V266" i="8"/>
  <c r="U266" i="8" s="1"/>
  <c r="V267" i="8"/>
  <c r="V268" i="8"/>
  <c r="V269" i="8"/>
  <c r="V270" i="8"/>
  <c r="V272" i="8"/>
  <c r="V273" i="8"/>
  <c r="V274" i="8"/>
  <c r="V275" i="8"/>
  <c r="U275" i="8" s="1"/>
  <c r="V276" i="8"/>
  <c r="V277" i="8"/>
  <c r="V279" i="8"/>
  <c r="V280" i="8"/>
  <c r="V281" i="8"/>
  <c r="V282" i="8"/>
  <c r="V283" i="8"/>
  <c r="U283" i="8" s="1"/>
  <c r="V284" i="8"/>
  <c r="V285" i="8"/>
  <c r="V286" i="8"/>
  <c r="V288" i="8"/>
  <c r="V289" i="8"/>
  <c r="V290" i="8"/>
  <c r="V291" i="8"/>
  <c r="U291" i="8" s="1"/>
  <c r="V292" i="8"/>
  <c r="V293" i="8"/>
  <c r="V294" i="8"/>
  <c r="V296" i="8"/>
  <c r="V297" i="8"/>
  <c r="V298" i="8"/>
  <c r="V299" i="8"/>
  <c r="U299" i="8" s="1"/>
  <c r="V300" i="8"/>
  <c r="V301" i="8"/>
  <c r="V302" i="8"/>
  <c r="V303" i="8"/>
  <c r="V305" i="8"/>
  <c r="V306" i="8"/>
  <c r="V307" i="8"/>
  <c r="U307" i="8" s="1"/>
  <c r="V308" i="8"/>
  <c r="V309" i="8"/>
  <c r="V311" i="8"/>
  <c r="V312" i="8"/>
  <c r="V313" i="8"/>
  <c r="V314" i="8"/>
  <c r="V315" i="8"/>
  <c r="U315" i="8" s="1"/>
  <c r="V316" i="8"/>
  <c r="V317" i="8"/>
  <c r="V318" i="8"/>
  <c r="V319" i="8"/>
  <c r="V320" i="8"/>
  <c r="V321" i="8"/>
  <c r="V322" i="8"/>
  <c r="AB12" i="8"/>
  <c r="AB13" i="8"/>
  <c r="AB14" i="8"/>
  <c r="AB15" i="8"/>
  <c r="AB16" i="8"/>
  <c r="AB18" i="8"/>
  <c r="AB19" i="8"/>
  <c r="AB20" i="8"/>
  <c r="AB21" i="8"/>
  <c r="AB22" i="8"/>
  <c r="AB23" i="8"/>
  <c r="AB24" i="8"/>
  <c r="AB25" i="8"/>
  <c r="AB27" i="8"/>
  <c r="AB28" i="8"/>
  <c r="AB29" i="8"/>
  <c r="AB30" i="8"/>
  <c r="AB31" i="8"/>
  <c r="AB32" i="8"/>
  <c r="AB33" i="8"/>
  <c r="AB35" i="8"/>
  <c r="AB36" i="8"/>
  <c r="AB37" i="8"/>
  <c r="AB38" i="8"/>
  <c r="AB39" i="8"/>
  <c r="AB40" i="8"/>
  <c r="AB41" i="8"/>
  <c r="AB42" i="8"/>
  <c r="AB43" i="8"/>
  <c r="AB44" i="8"/>
  <c r="AB46" i="8"/>
  <c r="AB47" i="8"/>
  <c r="AB48" i="8"/>
  <c r="AB49" i="8"/>
  <c r="AB50" i="8"/>
  <c r="AB51" i="8"/>
  <c r="AB52" i="8"/>
  <c r="AB54" i="8"/>
  <c r="AB55" i="8"/>
  <c r="AB56" i="8"/>
  <c r="AB57" i="8"/>
  <c r="AB58" i="8"/>
  <c r="AB59" i="8"/>
  <c r="AB60" i="8"/>
  <c r="AB61" i="8"/>
  <c r="AB62" i="8"/>
  <c r="AB63" i="8"/>
  <c r="AB65" i="8"/>
  <c r="AB66" i="8"/>
  <c r="AB67" i="8"/>
  <c r="AB68" i="8"/>
  <c r="AB69" i="8"/>
  <c r="AB71" i="8"/>
  <c r="AB72" i="8"/>
  <c r="AB73" i="8"/>
  <c r="AB74" i="8"/>
  <c r="AB75" i="8"/>
  <c r="AB77" i="8"/>
  <c r="AB78" i="8"/>
  <c r="AB79" i="8"/>
  <c r="AB80" i="8"/>
  <c r="AB81" i="8"/>
  <c r="AB82" i="8"/>
  <c r="AB83" i="8"/>
  <c r="AB84" i="8"/>
  <c r="AB85" i="8"/>
  <c r="AB86" i="8"/>
  <c r="AB87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3" i="8"/>
  <c r="AB104" i="8"/>
  <c r="AB105" i="8"/>
  <c r="AB106" i="8"/>
  <c r="AB107" i="8"/>
  <c r="AB108" i="8"/>
  <c r="AB109" i="8"/>
  <c r="AB111" i="8"/>
  <c r="AB112" i="8"/>
  <c r="AB113" i="8"/>
  <c r="AB114" i="8"/>
  <c r="AB115" i="8"/>
  <c r="AB116" i="8"/>
  <c r="AB117" i="8"/>
  <c r="AB118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AB132" i="8"/>
  <c r="AB133" i="8"/>
  <c r="AB134" i="8"/>
  <c r="AB135" i="8"/>
  <c r="AB136" i="8"/>
  <c r="AB137" i="8"/>
  <c r="AB138" i="8"/>
  <c r="AB139" i="8"/>
  <c r="AB140" i="8"/>
  <c r="AB141" i="8"/>
  <c r="AB142" i="8"/>
  <c r="AB143" i="8"/>
  <c r="AB144" i="8"/>
  <c r="AB145" i="8"/>
  <c r="AB146" i="8"/>
  <c r="AB147" i="8"/>
  <c r="AB148" i="8"/>
  <c r="AB149" i="8"/>
  <c r="AB151" i="8"/>
  <c r="AB152" i="8"/>
  <c r="AB153" i="8"/>
  <c r="AB154" i="8"/>
  <c r="AB155" i="8"/>
  <c r="AB156" i="8"/>
  <c r="AB157" i="8"/>
  <c r="AB158" i="8"/>
  <c r="AB160" i="8"/>
  <c r="AB161" i="8"/>
  <c r="AB162" i="8"/>
  <c r="AB163" i="8"/>
  <c r="AB164" i="8"/>
  <c r="AB166" i="8"/>
  <c r="AB167" i="8"/>
  <c r="AB168" i="8"/>
  <c r="AB169" i="8"/>
  <c r="AB170" i="8"/>
  <c r="AB171" i="8"/>
  <c r="AB172" i="8"/>
  <c r="AB173" i="8"/>
  <c r="AB175" i="8"/>
  <c r="AB176" i="8"/>
  <c r="AB177" i="8"/>
  <c r="AB178" i="8"/>
  <c r="AB179" i="8"/>
  <c r="AB180" i="8"/>
  <c r="AB181" i="8"/>
  <c r="AB182" i="8"/>
  <c r="AB183" i="8"/>
  <c r="AB184" i="8"/>
  <c r="AB185" i="8"/>
  <c r="AB186" i="8"/>
  <c r="AB187" i="8"/>
  <c r="AB188" i="8"/>
  <c r="AB189" i="8"/>
  <c r="AB190" i="8"/>
  <c r="AB191" i="8"/>
  <c r="AB192" i="8"/>
  <c r="AB193" i="8"/>
  <c r="AB194" i="8"/>
  <c r="AB196" i="8"/>
  <c r="AB197" i="8"/>
  <c r="AB198" i="8"/>
  <c r="AB199" i="8"/>
  <c r="AB200" i="8"/>
  <c r="AB201" i="8"/>
  <c r="AB202" i="8"/>
  <c r="AB203" i="8"/>
  <c r="AB204" i="8"/>
  <c r="AB205" i="8"/>
  <c r="AB206" i="8"/>
  <c r="AB207" i="8"/>
  <c r="AB208" i="8"/>
  <c r="AB209" i="8"/>
  <c r="AB211" i="8"/>
  <c r="AB212" i="8"/>
  <c r="AB213" i="8"/>
  <c r="AB214" i="8"/>
  <c r="AB215" i="8"/>
  <c r="AB216" i="8"/>
  <c r="AB217" i="8"/>
  <c r="AB218" i="8"/>
  <c r="AB219" i="8"/>
  <c r="AB220" i="8"/>
  <c r="AB221" i="8"/>
  <c r="AB222" i="8"/>
  <c r="AB224" i="8"/>
  <c r="AB225" i="8"/>
  <c r="AB226" i="8"/>
  <c r="AB227" i="8"/>
  <c r="AB228" i="8"/>
  <c r="AB229" i="8"/>
  <c r="AB230" i="8"/>
  <c r="AB231" i="8"/>
  <c r="AB232" i="8"/>
  <c r="AB234" i="8"/>
  <c r="AB235" i="8"/>
  <c r="AB236" i="8"/>
  <c r="AB237" i="8"/>
  <c r="AB238" i="8"/>
  <c r="AB239" i="8"/>
  <c r="AB240" i="8"/>
  <c r="AB241" i="8"/>
  <c r="AB242" i="8"/>
  <c r="AB244" i="8"/>
  <c r="AB245" i="8"/>
  <c r="AB246" i="8"/>
  <c r="AB247" i="8"/>
  <c r="AB248" i="8"/>
  <c r="AB249" i="8"/>
  <c r="AB251" i="8"/>
  <c r="AB252" i="8"/>
  <c r="AB253" i="8"/>
  <c r="AB254" i="8"/>
  <c r="AB255" i="8"/>
  <c r="AB256" i="8"/>
  <c r="AB257" i="8"/>
  <c r="AB258" i="8"/>
  <c r="AB259" i="8"/>
  <c r="AB260" i="8"/>
  <c r="AB261" i="8"/>
  <c r="AB262" i="8"/>
  <c r="AB263" i="8"/>
  <c r="AB264" i="8"/>
  <c r="AB265" i="8"/>
  <c r="AB266" i="8"/>
  <c r="AB267" i="8"/>
  <c r="AB268" i="8"/>
  <c r="AB269" i="8"/>
  <c r="AB270" i="8"/>
  <c r="AB272" i="8"/>
  <c r="AB273" i="8"/>
  <c r="AB274" i="8"/>
  <c r="AB275" i="8"/>
  <c r="AB276" i="8"/>
  <c r="AB277" i="8"/>
  <c r="AB279" i="8"/>
  <c r="AB280" i="8"/>
  <c r="AB281" i="8"/>
  <c r="AB282" i="8"/>
  <c r="AB283" i="8"/>
  <c r="AB284" i="8"/>
  <c r="AB285" i="8"/>
  <c r="AB286" i="8"/>
  <c r="AB288" i="8"/>
  <c r="AB289" i="8"/>
  <c r="AB290" i="8"/>
  <c r="AB291" i="8"/>
  <c r="AB292" i="8"/>
  <c r="AB293" i="8"/>
  <c r="AB294" i="8"/>
  <c r="AB296" i="8"/>
  <c r="AB297" i="8"/>
  <c r="AB298" i="8"/>
  <c r="AB299" i="8"/>
  <c r="AB300" i="8"/>
  <c r="AB301" i="8"/>
  <c r="AB302" i="8"/>
  <c r="AB303" i="8"/>
  <c r="AB305" i="8"/>
  <c r="AB306" i="8"/>
  <c r="AB307" i="8"/>
  <c r="AB308" i="8"/>
  <c r="AB309" i="8"/>
  <c r="AB311" i="8"/>
  <c r="AB312" i="8"/>
  <c r="AB313" i="8"/>
  <c r="AB314" i="8"/>
  <c r="AB315" i="8"/>
  <c r="AB316" i="8"/>
  <c r="AB317" i="8"/>
  <c r="AB318" i="8"/>
  <c r="AB319" i="8"/>
  <c r="AB320" i="8"/>
  <c r="AB321" i="8"/>
  <c r="AB322" i="8"/>
  <c r="AD271" i="8"/>
  <c r="AE271" i="8"/>
  <c r="AF271" i="8"/>
  <c r="AC271" i="8"/>
  <c r="X271" i="8"/>
  <c r="Y271" i="8"/>
  <c r="Z271" i="8"/>
  <c r="AA271" i="8"/>
  <c r="W271" i="8"/>
  <c r="R271" i="8"/>
  <c r="S271" i="8"/>
  <c r="T271" i="8"/>
  <c r="Q271" i="8"/>
  <c r="L271" i="8"/>
  <c r="M271" i="8"/>
  <c r="N271" i="8"/>
  <c r="O271" i="8"/>
  <c r="K271" i="8"/>
  <c r="AJ271" i="6"/>
  <c r="AK271" i="6"/>
  <c r="AL271" i="6"/>
  <c r="AI271" i="6"/>
  <c r="AE271" i="6"/>
  <c r="AF271" i="6"/>
  <c r="AG271" i="6"/>
  <c r="AD271" i="6"/>
  <c r="K271" i="6"/>
  <c r="L271" i="6"/>
  <c r="M271" i="6"/>
  <c r="N271" i="6"/>
  <c r="O271" i="6"/>
  <c r="P271" i="6"/>
  <c r="Q271" i="6"/>
  <c r="R271" i="6"/>
  <c r="S271" i="6"/>
  <c r="T271" i="6"/>
  <c r="U271" i="6"/>
  <c r="V271" i="6"/>
  <c r="W271" i="6"/>
  <c r="X271" i="6"/>
  <c r="Y271" i="6"/>
  <c r="Z271" i="6"/>
  <c r="AA271" i="6"/>
  <c r="AB271" i="6"/>
  <c r="J271" i="6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AD271" i="3"/>
  <c r="AE271" i="3"/>
  <c r="AF271" i="3"/>
  <c r="M271" i="3"/>
  <c r="I271" i="3"/>
  <c r="I276" i="13"/>
  <c r="AM276" i="13" s="1"/>
  <c r="I267" i="13"/>
  <c r="AM267" i="13" s="1"/>
  <c r="I130" i="13"/>
  <c r="AM130" i="13" s="1"/>
  <c r="N276" i="12"/>
  <c r="M276" i="12"/>
  <c r="L276" i="12"/>
  <c r="K276" i="12"/>
  <c r="J276" i="12"/>
  <c r="I276" i="12" s="1"/>
  <c r="N267" i="12"/>
  <c r="M267" i="12"/>
  <c r="L267" i="12"/>
  <c r="K267" i="12"/>
  <c r="J267" i="12"/>
  <c r="N130" i="12"/>
  <c r="M130" i="12"/>
  <c r="L130" i="12"/>
  <c r="K130" i="12"/>
  <c r="J130" i="12"/>
  <c r="N276" i="11"/>
  <c r="M276" i="11"/>
  <c r="L276" i="11"/>
  <c r="K276" i="11"/>
  <c r="J276" i="11"/>
  <c r="I276" i="11" s="1"/>
  <c r="N267" i="11"/>
  <c r="M267" i="11"/>
  <c r="L267" i="11"/>
  <c r="K267" i="11"/>
  <c r="J267" i="11"/>
  <c r="I267" i="11" s="1"/>
  <c r="AS267" i="11" s="1"/>
  <c r="N130" i="11"/>
  <c r="M130" i="11"/>
  <c r="L130" i="11"/>
  <c r="K130" i="11"/>
  <c r="J130" i="11"/>
  <c r="I130" i="11"/>
  <c r="Z276" i="10"/>
  <c r="W276" i="10"/>
  <c r="T276" i="10"/>
  <c r="P276" i="10"/>
  <c r="M276" i="10"/>
  <c r="J276" i="10"/>
  <c r="I276" i="10" s="1"/>
  <c r="Z267" i="10"/>
  <c r="W267" i="10"/>
  <c r="T267" i="10"/>
  <c r="S267" i="10" s="1"/>
  <c r="P267" i="10"/>
  <c r="M267" i="10"/>
  <c r="J267" i="10"/>
  <c r="I267" i="10" s="1"/>
  <c r="Z130" i="10"/>
  <c r="W130" i="10"/>
  <c r="T130" i="10"/>
  <c r="S130" i="10" s="1"/>
  <c r="P130" i="10"/>
  <c r="M130" i="10"/>
  <c r="I130" i="10" s="1"/>
  <c r="J130" i="10"/>
  <c r="J276" i="8"/>
  <c r="J267" i="8"/>
  <c r="J130" i="8"/>
  <c r="AH276" i="6"/>
  <c r="AC276" i="6"/>
  <c r="I276" i="6"/>
  <c r="AH267" i="6"/>
  <c r="AC267" i="6"/>
  <c r="I267" i="6"/>
  <c r="AH130" i="6"/>
  <c r="AC130" i="6"/>
  <c r="I130" i="6"/>
  <c r="L276" i="3"/>
  <c r="K276" i="3" s="1"/>
  <c r="AG276" i="3" s="1"/>
  <c r="L267" i="3"/>
  <c r="K267" i="3" s="1"/>
  <c r="AG267" i="3" s="1"/>
  <c r="L130" i="3"/>
  <c r="K130" i="3" s="1"/>
  <c r="AG130" i="3" s="1"/>
  <c r="U12" i="16"/>
  <c r="V12" i="16"/>
  <c r="W12" i="16"/>
  <c r="X12" i="16"/>
  <c r="J8" i="16"/>
  <c r="I322" i="13"/>
  <c r="AM322" i="13" s="1"/>
  <c r="I321" i="13"/>
  <c r="AM321" i="13" s="1"/>
  <c r="I320" i="13"/>
  <c r="AM320" i="13" s="1"/>
  <c r="I319" i="13"/>
  <c r="AM319" i="13" s="1"/>
  <c r="I318" i="13"/>
  <c r="AM318" i="13" s="1"/>
  <c r="I317" i="13"/>
  <c r="AM317" i="13" s="1"/>
  <c r="I316" i="13"/>
  <c r="AM316" i="13" s="1"/>
  <c r="I315" i="13"/>
  <c r="AM315" i="13" s="1"/>
  <c r="I314" i="13"/>
  <c r="AM314" i="13" s="1"/>
  <c r="I313" i="13"/>
  <c r="AM313" i="13" s="1"/>
  <c r="I312" i="13"/>
  <c r="AM312" i="13" s="1"/>
  <c r="I311" i="13"/>
  <c r="AM311" i="13" s="1"/>
  <c r="AL310" i="13"/>
  <c r="AK310" i="13"/>
  <c r="AJ310" i="13"/>
  <c r="AI310" i="13"/>
  <c r="AH310" i="13"/>
  <c r="AG310" i="13"/>
  <c r="AF310" i="13"/>
  <c r="AE310" i="13"/>
  <c r="AD310" i="13"/>
  <c r="AC310" i="13"/>
  <c r="AB310" i="13"/>
  <c r="AA310" i="13"/>
  <c r="Z310" i="13"/>
  <c r="Y310" i="13"/>
  <c r="X310" i="13"/>
  <c r="W310" i="13"/>
  <c r="V310" i="13"/>
  <c r="U310" i="13"/>
  <c r="T310" i="13"/>
  <c r="S310" i="13"/>
  <c r="R310" i="13"/>
  <c r="Q310" i="13"/>
  <c r="P310" i="13"/>
  <c r="O310" i="13"/>
  <c r="N310" i="13"/>
  <c r="M310" i="13"/>
  <c r="L310" i="13"/>
  <c r="K310" i="13"/>
  <c r="AM309" i="13"/>
  <c r="I309" i="13"/>
  <c r="I308" i="13"/>
  <c r="AM308" i="13" s="1"/>
  <c r="I307" i="13"/>
  <c r="AM307" i="13" s="1"/>
  <c r="I306" i="13"/>
  <c r="AM306" i="13" s="1"/>
  <c r="AM305" i="13"/>
  <c r="I305" i="13"/>
  <c r="AL304" i="13"/>
  <c r="AK304" i="13"/>
  <c r="AJ304" i="13"/>
  <c r="AI304" i="13"/>
  <c r="AH304" i="13"/>
  <c r="AG304" i="13"/>
  <c r="AF304" i="13"/>
  <c r="AE304" i="13"/>
  <c r="AD304" i="13"/>
  <c r="AC304" i="13"/>
  <c r="AB304" i="13"/>
  <c r="AA304" i="13"/>
  <c r="Z304" i="13"/>
  <c r="Y304" i="13"/>
  <c r="X304" i="13"/>
  <c r="W304" i="13"/>
  <c r="V304" i="13"/>
  <c r="U304" i="13"/>
  <c r="T304" i="13"/>
  <c r="S304" i="13"/>
  <c r="R304" i="13"/>
  <c r="Q304" i="13"/>
  <c r="P304" i="13"/>
  <c r="O304" i="13"/>
  <c r="N304" i="13"/>
  <c r="M304" i="13"/>
  <c r="L304" i="13"/>
  <c r="K304" i="13"/>
  <c r="J304" i="13"/>
  <c r="I303" i="13"/>
  <c r="AM303" i="13" s="1"/>
  <c r="I302" i="13"/>
  <c r="AM302" i="13" s="1"/>
  <c r="I301" i="13"/>
  <c r="AM301" i="13" s="1"/>
  <c r="I300" i="13"/>
  <c r="AM300" i="13" s="1"/>
  <c r="I299" i="13"/>
  <c r="AM299" i="13" s="1"/>
  <c r="I298" i="13"/>
  <c r="AM298" i="13" s="1"/>
  <c r="I297" i="13"/>
  <c r="AM297" i="13" s="1"/>
  <c r="I296" i="13"/>
  <c r="AM296" i="13" s="1"/>
  <c r="AL295" i="13"/>
  <c r="AK295" i="13"/>
  <c r="AJ295" i="13"/>
  <c r="AI295" i="13"/>
  <c r="AH295" i="13"/>
  <c r="AG295" i="13"/>
  <c r="AF295" i="13"/>
  <c r="AE295" i="13"/>
  <c r="AD295" i="13"/>
  <c r="AC295" i="13"/>
  <c r="AB295" i="13"/>
  <c r="AA295" i="13"/>
  <c r="Z295" i="13"/>
  <c r="Y295" i="13"/>
  <c r="X295" i="13"/>
  <c r="W295" i="13"/>
  <c r="V295" i="13"/>
  <c r="U295" i="13"/>
  <c r="T295" i="13"/>
  <c r="S295" i="13"/>
  <c r="R295" i="13"/>
  <c r="Q295" i="13"/>
  <c r="P295" i="13"/>
  <c r="O295" i="13"/>
  <c r="N295" i="13"/>
  <c r="M295" i="13"/>
  <c r="L295" i="13"/>
  <c r="K295" i="13"/>
  <c r="J295" i="13"/>
  <c r="I295" i="13"/>
  <c r="I294" i="13"/>
  <c r="AM294" i="13" s="1"/>
  <c r="AM293" i="13"/>
  <c r="I293" i="13"/>
  <c r="I292" i="13"/>
  <c r="AM292" i="13" s="1"/>
  <c r="I291" i="13"/>
  <c r="AM291" i="13" s="1"/>
  <c r="I290" i="13"/>
  <c r="AM290" i="13" s="1"/>
  <c r="I289" i="13"/>
  <c r="AM289" i="13" s="1"/>
  <c r="I288" i="13"/>
  <c r="AM288" i="13" s="1"/>
  <c r="AL287" i="13"/>
  <c r="AK287" i="13"/>
  <c r="AJ287" i="13"/>
  <c r="AI287" i="13"/>
  <c r="AH287" i="13"/>
  <c r="AG287" i="13"/>
  <c r="AF287" i="13"/>
  <c r="AE287" i="13"/>
  <c r="AD287" i="13"/>
  <c r="AC287" i="13"/>
  <c r="AB287" i="13"/>
  <c r="AA287" i="13"/>
  <c r="Z287" i="13"/>
  <c r="Y287" i="13"/>
  <c r="X287" i="13"/>
  <c r="W287" i="13"/>
  <c r="V287" i="13"/>
  <c r="U287" i="13"/>
  <c r="I287" i="13" s="1"/>
  <c r="T287" i="13"/>
  <c r="S287" i="13"/>
  <c r="R287" i="13"/>
  <c r="Q287" i="13"/>
  <c r="P287" i="13"/>
  <c r="O287" i="13"/>
  <c r="N287" i="13"/>
  <c r="M287" i="13"/>
  <c r="L287" i="13"/>
  <c r="K287" i="13"/>
  <c r="J287" i="13"/>
  <c r="I286" i="13"/>
  <c r="AM286" i="13" s="1"/>
  <c r="I285" i="13"/>
  <c r="AM285" i="13" s="1"/>
  <c r="I284" i="13"/>
  <c r="AM284" i="13" s="1"/>
  <c r="I283" i="13"/>
  <c r="AM283" i="13" s="1"/>
  <c r="I282" i="13"/>
  <c r="AM282" i="13" s="1"/>
  <c r="I281" i="13"/>
  <c r="AM281" i="13" s="1"/>
  <c r="I280" i="13"/>
  <c r="AM280" i="13" s="1"/>
  <c r="I279" i="13"/>
  <c r="AM279" i="13" s="1"/>
  <c r="AL278" i="13"/>
  <c r="AK278" i="13"/>
  <c r="AJ278" i="13"/>
  <c r="AI278" i="13"/>
  <c r="AH278" i="13"/>
  <c r="AG278" i="13"/>
  <c r="AF278" i="13"/>
  <c r="AE278" i="13"/>
  <c r="AD278" i="13"/>
  <c r="AC278" i="13"/>
  <c r="AB278" i="13"/>
  <c r="AA278" i="13"/>
  <c r="Z278" i="13"/>
  <c r="Y278" i="13"/>
  <c r="X278" i="13"/>
  <c r="W278" i="13"/>
  <c r="V278" i="13"/>
  <c r="U278" i="13"/>
  <c r="T278" i="13"/>
  <c r="S278" i="13"/>
  <c r="R278" i="13"/>
  <c r="Q278" i="13"/>
  <c r="P278" i="13"/>
  <c r="O278" i="13"/>
  <c r="N278" i="13"/>
  <c r="M278" i="13"/>
  <c r="L278" i="13"/>
  <c r="K278" i="13"/>
  <c r="J278" i="13"/>
  <c r="I277" i="13"/>
  <c r="AM277" i="13" s="1"/>
  <c r="I275" i="13"/>
  <c r="AM275" i="13" s="1"/>
  <c r="I274" i="13"/>
  <c r="AM274" i="13" s="1"/>
  <c r="I273" i="13"/>
  <c r="AM273" i="13" s="1"/>
  <c r="AM272" i="13"/>
  <c r="I272" i="13"/>
  <c r="I271" i="13"/>
  <c r="I270" i="13"/>
  <c r="AM270" i="13" s="1"/>
  <c r="I269" i="13"/>
  <c r="AM269" i="13" s="1"/>
  <c r="I268" i="13"/>
  <c r="AM268" i="13" s="1"/>
  <c r="I266" i="13"/>
  <c r="AM266" i="13" s="1"/>
  <c r="I265" i="13"/>
  <c r="AM265" i="13" s="1"/>
  <c r="I264" i="13"/>
  <c r="AM264" i="13" s="1"/>
  <c r="I263" i="13"/>
  <c r="AM263" i="13" s="1"/>
  <c r="I262" i="13"/>
  <c r="AM262" i="13" s="1"/>
  <c r="I261" i="13"/>
  <c r="AM261" i="13" s="1"/>
  <c r="AM260" i="13"/>
  <c r="I260" i="13"/>
  <c r="I259" i="13"/>
  <c r="AM259" i="13" s="1"/>
  <c r="I258" i="13"/>
  <c r="AM258" i="13" s="1"/>
  <c r="AM257" i="13"/>
  <c r="I257" i="13"/>
  <c r="I256" i="13"/>
  <c r="AM256" i="13" s="1"/>
  <c r="I255" i="13"/>
  <c r="AM255" i="13" s="1"/>
  <c r="I254" i="13"/>
  <c r="AM254" i="13" s="1"/>
  <c r="I253" i="13"/>
  <c r="AM253" i="13" s="1"/>
  <c r="I252" i="13"/>
  <c r="AM252" i="13" s="1"/>
  <c r="I251" i="13"/>
  <c r="AM251" i="13" s="1"/>
  <c r="AL250" i="13"/>
  <c r="AK250" i="13"/>
  <c r="AJ250" i="13"/>
  <c r="AI250" i="13"/>
  <c r="AH250" i="13"/>
  <c r="AG250" i="13"/>
  <c r="AF250" i="13"/>
  <c r="AE250" i="13"/>
  <c r="AD250" i="13"/>
  <c r="AC250" i="13"/>
  <c r="AB250" i="13"/>
  <c r="AA250" i="13"/>
  <c r="Z250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49" i="13"/>
  <c r="AM249" i="13" s="1"/>
  <c r="AM248" i="13"/>
  <c r="I248" i="13"/>
  <c r="I247" i="13"/>
  <c r="AM247" i="13" s="1"/>
  <c r="I246" i="13"/>
  <c r="AM246" i="13" s="1"/>
  <c r="I245" i="13"/>
  <c r="AM245" i="13" s="1"/>
  <c r="I244" i="13"/>
  <c r="AM244" i="13" s="1"/>
  <c r="AL243" i="13"/>
  <c r="AK243" i="13"/>
  <c r="AJ243" i="13"/>
  <c r="AI243" i="13"/>
  <c r="AH243" i="13"/>
  <c r="AG243" i="13"/>
  <c r="AF243" i="13"/>
  <c r="AE243" i="13"/>
  <c r="AD243" i="13"/>
  <c r="AC243" i="13"/>
  <c r="AB243" i="13"/>
  <c r="AA243" i="13"/>
  <c r="Z243" i="13"/>
  <c r="Y243" i="13"/>
  <c r="X243" i="13"/>
  <c r="W243" i="13"/>
  <c r="V243" i="13"/>
  <c r="U243" i="13"/>
  <c r="I243" i="13" s="1"/>
  <c r="T243" i="13"/>
  <c r="S243" i="13"/>
  <c r="R243" i="13"/>
  <c r="Q243" i="13"/>
  <c r="P243" i="13"/>
  <c r="O243" i="13"/>
  <c r="N243" i="13"/>
  <c r="M243" i="13"/>
  <c r="L243" i="13"/>
  <c r="K243" i="13"/>
  <c r="J243" i="13"/>
  <c r="I242" i="13"/>
  <c r="AM242" i="13" s="1"/>
  <c r="I241" i="13"/>
  <c r="AM241" i="13" s="1"/>
  <c r="I240" i="13"/>
  <c r="AM240" i="13" s="1"/>
  <c r="I239" i="13"/>
  <c r="AM239" i="13" s="1"/>
  <c r="I238" i="13"/>
  <c r="AM238" i="13" s="1"/>
  <c r="I237" i="13"/>
  <c r="AM237" i="13" s="1"/>
  <c r="I236" i="13"/>
  <c r="AM236" i="13" s="1"/>
  <c r="I235" i="13"/>
  <c r="AM235" i="13" s="1"/>
  <c r="I234" i="13"/>
  <c r="AM234" i="13" s="1"/>
  <c r="AL233" i="13"/>
  <c r="AK233" i="13"/>
  <c r="AJ233" i="13"/>
  <c r="AI233" i="13"/>
  <c r="AH233" i="13"/>
  <c r="AG233" i="13"/>
  <c r="AF233" i="13"/>
  <c r="AE233" i="13"/>
  <c r="AD233" i="13"/>
  <c r="AC233" i="13"/>
  <c r="AB233" i="13"/>
  <c r="AA233" i="13"/>
  <c r="Z233" i="13"/>
  <c r="Y233" i="13"/>
  <c r="X233" i="13"/>
  <c r="W233" i="13"/>
  <c r="V233" i="13"/>
  <c r="U233" i="13"/>
  <c r="T233" i="13"/>
  <c r="S233" i="13"/>
  <c r="R233" i="13"/>
  <c r="Q233" i="13"/>
  <c r="P233" i="13"/>
  <c r="O233" i="13"/>
  <c r="N233" i="13"/>
  <c r="M233" i="13"/>
  <c r="L233" i="13"/>
  <c r="K233" i="13"/>
  <c r="J233" i="13"/>
  <c r="I232" i="13"/>
  <c r="AM232" i="13" s="1"/>
  <c r="I231" i="13"/>
  <c r="AM231" i="13" s="1"/>
  <c r="I230" i="13"/>
  <c r="AM230" i="13" s="1"/>
  <c r="I229" i="13"/>
  <c r="AM229" i="13" s="1"/>
  <c r="I228" i="13"/>
  <c r="AM228" i="13" s="1"/>
  <c r="AM227" i="13"/>
  <c r="I227" i="13"/>
  <c r="I226" i="13"/>
  <c r="AM226" i="13" s="1"/>
  <c r="I225" i="13"/>
  <c r="AM225" i="13" s="1"/>
  <c r="I224" i="13"/>
  <c r="AM224" i="13" s="1"/>
  <c r="AL223" i="13"/>
  <c r="AK223" i="13"/>
  <c r="AJ223" i="13"/>
  <c r="AI223" i="13"/>
  <c r="AH223" i="13"/>
  <c r="AG223" i="13"/>
  <c r="AF223" i="13"/>
  <c r="AE223" i="13"/>
  <c r="AD223" i="13"/>
  <c r="AC223" i="13"/>
  <c r="AB223" i="13"/>
  <c r="AA223" i="13"/>
  <c r="Z223" i="13"/>
  <c r="Y223" i="13"/>
  <c r="X223" i="13"/>
  <c r="W223" i="13"/>
  <c r="V223" i="13"/>
  <c r="U223" i="13"/>
  <c r="T223" i="13"/>
  <c r="S223" i="13"/>
  <c r="R223" i="13"/>
  <c r="Q223" i="13"/>
  <c r="P223" i="13"/>
  <c r="O223" i="13"/>
  <c r="N223" i="13"/>
  <c r="M223" i="13"/>
  <c r="L223" i="13"/>
  <c r="K223" i="13"/>
  <c r="J223" i="13"/>
  <c r="I222" i="13"/>
  <c r="AM222" i="13" s="1"/>
  <c r="I221" i="13"/>
  <c r="AM221" i="13" s="1"/>
  <c r="I220" i="13"/>
  <c r="AM220" i="13" s="1"/>
  <c r="AM219" i="13"/>
  <c r="I219" i="13"/>
  <c r="I218" i="13"/>
  <c r="AM218" i="13" s="1"/>
  <c r="I217" i="13"/>
  <c r="AM217" i="13" s="1"/>
  <c r="I216" i="13"/>
  <c r="AM216" i="13" s="1"/>
  <c r="I215" i="13"/>
  <c r="AM215" i="13" s="1"/>
  <c r="I214" i="13"/>
  <c r="AM214" i="13" s="1"/>
  <c r="AM213" i="13"/>
  <c r="I213" i="13"/>
  <c r="I212" i="13"/>
  <c r="AM212" i="13" s="1"/>
  <c r="I211" i="13"/>
  <c r="AM211" i="13" s="1"/>
  <c r="AL210" i="13"/>
  <c r="AK210" i="13"/>
  <c r="AJ210" i="13"/>
  <c r="AI210" i="13"/>
  <c r="AH210" i="13"/>
  <c r="AG210" i="13"/>
  <c r="AF210" i="13"/>
  <c r="AE210" i="13"/>
  <c r="AD210" i="13"/>
  <c r="AC210" i="13"/>
  <c r="AB210" i="13"/>
  <c r="AA210" i="13"/>
  <c r="Z210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 s="1"/>
  <c r="I209" i="13"/>
  <c r="AM209" i="13" s="1"/>
  <c r="I208" i="13"/>
  <c r="AM208" i="13" s="1"/>
  <c r="I207" i="13"/>
  <c r="AM207" i="13" s="1"/>
  <c r="I206" i="13"/>
  <c r="AM206" i="13" s="1"/>
  <c r="I205" i="13"/>
  <c r="AM205" i="13" s="1"/>
  <c r="I204" i="13"/>
  <c r="AM204" i="13" s="1"/>
  <c r="I203" i="13"/>
  <c r="AM203" i="13" s="1"/>
  <c r="AM202" i="13"/>
  <c r="I202" i="13"/>
  <c r="I201" i="13"/>
  <c r="AM201" i="13" s="1"/>
  <c r="AM200" i="13"/>
  <c r="I200" i="13"/>
  <c r="I199" i="13"/>
  <c r="AM199" i="13" s="1"/>
  <c r="I198" i="13"/>
  <c r="AM198" i="13" s="1"/>
  <c r="I197" i="13"/>
  <c r="AM197" i="13" s="1"/>
  <c r="I196" i="13"/>
  <c r="AM196" i="13" s="1"/>
  <c r="AL195" i="13"/>
  <c r="AK195" i="13"/>
  <c r="AJ195" i="13"/>
  <c r="AI195" i="13"/>
  <c r="AH195" i="13"/>
  <c r="AG195" i="13"/>
  <c r="AF195" i="13"/>
  <c r="AE195" i="13"/>
  <c r="AD195" i="13"/>
  <c r="AC195" i="13"/>
  <c r="AB195" i="13"/>
  <c r="AA195" i="13"/>
  <c r="Z195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4" i="13"/>
  <c r="AM194" i="13" s="1"/>
  <c r="I193" i="13"/>
  <c r="AM193" i="13" s="1"/>
  <c r="I192" i="13"/>
  <c r="AM192" i="13" s="1"/>
  <c r="AM191" i="13"/>
  <c r="I191" i="13"/>
  <c r="I190" i="13"/>
  <c r="AM190" i="13" s="1"/>
  <c r="I189" i="13"/>
  <c r="AM189" i="13" s="1"/>
  <c r="AM188" i="13"/>
  <c r="I188" i="13"/>
  <c r="I187" i="13"/>
  <c r="AM187" i="13" s="1"/>
  <c r="I186" i="13"/>
  <c r="AM186" i="13" s="1"/>
  <c r="I185" i="13"/>
  <c r="AM185" i="13" s="1"/>
  <c r="I184" i="13"/>
  <c r="AM184" i="13" s="1"/>
  <c r="I183" i="13"/>
  <c r="AM183" i="13" s="1"/>
  <c r="I182" i="13"/>
  <c r="AM182" i="13" s="1"/>
  <c r="I181" i="13"/>
  <c r="AM181" i="13" s="1"/>
  <c r="I180" i="13"/>
  <c r="AM180" i="13" s="1"/>
  <c r="I179" i="13"/>
  <c r="AM179" i="13" s="1"/>
  <c r="I178" i="13"/>
  <c r="AM178" i="13" s="1"/>
  <c r="I177" i="13"/>
  <c r="AM177" i="13" s="1"/>
  <c r="I176" i="13"/>
  <c r="AM176" i="13" s="1"/>
  <c r="I175" i="13"/>
  <c r="AM175" i="13" s="1"/>
  <c r="AL174" i="13"/>
  <c r="AL323" i="13" s="1"/>
  <c r="AK174" i="13"/>
  <c r="AJ174" i="13"/>
  <c r="AI174" i="13"/>
  <c r="AH174" i="13"/>
  <c r="AG174" i="13"/>
  <c r="AF174" i="13"/>
  <c r="AE174" i="13"/>
  <c r="AD174" i="13"/>
  <c r="AC174" i="13"/>
  <c r="AB174" i="13"/>
  <c r="AA174" i="13"/>
  <c r="Z174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 s="1"/>
  <c r="I173" i="13"/>
  <c r="AM173" i="13" s="1"/>
  <c r="I172" i="13"/>
  <c r="AM172" i="13" s="1"/>
  <c r="I171" i="13"/>
  <c r="AM171" i="13" s="1"/>
  <c r="I170" i="13"/>
  <c r="AM170" i="13" s="1"/>
  <c r="I169" i="13"/>
  <c r="AM169" i="13" s="1"/>
  <c r="I168" i="13"/>
  <c r="AM168" i="13" s="1"/>
  <c r="I167" i="13"/>
  <c r="AM167" i="13" s="1"/>
  <c r="I166" i="13"/>
  <c r="AM166" i="13" s="1"/>
  <c r="AL165" i="13"/>
  <c r="AK165" i="13"/>
  <c r="AJ165" i="13"/>
  <c r="AI165" i="13"/>
  <c r="AH165" i="13"/>
  <c r="AG165" i="13"/>
  <c r="AF165" i="13"/>
  <c r="AE165" i="13"/>
  <c r="AD165" i="13"/>
  <c r="AC165" i="13"/>
  <c r="AB165" i="13"/>
  <c r="AA165" i="13"/>
  <c r="Z165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 s="1"/>
  <c r="AM164" i="13"/>
  <c r="I164" i="13"/>
  <c r="I163" i="13"/>
  <c r="AM163" i="13" s="1"/>
  <c r="I162" i="13"/>
  <c r="AM162" i="13" s="1"/>
  <c r="I161" i="13"/>
  <c r="AM161" i="13" s="1"/>
  <c r="I160" i="13"/>
  <c r="AM160" i="13" s="1"/>
  <c r="AL159" i="13"/>
  <c r="AK159" i="13"/>
  <c r="AJ159" i="13"/>
  <c r="AI159" i="13"/>
  <c r="AH159" i="13"/>
  <c r="AG159" i="13"/>
  <c r="AF159" i="13"/>
  <c r="AE159" i="13"/>
  <c r="AD159" i="13"/>
  <c r="AC159" i="13"/>
  <c r="AB159" i="13"/>
  <c r="AA159" i="13"/>
  <c r="Z159" i="13"/>
  <c r="Y159" i="13"/>
  <c r="X159" i="13"/>
  <c r="W159" i="13"/>
  <c r="V159" i="13"/>
  <c r="U159" i="13"/>
  <c r="T159" i="13"/>
  <c r="S159" i="13"/>
  <c r="R159" i="13"/>
  <c r="Q159" i="13"/>
  <c r="P159" i="13"/>
  <c r="O159" i="13"/>
  <c r="N159" i="13"/>
  <c r="M159" i="13"/>
  <c r="L159" i="13"/>
  <c r="K159" i="13"/>
  <c r="J159" i="13"/>
  <c r="I159" i="13" s="1"/>
  <c r="I158" i="13"/>
  <c r="AM158" i="13" s="1"/>
  <c r="I157" i="13"/>
  <c r="AM157" i="13" s="1"/>
  <c r="I156" i="13"/>
  <c r="AM156" i="13" s="1"/>
  <c r="I155" i="13"/>
  <c r="AM155" i="13" s="1"/>
  <c r="I154" i="13"/>
  <c r="AM154" i="13" s="1"/>
  <c r="I153" i="13"/>
  <c r="AM153" i="13" s="1"/>
  <c r="I152" i="13"/>
  <c r="AM152" i="13" s="1"/>
  <c r="I151" i="13"/>
  <c r="AM151" i="13" s="1"/>
  <c r="AL150" i="13"/>
  <c r="AK150" i="13"/>
  <c r="AJ150" i="13"/>
  <c r="AI150" i="13"/>
  <c r="AH150" i="13"/>
  <c r="AG150" i="13"/>
  <c r="AF150" i="13"/>
  <c r="AE150" i="13"/>
  <c r="AD150" i="13"/>
  <c r="AC150" i="13"/>
  <c r="AB150" i="13"/>
  <c r="AA150" i="13"/>
  <c r="Z150" i="13"/>
  <c r="Y150" i="13"/>
  <c r="X150" i="13"/>
  <c r="W150" i="13"/>
  <c r="V150" i="13"/>
  <c r="U150" i="13"/>
  <c r="T150" i="13"/>
  <c r="S150" i="13"/>
  <c r="R150" i="13"/>
  <c r="Q150" i="13"/>
  <c r="P150" i="13"/>
  <c r="O150" i="13"/>
  <c r="N150" i="13"/>
  <c r="M150" i="13"/>
  <c r="L150" i="13"/>
  <c r="K150" i="13"/>
  <c r="J150" i="13"/>
  <c r="I149" i="13"/>
  <c r="AM149" i="13" s="1"/>
  <c r="I148" i="13"/>
  <c r="AM148" i="13" s="1"/>
  <c r="I147" i="13"/>
  <c r="AM147" i="13" s="1"/>
  <c r="I146" i="13"/>
  <c r="AM146" i="13" s="1"/>
  <c r="I145" i="13"/>
  <c r="AM145" i="13" s="1"/>
  <c r="I144" i="13"/>
  <c r="AM144" i="13" s="1"/>
  <c r="I143" i="13"/>
  <c r="AM143" i="13" s="1"/>
  <c r="AM142" i="13"/>
  <c r="I142" i="13"/>
  <c r="AM141" i="13"/>
  <c r="I141" i="13"/>
  <c r="I140" i="13"/>
  <c r="AM140" i="13" s="1"/>
  <c r="I139" i="13"/>
  <c r="AM139" i="13" s="1"/>
  <c r="I138" i="13"/>
  <c r="AM138" i="13" s="1"/>
  <c r="I137" i="13"/>
  <c r="AM137" i="13" s="1"/>
  <c r="I136" i="13"/>
  <c r="AM136" i="13" s="1"/>
  <c r="I135" i="13"/>
  <c r="AM135" i="13" s="1"/>
  <c r="I134" i="13"/>
  <c r="AM134" i="13" s="1"/>
  <c r="I133" i="13"/>
  <c r="AM133" i="13" s="1"/>
  <c r="I132" i="13"/>
  <c r="AM132" i="13" s="1"/>
  <c r="I131" i="13"/>
  <c r="AM131" i="13" s="1"/>
  <c r="I129" i="13"/>
  <c r="AM129" i="13" s="1"/>
  <c r="I128" i="13"/>
  <c r="AM128" i="13" s="1"/>
  <c r="I127" i="13"/>
  <c r="AM127" i="13" s="1"/>
  <c r="I126" i="13"/>
  <c r="AM126" i="13" s="1"/>
  <c r="AM125" i="13"/>
  <c r="I125" i="13"/>
  <c r="I124" i="13"/>
  <c r="AM124" i="13" s="1"/>
  <c r="I123" i="13"/>
  <c r="AM123" i="13" s="1"/>
  <c r="I122" i="13"/>
  <c r="AM122" i="13" s="1"/>
  <c r="I121" i="13"/>
  <c r="AM121" i="13" s="1"/>
  <c r="I120" i="13"/>
  <c r="AM120" i="13" s="1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8" i="13"/>
  <c r="AM118" i="13" s="1"/>
  <c r="I117" i="13"/>
  <c r="AM117" i="13" s="1"/>
  <c r="I116" i="13"/>
  <c r="AM116" i="13" s="1"/>
  <c r="I115" i="13"/>
  <c r="AM115" i="13" s="1"/>
  <c r="I114" i="13"/>
  <c r="AM114" i="13" s="1"/>
  <c r="I113" i="13"/>
  <c r="AM113" i="13" s="1"/>
  <c r="AM112" i="13"/>
  <c r="I112" i="13"/>
  <c r="I111" i="13"/>
  <c r="AM111" i="13" s="1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09" i="13"/>
  <c r="AM109" i="13" s="1"/>
  <c r="I108" i="13"/>
  <c r="AM108" i="13" s="1"/>
  <c r="I107" i="13"/>
  <c r="AM107" i="13" s="1"/>
  <c r="I106" i="13"/>
  <c r="AM106" i="13" s="1"/>
  <c r="I105" i="13"/>
  <c r="AM105" i="13" s="1"/>
  <c r="I104" i="13"/>
  <c r="AM104" i="13" s="1"/>
  <c r="I103" i="13"/>
  <c r="AM103" i="13" s="1"/>
  <c r="AL102" i="13"/>
  <c r="AK102" i="13"/>
  <c r="AJ102" i="13"/>
  <c r="AI102" i="13"/>
  <c r="AH102" i="13"/>
  <c r="AG102" i="13"/>
  <c r="AF102" i="13"/>
  <c r="AE102" i="13"/>
  <c r="AD102" i="13"/>
  <c r="AC102" i="13"/>
  <c r="AB102" i="13"/>
  <c r="AA102" i="13"/>
  <c r="Z102" i="13"/>
  <c r="Y102" i="13"/>
  <c r="X102" i="13"/>
  <c r="W102" i="13"/>
  <c r="V102" i="13"/>
  <c r="U102" i="13"/>
  <c r="T102" i="13"/>
  <c r="S102" i="13"/>
  <c r="R102" i="13"/>
  <c r="Q102" i="13"/>
  <c r="P102" i="13"/>
  <c r="O102" i="13"/>
  <c r="N102" i="13"/>
  <c r="M102" i="13"/>
  <c r="L102" i="13"/>
  <c r="K102" i="13"/>
  <c r="J102" i="13"/>
  <c r="I102" i="13" s="1"/>
  <c r="AM101" i="13"/>
  <c r="I101" i="13"/>
  <c r="I100" i="13"/>
  <c r="AM100" i="13" s="1"/>
  <c r="AM99" i="13"/>
  <c r="I99" i="13"/>
  <c r="I98" i="13"/>
  <c r="AM98" i="13" s="1"/>
  <c r="I97" i="13"/>
  <c r="AM97" i="13" s="1"/>
  <c r="I96" i="13"/>
  <c r="AM96" i="13" s="1"/>
  <c r="I95" i="13"/>
  <c r="AM95" i="13" s="1"/>
  <c r="I94" i="13"/>
  <c r="AM94" i="13" s="1"/>
  <c r="I93" i="13"/>
  <c r="AM93" i="13" s="1"/>
  <c r="I92" i="13"/>
  <c r="AM92" i="13" s="1"/>
  <c r="I91" i="13"/>
  <c r="AM91" i="13" s="1"/>
  <c r="I90" i="13"/>
  <c r="AM90" i="13" s="1"/>
  <c r="AM89" i="13"/>
  <c r="I89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 s="1"/>
  <c r="I87" i="13"/>
  <c r="AM87" i="13" s="1"/>
  <c r="I86" i="13"/>
  <c r="AM86" i="13" s="1"/>
  <c r="I85" i="13"/>
  <c r="AM85" i="13" s="1"/>
  <c r="I84" i="13"/>
  <c r="AM84" i="13" s="1"/>
  <c r="I83" i="13"/>
  <c r="AM83" i="13" s="1"/>
  <c r="I82" i="13"/>
  <c r="AM82" i="13" s="1"/>
  <c r="I81" i="13"/>
  <c r="AM81" i="13" s="1"/>
  <c r="I80" i="13"/>
  <c r="AM80" i="13" s="1"/>
  <c r="I79" i="13"/>
  <c r="AM79" i="13" s="1"/>
  <c r="I78" i="13"/>
  <c r="AM78" i="13" s="1"/>
  <c r="I77" i="13"/>
  <c r="AM77" i="13" s="1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AM75" i="13"/>
  <c r="I75" i="13"/>
  <c r="I74" i="13"/>
  <c r="AM74" i="13" s="1"/>
  <c r="I73" i="13"/>
  <c r="AM73" i="13" s="1"/>
  <c r="AM72" i="13"/>
  <c r="I72" i="13"/>
  <c r="I71" i="13"/>
  <c r="AM71" i="13" s="1"/>
  <c r="AL70" i="13"/>
  <c r="AK70" i="13"/>
  <c r="AJ70" i="13"/>
  <c r="AI70" i="13"/>
  <c r="AH70" i="13"/>
  <c r="AG70" i="13"/>
  <c r="AF70" i="13"/>
  <c r="AE70" i="13"/>
  <c r="AD70" i="13"/>
  <c r="AC70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69" i="13"/>
  <c r="AM69" i="13" s="1"/>
  <c r="I68" i="13"/>
  <c r="AM68" i="13" s="1"/>
  <c r="I67" i="13"/>
  <c r="AM67" i="13" s="1"/>
  <c r="I66" i="13"/>
  <c r="AM66" i="13" s="1"/>
  <c r="I65" i="13"/>
  <c r="AM65" i="13" s="1"/>
  <c r="AL64" i="13"/>
  <c r="AK64" i="13"/>
  <c r="AJ64" i="13"/>
  <c r="AI64" i="13"/>
  <c r="AH64" i="13"/>
  <c r="AG64" i="13"/>
  <c r="AF64" i="13"/>
  <c r="AE64" i="13"/>
  <c r="AD64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3" i="13"/>
  <c r="AM63" i="13" s="1"/>
  <c r="I62" i="13"/>
  <c r="AM62" i="13" s="1"/>
  <c r="I61" i="13"/>
  <c r="AM61" i="13" s="1"/>
  <c r="I60" i="13"/>
  <c r="AM60" i="13" s="1"/>
  <c r="AM59" i="13"/>
  <c r="I59" i="13"/>
  <c r="I58" i="13"/>
  <c r="AM58" i="13" s="1"/>
  <c r="I57" i="13"/>
  <c r="AM57" i="13" s="1"/>
  <c r="I56" i="13"/>
  <c r="AM56" i="13" s="1"/>
  <c r="I55" i="13"/>
  <c r="AM55" i="13" s="1"/>
  <c r="I54" i="13"/>
  <c r="AM54" i="13" s="1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 s="1"/>
  <c r="I52" i="13"/>
  <c r="AM52" i="13" s="1"/>
  <c r="I51" i="13"/>
  <c r="AM51" i="13" s="1"/>
  <c r="I50" i="13"/>
  <c r="AM50" i="13" s="1"/>
  <c r="I49" i="13"/>
  <c r="AM49" i="13" s="1"/>
  <c r="I48" i="13"/>
  <c r="AM48" i="13" s="1"/>
  <c r="I47" i="13"/>
  <c r="AM47" i="13" s="1"/>
  <c r="I46" i="13"/>
  <c r="AM46" i="13" s="1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4" i="13"/>
  <c r="AM44" i="13" s="1"/>
  <c r="I43" i="13"/>
  <c r="AM43" i="13" s="1"/>
  <c r="I42" i="13"/>
  <c r="AM42" i="13" s="1"/>
  <c r="AM41" i="13"/>
  <c r="I41" i="13"/>
  <c r="I40" i="13"/>
  <c r="AM40" i="13" s="1"/>
  <c r="I39" i="13"/>
  <c r="AM39" i="13" s="1"/>
  <c r="AM38" i="13"/>
  <c r="I38" i="13"/>
  <c r="I37" i="13"/>
  <c r="AM37" i="13" s="1"/>
  <c r="I36" i="13"/>
  <c r="AM36" i="13" s="1"/>
  <c r="I35" i="13"/>
  <c r="AM35" i="13" s="1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3" i="13"/>
  <c r="AM33" i="13" s="1"/>
  <c r="I32" i="13"/>
  <c r="AM32" i="13" s="1"/>
  <c r="I31" i="13"/>
  <c r="AM31" i="13" s="1"/>
  <c r="I30" i="13"/>
  <c r="AM30" i="13" s="1"/>
  <c r="I29" i="13"/>
  <c r="AM29" i="13" s="1"/>
  <c r="I28" i="13"/>
  <c r="AM28" i="13" s="1"/>
  <c r="I27" i="13"/>
  <c r="AM27" i="13" s="1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AM25" i="13"/>
  <c r="I25" i="13"/>
  <c r="I24" i="13"/>
  <c r="AM24" i="13" s="1"/>
  <c r="AM23" i="13"/>
  <c r="I23" i="13"/>
  <c r="I22" i="13"/>
  <c r="AM22" i="13" s="1"/>
  <c r="I21" i="13"/>
  <c r="AM21" i="13" s="1"/>
  <c r="I20" i="13"/>
  <c r="AM20" i="13" s="1"/>
  <c r="AM19" i="13"/>
  <c r="I19" i="13"/>
  <c r="I18" i="13"/>
  <c r="AM18" i="13" s="1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6" i="13"/>
  <c r="AM16" i="13" s="1"/>
  <c r="I15" i="13"/>
  <c r="AM15" i="13" s="1"/>
  <c r="I14" i="13"/>
  <c r="AM14" i="13" s="1"/>
  <c r="I13" i="13"/>
  <c r="AM13" i="13" s="1"/>
  <c r="I12" i="13"/>
  <c r="AM12" i="13" s="1"/>
  <c r="I11" i="13"/>
  <c r="Y70" i="3"/>
  <c r="Z70" i="3"/>
  <c r="N70" i="3"/>
  <c r="O70" i="3"/>
  <c r="P70" i="3"/>
  <c r="Q70" i="3"/>
  <c r="R70" i="3"/>
  <c r="S70" i="3"/>
  <c r="T70" i="3"/>
  <c r="U70" i="3"/>
  <c r="V70" i="3"/>
  <c r="W70" i="3"/>
  <c r="X70" i="3"/>
  <c r="M70" i="3"/>
  <c r="I130" i="12" l="1"/>
  <c r="BM130" i="12" s="1"/>
  <c r="BM276" i="12"/>
  <c r="I267" i="12"/>
  <c r="BM267" i="12" s="1"/>
  <c r="U74" i="8"/>
  <c r="I17" i="13"/>
  <c r="AM310" i="13"/>
  <c r="I45" i="13"/>
  <c r="AM88" i="13"/>
  <c r="I26" i="13"/>
  <c r="AK323" i="13"/>
  <c r="U323" i="13"/>
  <c r="I64" i="13"/>
  <c r="I70" i="13"/>
  <c r="I110" i="13"/>
  <c r="AM110" i="13" s="1"/>
  <c r="I119" i="13"/>
  <c r="AM119" i="13" s="1"/>
  <c r="AC323" i="13"/>
  <c r="M323" i="13"/>
  <c r="AM53" i="13"/>
  <c r="AS276" i="11"/>
  <c r="S276" i="10"/>
  <c r="U318" i="8"/>
  <c r="U302" i="8"/>
  <c r="U294" i="8"/>
  <c r="U286" i="8"/>
  <c r="U269" i="8"/>
  <c r="U261" i="8"/>
  <c r="U253" i="8"/>
  <c r="U245" i="8"/>
  <c r="U237" i="8"/>
  <c r="U229" i="8"/>
  <c r="U221" i="8"/>
  <c r="U213" i="8"/>
  <c r="U205" i="8"/>
  <c r="U197" i="8"/>
  <c r="U189" i="8"/>
  <c r="U181" i="8"/>
  <c r="U173" i="8"/>
  <c r="U157" i="8"/>
  <c r="U149" i="8"/>
  <c r="U141" i="8"/>
  <c r="U133" i="8"/>
  <c r="U125" i="8"/>
  <c r="U117" i="8"/>
  <c r="U109" i="8"/>
  <c r="U101" i="8"/>
  <c r="U93" i="8"/>
  <c r="U85" i="8"/>
  <c r="U77" i="8"/>
  <c r="U69" i="8"/>
  <c r="U61" i="8"/>
  <c r="U37" i="8"/>
  <c r="U29" i="8"/>
  <c r="U21" i="8"/>
  <c r="U13" i="8"/>
  <c r="U317" i="8"/>
  <c r="U309" i="8"/>
  <c r="U301" i="8"/>
  <c r="U293" i="8"/>
  <c r="U285" i="8"/>
  <c r="U277" i="8"/>
  <c r="U268" i="8"/>
  <c r="U260" i="8"/>
  <c r="U252" i="8"/>
  <c r="U244" i="8"/>
  <c r="U236" i="8"/>
  <c r="U228" i="8"/>
  <c r="U220" i="8"/>
  <c r="U212" i="8"/>
  <c r="U204" i="8"/>
  <c r="U196" i="8"/>
  <c r="U188" i="8"/>
  <c r="U180" i="8"/>
  <c r="U172" i="8"/>
  <c r="U164" i="8"/>
  <c r="U156" i="8"/>
  <c r="U148" i="8"/>
  <c r="U140" i="8"/>
  <c r="U132" i="8"/>
  <c r="U124" i="8"/>
  <c r="U116" i="8"/>
  <c r="U108" i="8"/>
  <c r="U100" i="8"/>
  <c r="U92" i="8"/>
  <c r="U84" i="8"/>
  <c r="U68" i="8"/>
  <c r="U60" i="8"/>
  <c r="U52" i="8"/>
  <c r="U44" i="8"/>
  <c r="U36" i="8"/>
  <c r="U28" i="8"/>
  <c r="U20" i="8"/>
  <c r="U12" i="8"/>
  <c r="P271" i="8"/>
  <c r="U316" i="8"/>
  <c r="U308" i="8"/>
  <c r="U300" i="8"/>
  <c r="U292" i="8"/>
  <c r="U284" i="8"/>
  <c r="U267" i="8"/>
  <c r="U259" i="8"/>
  <c r="U251" i="8"/>
  <c r="U235" i="8"/>
  <c r="U227" i="8"/>
  <c r="U219" i="8"/>
  <c r="U211" i="8"/>
  <c r="U203" i="8"/>
  <c r="U187" i="8"/>
  <c r="U179" i="8"/>
  <c r="U171" i="8"/>
  <c r="U163" i="8"/>
  <c r="U155" i="8"/>
  <c r="U147" i="8"/>
  <c r="U139" i="8"/>
  <c r="U131" i="8"/>
  <c r="U123" i="8"/>
  <c r="U115" i="8"/>
  <c r="U107" i="8"/>
  <c r="U99" i="8"/>
  <c r="U91" i="8"/>
  <c r="U83" i="8"/>
  <c r="U75" i="8"/>
  <c r="U67" i="8"/>
  <c r="U59" i="8"/>
  <c r="U51" i="8"/>
  <c r="U43" i="8"/>
  <c r="U35" i="8"/>
  <c r="U27" i="8"/>
  <c r="U19" i="8"/>
  <c r="U322" i="8"/>
  <c r="U314" i="8"/>
  <c r="U306" i="8"/>
  <c r="U298" i="8"/>
  <c r="U290" i="8"/>
  <c r="U282" i="8"/>
  <c r="U274" i="8"/>
  <c r="U265" i="8"/>
  <c r="U257" i="8"/>
  <c r="U249" i="8"/>
  <c r="U241" i="8"/>
  <c r="U225" i="8"/>
  <c r="U217" i="8"/>
  <c r="U209" i="8"/>
  <c r="U201" i="8"/>
  <c r="U193" i="8"/>
  <c r="U185" i="8"/>
  <c r="U177" i="8"/>
  <c r="U169" i="8"/>
  <c r="U161" i="8"/>
  <c r="U153" i="8"/>
  <c r="U145" i="8"/>
  <c r="U137" i="8"/>
  <c r="U129" i="8"/>
  <c r="U121" i="8"/>
  <c r="U113" i="8"/>
  <c r="U105" i="8"/>
  <c r="U97" i="8"/>
  <c r="U89" i="8"/>
  <c r="U81" i="8"/>
  <c r="U73" i="8"/>
  <c r="U65" i="8"/>
  <c r="U57" i="8"/>
  <c r="U49" i="8"/>
  <c r="U41" i="8"/>
  <c r="U33" i="8"/>
  <c r="U25" i="8"/>
  <c r="U321" i="8"/>
  <c r="U313" i="8"/>
  <c r="U305" i="8"/>
  <c r="U297" i="8"/>
  <c r="U289" i="8"/>
  <c r="U281" i="8"/>
  <c r="U273" i="8"/>
  <c r="U264" i="8"/>
  <c r="U256" i="8"/>
  <c r="U248" i="8"/>
  <c r="U240" i="8"/>
  <c r="U232" i="8"/>
  <c r="U224" i="8"/>
  <c r="U216" i="8"/>
  <c r="U208" i="8"/>
  <c r="U200" i="8"/>
  <c r="U192" i="8"/>
  <c r="U184" i="8"/>
  <c r="U176" i="8"/>
  <c r="U168" i="8"/>
  <c r="U160" i="8"/>
  <c r="U152" i="8"/>
  <c r="U144" i="8"/>
  <c r="U136" i="8"/>
  <c r="U128" i="8"/>
  <c r="U120" i="8"/>
  <c r="U112" i="8"/>
  <c r="U104" i="8"/>
  <c r="U96" i="8"/>
  <c r="U80" i="8"/>
  <c r="U72" i="8"/>
  <c r="U56" i="8"/>
  <c r="U48" i="8"/>
  <c r="U40" i="8"/>
  <c r="U32" i="8"/>
  <c r="U24" i="8"/>
  <c r="U16" i="8"/>
  <c r="U320" i="8"/>
  <c r="U312" i="8"/>
  <c r="U296" i="8"/>
  <c r="U288" i="8"/>
  <c r="U280" i="8"/>
  <c r="U272" i="8"/>
  <c r="U263" i="8"/>
  <c r="U255" i="8"/>
  <c r="U247" i="8"/>
  <c r="U239" i="8"/>
  <c r="U231" i="8"/>
  <c r="U215" i="8"/>
  <c r="U207" i="8"/>
  <c r="U199" i="8"/>
  <c r="U191" i="8"/>
  <c r="U183" i="8"/>
  <c r="U175" i="8"/>
  <c r="U167" i="8"/>
  <c r="U151" i="8"/>
  <c r="U143" i="8"/>
  <c r="U135" i="8"/>
  <c r="U127" i="8"/>
  <c r="U111" i="8"/>
  <c r="U103" i="8"/>
  <c r="U95" i="8"/>
  <c r="U87" i="8"/>
  <c r="U79" i="8"/>
  <c r="U71" i="8"/>
  <c r="U63" i="8"/>
  <c r="U55" i="8"/>
  <c r="U47" i="8"/>
  <c r="U39" i="8"/>
  <c r="U31" i="8"/>
  <c r="U23" i="8"/>
  <c r="U15" i="8"/>
  <c r="U319" i="8"/>
  <c r="U311" i="8"/>
  <c r="U303" i="8"/>
  <c r="U279" i="8"/>
  <c r="U270" i="8"/>
  <c r="U262" i="8"/>
  <c r="U254" i="8"/>
  <c r="U246" i="8"/>
  <c r="U238" i="8"/>
  <c r="U230" i="8"/>
  <c r="U222" i="8"/>
  <c r="U214" i="8"/>
  <c r="U206" i="8"/>
  <c r="U198" i="8"/>
  <c r="U190" i="8"/>
  <c r="U182" i="8"/>
  <c r="U166" i="8"/>
  <c r="U158" i="8"/>
  <c r="U142" i="8"/>
  <c r="U134" i="8"/>
  <c r="U126" i="8"/>
  <c r="U118" i="8"/>
  <c r="U94" i="8"/>
  <c r="U86" i="8"/>
  <c r="U78" i="8"/>
  <c r="U62" i="8"/>
  <c r="U54" i="8"/>
  <c r="U46" i="8"/>
  <c r="U38" i="8"/>
  <c r="U30" i="8"/>
  <c r="U22" i="8"/>
  <c r="U14" i="8"/>
  <c r="AM267" i="6"/>
  <c r="AM271" i="13"/>
  <c r="I130" i="8"/>
  <c r="AB271" i="8"/>
  <c r="U276" i="8"/>
  <c r="V271" i="8"/>
  <c r="I276" i="8"/>
  <c r="AG276" i="8" s="1"/>
  <c r="AG130" i="8"/>
  <c r="I267" i="8"/>
  <c r="AG267" i="8"/>
  <c r="N323" i="13"/>
  <c r="V323" i="13"/>
  <c r="AD323" i="13"/>
  <c r="I195" i="13"/>
  <c r="AM195" i="13" s="1"/>
  <c r="I250" i="13"/>
  <c r="AM250" i="13" s="1"/>
  <c r="I278" i="13"/>
  <c r="AM278" i="13" s="1"/>
  <c r="AE323" i="13"/>
  <c r="I150" i="13"/>
  <c r="AM150" i="13" s="1"/>
  <c r="AM243" i="13"/>
  <c r="AM295" i="13"/>
  <c r="O323" i="13"/>
  <c r="P323" i="13"/>
  <c r="X323" i="13"/>
  <c r="AF323" i="13"/>
  <c r="AM45" i="13"/>
  <c r="AM102" i="13"/>
  <c r="AM165" i="13"/>
  <c r="AM210" i="13"/>
  <c r="AC130" i="10"/>
  <c r="AC267" i="10"/>
  <c r="AC276" i="10"/>
  <c r="AS130" i="11"/>
  <c r="W323" i="13"/>
  <c r="Q323" i="13"/>
  <c r="Y323" i="13"/>
  <c r="AG323" i="13"/>
  <c r="I304" i="13"/>
  <c r="AM304" i="13" s="1"/>
  <c r="R323" i="13"/>
  <c r="AM287" i="13"/>
  <c r="Z323" i="13"/>
  <c r="AM159" i="13"/>
  <c r="AM174" i="13"/>
  <c r="I223" i="13"/>
  <c r="AM223" i="13" s="1"/>
  <c r="S323" i="13"/>
  <c r="AA323" i="13"/>
  <c r="AI323" i="13"/>
  <c r="I76" i="13"/>
  <c r="AM76" i="13" s="1"/>
  <c r="J323" i="13"/>
  <c r="AH323" i="13"/>
  <c r="I34" i="13"/>
  <c r="AM34" i="13" s="1"/>
  <c r="AM70" i="13"/>
  <c r="L323" i="13"/>
  <c r="T323" i="13"/>
  <c r="AB323" i="13"/>
  <c r="AJ323" i="13"/>
  <c r="AM64" i="13"/>
  <c r="I233" i="13"/>
  <c r="AM233" i="13" s="1"/>
  <c r="AM130" i="6"/>
  <c r="AM276" i="6"/>
  <c r="AM26" i="13"/>
  <c r="AM17" i="13"/>
  <c r="AM323" i="13"/>
  <c r="I323" i="13"/>
  <c r="K323" i="13"/>
  <c r="AM11" i="13"/>
  <c r="D5" i="17"/>
  <c r="D11" i="17"/>
  <c r="D6" i="17"/>
  <c r="D7" i="17"/>
  <c r="D8" i="17"/>
  <c r="D9" i="17"/>
  <c r="D10" i="17"/>
  <c r="C10" i="6" l="1" a="1"/>
  <c r="C10" i="6" s="1"/>
  <c r="C10" i="13" a="1"/>
  <c r="C10" i="13" s="1"/>
  <c r="C4" i="15" a="1"/>
  <c r="C4" i="15" s="1"/>
  <c r="C10" i="10" a="1"/>
  <c r="C10" i="10" s="1"/>
  <c r="C10" i="3" a="1"/>
  <c r="C10" i="3" s="1"/>
  <c r="C5" i="16" a="1"/>
  <c r="C5" i="16" s="1"/>
  <c r="C10" i="11" a="1"/>
  <c r="C10" i="11" s="1"/>
  <c r="C10" i="12" a="1"/>
  <c r="C10" i="12" s="1"/>
  <c r="C10" i="8" a="1"/>
  <c r="C10" i="8" s="1"/>
  <c r="C7" i="14" a="1"/>
  <c r="C7" i="14" s="1"/>
  <c r="U271" i="8"/>
  <c r="L16" i="3"/>
  <c r="K16" i="3" s="1"/>
  <c r="L15" i="3"/>
  <c r="K15" i="3" s="1"/>
  <c r="L14" i="3"/>
  <c r="K14" i="3" s="1"/>
  <c r="L13" i="3"/>
  <c r="K13" i="3" s="1"/>
  <c r="L12" i="3"/>
  <c r="K12" i="3" s="1"/>
  <c r="L11" i="3"/>
  <c r="Q304" i="3"/>
  <c r="R304" i="3"/>
  <c r="S304" i="3"/>
  <c r="T304" i="3"/>
  <c r="U304" i="3"/>
  <c r="V304" i="3"/>
  <c r="W304" i="3"/>
  <c r="X304" i="3"/>
  <c r="Y304" i="3"/>
  <c r="Z304" i="3"/>
  <c r="AA304" i="3"/>
  <c r="AB304" i="3"/>
  <c r="AC304" i="3"/>
  <c r="AD304" i="3"/>
  <c r="AE304" i="3"/>
  <c r="AF304" i="3"/>
  <c r="U17" i="3"/>
  <c r="M17" i="3"/>
  <c r="S17" i="3"/>
  <c r="J12" i="12"/>
  <c r="K12" i="12"/>
  <c r="L12" i="12"/>
  <c r="M12" i="12"/>
  <c r="N12" i="12"/>
  <c r="J13" i="12"/>
  <c r="K13" i="12"/>
  <c r="L13" i="12"/>
  <c r="M13" i="12"/>
  <c r="N13" i="12"/>
  <c r="J14" i="12"/>
  <c r="K14" i="12"/>
  <c r="L14" i="12"/>
  <c r="M14" i="12"/>
  <c r="N14" i="12"/>
  <c r="J15" i="12"/>
  <c r="K15" i="12"/>
  <c r="L15" i="12"/>
  <c r="M15" i="12"/>
  <c r="N15" i="12"/>
  <c r="J16" i="12"/>
  <c r="K16" i="12"/>
  <c r="L16" i="12"/>
  <c r="M16" i="12"/>
  <c r="N16" i="12"/>
  <c r="J18" i="12"/>
  <c r="K18" i="12"/>
  <c r="L18" i="12"/>
  <c r="M18" i="12"/>
  <c r="N18" i="12"/>
  <c r="J19" i="12"/>
  <c r="K19" i="12"/>
  <c r="L19" i="12"/>
  <c r="M19" i="12"/>
  <c r="N19" i="12"/>
  <c r="J20" i="12"/>
  <c r="K20" i="12"/>
  <c r="L20" i="12"/>
  <c r="M20" i="12"/>
  <c r="N20" i="12"/>
  <c r="J21" i="12"/>
  <c r="K21" i="12"/>
  <c r="L21" i="12"/>
  <c r="M21" i="12"/>
  <c r="N21" i="12"/>
  <c r="J22" i="12"/>
  <c r="K22" i="12"/>
  <c r="L22" i="12"/>
  <c r="M22" i="12"/>
  <c r="N22" i="12"/>
  <c r="J23" i="12"/>
  <c r="K23" i="12"/>
  <c r="L23" i="12"/>
  <c r="M23" i="12"/>
  <c r="N23" i="12"/>
  <c r="J24" i="12"/>
  <c r="K24" i="12"/>
  <c r="L24" i="12"/>
  <c r="M24" i="12"/>
  <c r="N24" i="12"/>
  <c r="J25" i="12"/>
  <c r="K25" i="12"/>
  <c r="L25" i="12"/>
  <c r="M25" i="12"/>
  <c r="N25" i="12"/>
  <c r="J27" i="12"/>
  <c r="K27" i="12"/>
  <c r="L27" i="12"/>
  <c r="M27" i="12"/>
  <c r="N27" i="12"/>
  <c r="J28" i="12"/>
  <c r="K28" i="12"/>
  <c r="L28" i="12"/>
  <c r="M28" i="12"/>
  <c r="N28" i="12"/>
  <c r="J29" i="12"/>
  <c r="K29" i="12"/>
  <c r="L29" i="12"/>
  <c r="M29" i="12"/>
  <c r="N29" i="12"/>
  <c r="J30" i="12"/>
  <c r="K30" i="12"/>
  <c r="L30" i="12"/>
  <c r="M30" i="12"/>
  <c r="N30" i="12"/>
  <c r="J31" i="12"/>
  <c r="K31" i="12"/>
  <c r="L31" i="12"/>
  <c r="M31" i="12"/>
  <c r="N31" i="12"/>
  <c r="J32" i="12"/>
  <c r="K32" i="12"/>
  <c r="L32" i="12"/>
  <c r="M32" i="12"/>
  <c r="N32" i="12"/>
  <c r="J33" i="12"/>
  <c r="K33" i="12"/>
  <c r="L33" i="12"/>
  <c r="M33" i="12"/>
  <c r="N33" i="12"/>
  <c r="J35" i="12"/>
  <c r="K35" i="12"/>
  <c r="L35" i="12"/>
  <c r="M35" i="12"/>
  <c r="N35" i="12"/>
  <c r="J36" i="12"/>
  <c r="K36" i="12"/>
  <c r="L36" i="12"/>
  <c r="M36" i="12"/>
  <c r="N36" i="12"/>
  <c r="J37" i="12"/>
  <c r="K37" i="12"/>
  <c r="L37" i="12"/>
  <c r="M37" i="12"/>
  <c r="N37" i="12"/>
  <c r="J38" i="12"/>
  <c r="K38" i="12"/>
  <c r="L38" i="12"/>
  <c r="M38" i="12"/>
  <c r="N38" i="12"/>
  <c r="J39" i="12"/>
  <c r="K39" i="12"/>
  <c r="L39" i="12"/>
  <c r="M39" i="12"/>
  <c r="N39" i="12"/>
  <c r="J40" i="12"/>
  <c r="K40" i="12"/>
  <c r="L40" i="12"/>
  <c r="M40" i="12"/>
  <c r="N40" i="12"/>
  <c r="J41" i="12"/>
  <c r="K41" i="12"/>
  <c r="L41" i="12"/>
  <c r="M41" i="12"/>
  <c r="N41" i="12"/>
  <c r="J42" i="12"/>
  <c r="K42" i="12"/>
  <c r="L42" i="12"/>
  <c r="M42" i="12"/>
  <c r="N42" i="12"/>
  <c r="J43" i="12"/>
  <c r="K43" i="12"/>
  <c r="L43" i="12"/>
  <c r="M43" i="12"/>
  <c r="N43" i="12"/>
  <c r="J44" i="12"/>
  <c r="K44" i="12"/>
  <c r="L44" i="12"/>
  <c r="M44" i="12"/>
  <c r="N44" i="12"/>
  <c r="J46" i="12"/>
  <c r="K46" i="12"/>
  <c r="L46" i="12"/>
  <c r="M46" i="12"/>
  <c r="N46" i="12"/>
  <c r="J47" i="12"/>
  <c r="K47" i="12"/>
  <c r="L47" i="12"/>
  <c r="M47" i="12"/>
  <c r="N47" i="12"/>
  <c r="J48" i="12"/>
  <c r="K48" i="12"/>
  <c r="L48" i="12"/>
  <c r="M48" i="12"/>
  <c r="N48" i="12"/>
  <c r="J49" i="12"/>
  <c r="K49" i="12"/>
  <c r="L49" i="12"/>
  <c r="M49" i="12"/>
  <c r="N49" i="12"/>
  <c r="J50" i="12"/>
  <c r="K50" i="12"/>
  <c r="L50" i="12"/>
  <c r="M50" i="12"/>
  <c r="N50" i="12"/>
  <c r="J51" i="12"/>
  <c r="K51" i="12"/>
  <c r="L51" i="12"/>
  <c r="M51" i="12"/>
  <c r="N51" i="12"/>
  <c r="J52" i="12"/>
  <c r="K52" i="12"/>
  <c r="L52" i="12"/>
  <c r="M52" i="12"/>
  <c r="N52" i="12"/>
  <c r="J54" i="12"/>
  <c r="K54" i="12"/>
  <c r="L54" i="12"/>
  <c r="M54" i="12"/>
  <c r="N54" i="12"/>
  <c r="J55" i="12"/>
  <c r="K55" i="12"/>
  <c r="L55" i="12"/>
  <c r="M55" i="12"/>
  <c r="N55" i="12"/>
  <c r="J56" i="12"/>
  <c r="K56" i="12"/>
  <c r="L56" i="12"/>
  <c r="M56" i="12"/>
  <c r="N56" i="12"/>
  <c r="J57" i="12"/>
  <c r="K57" i="12"/>
  <c r="L57" i="12"/>
  <c r="M57" i="12"/>
  <c r="N57" i="12"/>
  <c r="J58" i="12"/>
  <c r="K58" i="12"/>
  <c r="L58" i="12"/>
  <c r="M58" i="12"/>
  <c r="N58" i="12"/>
  <c r="J59" i="12"/>
  <c r="K59" i="12"/>
  <c r="L59" i="12"/>
  <c r="M59" i="12"/>
  <c r="N59" i="12"/>
  <c r="J60" i="12"/>
  <c r="K60" i="12"/>
  <c r="L60" i="12"/>
  <c r="M60" i="12"/>
  <c r="N60" i="12"/>
  <c r="J61" i="12"/>
  <c r="K61" i="12"/>
  <c r="L61" i="12"/>
  <c r="M61" i="12"/>
  <c r="N61" i="12"/>
  <c r="J62" i="12"/>
  <c r="K62" i="12"/>
  <c r="L62" i="12"/>
  <c r="M62" i="12"/>
  <c r="N62" i="12"/>
  <c r="J63" i="12"/>
  <c r="K63" i="12"/>
  <c r="L63" i="12"/>
  <c r="M63" i="12"/>
  <c r="N63" i="12"/>
  <c r="J65" i="12"/>
  <c r="K65" i="12"/>
  <c r="L65" i="12"/>
  <c r="M65" i="12"/>
  <c r="N65" i="12"/>
  <c r="J66" i="12"/>
  <c r="K66" i="12"/>
  <c r="L66" i="12"/>
  <c r="M66" i="12"/>
  <c r="N66" i="12"/>
  <c r="J67" i="12"/>
  <c r="K67" i="12"/>
  <c r="L67" i="12"/>
  <c r="M67" i="12"/>
  <c r="N67" i="12"/>
  <c r="J68" i="12"/>
  <c r="K68" i="12"/>
  <c r="L68" i="12"/>
  <c r="M68" i="12"/>
  <c r="N68" i="12"/>
  <c r="J69" i="12"/>
  <c r="K69" i="12"/>
  <c r="L69" i="12"/>
  <c r="M69" i="12"/>
  <c r="N69" i="12"/>
  <c r="J71" i="12"/>
  <c r="K71" i="12"/>
  <c r="L71" i="12"/>
  <c r="M71" i="12"/>
  <c r="N71" i="12"/>
  <c r="J72" i="12"/>
  <c r="K72" i="12"/>
  <c r="L72" i="12"/>
  <c r="M72" i="12"/>
  <c r="N72" i="12"/>
  <c r="J73" i="12"/>
  <c r="K73" i="12"/>
  <c r="L73" i="12"/>
  <c r="M73" i="12"/>
  <c r="N73" i="12"/>
  <c r="J74" i="12"/>
  <c r="K74" i="12"/>
  <c r="L74" i="12"/>
  <c r="M74" i="12"/>
  <c r="N74" i="12"/>
  <c r="J75" i="12"/>
  <c r="K75" i="12"/>
  <c r="L75" i="12"/>
  <c r="M75" i="12"/>
  <c r="N75" i="12"/>
  <c r="J77" i="12"/>
  <c r="K77" i="12"/>
  <c r="L77" i="12"/>
  <c r="M77" i="12"/>
  <c r="N77" i="12"/>
  <c r="J78" i="12"/>
  <c r="K78" i="12"/>
  <c r="L78" i="12"/>
  <c r="M78" i="12"/>
  <c r="N78" i="12"/>
  <c r="J79" i="12"/>
  <c r="K79" i="12"/>
  <c r="L79" i="12"/>
  <c r="M79" i="12"/>
  <c r="N79" i="12"/>
  <c r="J80" i="12"/>
  <c r="K80" i="12"/>
  <c r="L80" i="12"/>
  <c r="M80" i="12"/>
  <c r="N80" i="12"/>
  <c r="J81" i="12"/>
  <c r="K81" i="12"/>
  <c r="L81" i="12"/>
  <c r="M81" i="12"/>
  <c r="N81" i="12"/>
  <c r="J82" i="12"/>
  <c r="K82" i="12"/>
  <c r="L82" i="12"/>
  <c r="M82" i="12"/>
  <c r="N82" i="12"/>
  <c r="J83" i="12"/>
  <c r="K83" i="12"/>
  <c r="L83" i="12"/>
  <c r="M83" i="12"/>
  <c r="N83" i="12"/>
  <c r="J84" i="12"/>
  <c r="K84" i="12"/>
  <c r="L84" i="12"/>
  <c r="M84" i="12"/>
  <c r="N84" i="12"/>
  <c r="J85" i="12"/>
  <c r="K85" i="12"/>
  <c r="L85" i="12"/>
  <c r="M85" i="12"/>
  <c r="N85" i="12"/>
  <c r="J86" i="12"/>
  <c r="K86" i="12"/>
  <c r="L86" i="12"/>
  <c r="M86" i="12"/>
  <c r="N86" i="12"/>
  <c r="J87" i="12"/>
  <c r="K87" i="12"/>
  <c r="L87" i="12"/>
  <c r="M87" i="12"/>
  <c r="N87" i="12"/>
  <c r="J89" i="12"/>
  <c r="K89" i="12"/>
  <c r="L89" i="12"/>
  <c r="M89" i="12"/>
  <c r="N89" i="12"/>
  <c r="J90" i="12"/>
  <c r="K90" i="12"/>
  <c r="L90" i="12"/>
  <c r="M90" i="12"/>
  <c r="N90" i="12"/>
  <c r="J91" i="12"/>
  <c r="K91" i="12"/>
  <c r="L91" i="12"/>
  <c r="M91" i="12"/>
  <c r="N91" i="12"/>
  <c r="J92" i="12"/>
  <c r="K92" i="12"/>
  <c r="L92" i="12"/>
  <c r="M92" i="12"/>
  <c r="N92" i="12"/>
  <c r="J93" i="12"/>
  <c r="K93" i="12"/>
  <c r="L93" i="12"/>
  <c r="M93" i="12"/>
  <c r="N93" i="12"/>
  <c r="J94" i="12"/>
  <c r="K94" i="12"/>
  <c r="L94" i="12"/>
  <c r="M94" i="12"/>
  <c r="N94" i="12"/>
  <c r="J95" i="12"/>
  <c r="K95" i="12"/>
  <c r="L95" i="12"/>
  <c r="M95" i="12"/>
  <c r="N95" i="12"/>
  <c r="J96" i="12"/>
  <c r="K96" i="12"/>
  <c r="L96" i="12"/>
  <c r="M96" i="12"/>
  <c r="N96" i="12"/>
  <c r="J97" i="12"/>
  <c r="K97" i="12"/>
  <c r="L97" i="12"/>
  <c r="M97" i="12"/>
  <c r="N97" i="12"/>
  <c r="J98" i="12"/>
  <c r="K98" i="12"/>
  <c r="L98" i="12"/>
  <c r="M98" i="12"/>
  <c r="N98" i="12"/>
  <c r="J99" i="12"/>
  <c r="K99" i="12"/>
  <c r="L99" i="12"/>
  <c r="M99" i="12"/>
  <c r="N99" i="12"/>
  <c r="J100" i="12"/>
  <c r="K100" i="12"/>
  <c r="L100" i="12"/>
  <c r="M100" i="12"/>
  <c r="N100" i="12"/>
  <c r="J101" i="12"/>
  <c r="K101" i="12"/>
  <c r="L101" i="12"/>
  <c r="M101" i="12"/>
  <c r="N101" i="12"/>
  <c r="J103" i="12"/>
  <c r="K103" i="12"/>
  <c r="L103" i="12"/>
  <c r="M103" i="12"/>
  <c r="N103" i="12"/>
  <c r="J104" i="12"/>
  <c r="K104" i="12"/>
  <c r="L104" i="12"/>
  <c r="M104" i="12"/>
  <c r="N104" i="12"/>
  <c r="J105" i="12"/>
  <c r="K105" i="12"/>
  <c r="L105" i="12"/>
  <c r="M105" i="12"/>
  <c r="N105" i="12"/>
  <c r="J106" i="12"/>
  <c r="K106" i="12"/>
  <c r="L106" i="12"/>
  <c r="M106" i="12"/>
  <c r="N106" i="12"/>
  <c r="J107" i="12"/>
  <c r="K107" i="12"/>
  <c r="L107" i="12"/>
  <c r="M107" i="12"/>
  <c r="N107" i="12"/>
  <c r="J108" i="12"/>
  <c r="K108" i="12"/>
  <c r="L108" i="12"/>
  <c r="M108" i="12"/>
  <c r="N108" i="12"/>
  <c r="J109" i="12"/>
  <c r="K109" i="12"/>
  <c r="L109" i="12"/>
  <c r="M109" i="12"/>
  <c r="N109" i="12"/>
  <c r="J111" i="12"/>
  <c r="K111" i="12"/>
  <c r="L111" i="12"/>
  <c r="M111" i="12"/>
  <c r="N111" i="12"/>
  <c r="J112" i="12"/>
  <c r="K112" i="12"/>
  <c r="L112" i="12"/>
  <c r="M112" i="12"/>
  <c r="N112" i="12"/>
  <c r="J113" i="12"/>
  <c r="K113" i="12"/>
  <c r="L113" i="12"/>
  <c r="M113" i="12"/>
  <c r="N113" i="12"/>
  <c r="J114" i="12"/>
  <c r="K114" i="12"/>
  <c r="L114" i="12"/>
  <c r="M114" i="12"/>
  <c r="N114" i="12"/>
  <c r="J115" i="12"/>
  <c r="K115" i="12"/>
  <c r="L115" i="12"/>
  <c r="M115" i="12"/>
  <c r="N115" i="12"/>
  <c r="J116" i="12"/>
  <c r="K116" i="12"/>
  <c r="L116" i="12"/>
  <c r="M116" i="12"/>
  <c r="N116" i="12"/>
  <c r="J117" i="12"/>
  <c r="K117" i="12"/>
  <c r="L117" i="12"/>
  <c r="M117" i="12"/>
  <c r="N117" i="12"/>
  <c r="J118" i="12"/>
  <c r="K118" i="12"/>
  <c r="L118" i="12"/>
  <c r="M118" i="12"/>
  <c r="N118" i="12"/>
  <c r="J120" i="12"/>
  <c r="K120" i="12"/>
  <c r="L120" i="12"/>
  <c r="M120" i="12"/>
  <c r="N120" i="12"/>
  <c r="J121" i="12"/>
  <c r="K121" i="12"/>
  <c r="L121" i="12"/>
  <c r="M121" i="12"/>
  <c r="N121" i="12"/>
  <c r="J122" i="12"/>
  <c r="K122" i="12"/>
  <c r="L122" i="12"/>
  <c r="M122" i="12"/>
  <c r="N122" i="12"/>
  <c r="J123" i="12"/>
  <c r="K123" i="12"/>
  <c r="L123" i="12"/>
  <c r="M123" i="12"/>
  <c r="N123" i="12"/>
  <c r="J124" i="12"/>
  <c r="K124" i="12"/>
  <c r="L124" i="12"/>
  <c r="M124" i="12"/>
  <c r="N124" i="12"/>
  <c r="J125" i="12"/>
  <c r="K125" i="12"/>
  <c r="L125" i="12"/>
  <c r="M125" i="12"/>
  <c r="N125" i="12"/>
  <c r="J126" i="12"/>
  <c r="K126" i="12"/>
  <c r="L126" i="12"/>
  <c r="M126" i="12"/>
  <c r="N126" i="12"/>
  <c r="J127" i="12"/>
  <c r="K127" i="12"/>
  <c r="L127" i="12"/>
  <c r="M127" i="12"/>
  <c r="N127" i="12"/>
  <c r="J128" i="12"/>
  <c r="K128" i="12"/>
  <c r="L128" i="12"/>
  <c r="M128" i="12"/>
  <c r="N128" i="12"/>
  <c r="J129" i="12"/>
  <c r="K129" i="12"/>
  <c r="L129" i="12"/>
  <c r="M129" i="12"/>
  <c r="N129" i="12"/>
  <c r="J131" i="12"/>
  <c r="K131" i="12"/>
  <c r="L131" i="12"/>
  <c r="M131" i="12"/>
  <c r="N131" i="12"/>
  <c r="J132" i="12"/>
  <c r="K132" i="12"/>
  <c r="L132" i="12"/>
  <c r="M132" i="12"/>
  <c r="N132" i="12"/>
  <c r="J133" i="12"/>
  <c r="K133" i="12"/>
  <c r="L133" i="12"/>
  <c r="M133" i="12"/>
  <c r="N133" i="12"/>
  <c r="J134" i="12"/>
  <c r="K134" i="12"/>
  <c r="L134" i="12"/>
  <c r="M134" i="12"/>
  <c r="N134" i="12"/>
  <c r="J135" i="12"/>
  <c r="K135" i="12"/>
  <c r="L135" i="12"/>
  <c r="M135" i="12"/>
  <c r="N135" i="12"/>
  <c r="J136" i="12"/>
  <c r="K136" i="12"/>
  <c r="L136" i="12"/>
  <c r="M136" i="12"/>
  <c r="N136" i="12"/>
  <c r="J137" i="12"/>
  <c r="K137" i="12"/>
  <c r="L137" i="12"/>
  <c r="M137" i="12"/>
  <c r="N137" i="12"/>
  <c r="J138" i="12"/>
  <c r="K138" i="12"/>
  <c r="L138" i="12"/>
  <c r="M138" i="12"/>
  <c r="N138" i="12"/>
  <c r="J139" i="12"/>
  <c r="K139" i="12"/>
  <c r="L139" i="12"/>
  <c r="M139" i="12"/>
  <c r="N139" i="12"/>
  <c r="J140" i="12"/>
  <c r="K140" i="12"/>
  <c r="L140" i="12"/>
  <c r="M140" i="12"/>
  <c r="N140" i="12"/>
  <c r="J141" i="12"/>
  <c r="K141" i="12"/>
  <c r="L141" i="12"/>
  <c r="M141" i="12"/>
  <c r="N141" i="12"/>
  <c r="J142" i="12"/>
  <c r="K142" i="12"/>
  <c r="L142" i="12"/>
  <c r="M142" i="12"/>
  <c r="N142" i="12"/>
  <c r="J143" i="12"/>
  <c r="K143" i="12"/>
  <c r="L143" i="12"/>
  <c r="M143" i="12"/>
  <c r="N143" i="12"/>
  <c r="J144" i="12"/>
  <c r="K144" i="12"/>
  <c r="L144" i="12"/>
  <c r="M144" i="12"/>
  <c r="N144" i="12"/>
  <c r="J145" i="12"/>
  <c r="K145" i="12"/>
  <c r="L145" i="12"/>
  <c r="M145" i="12"/>
  <c r="N145" i="12"/>
  <c r="J146" i="12"/>
  <c r="K146" i="12"/>
  <c r="L146" i="12"/>
  <c r="M146" i="12"/>
  <c r="N146" i="12"/>
  <c r="J147" i="12"/>
  <c r="K147" i="12"/>
  <c r="L147" i="12"/>
  <c r="M147" i="12"/>
  <c r="N147" i="12"/>
  <c r="J148" i="12"/>
  <c r="K148" i="12"/>
  <c r="L148" i="12"/>
  <c r="M148" i="12"/>
  <c r="N148" i="12"/>
  <c r="J149" i="12"/>
  <c r="K149" i="12"/>
  <c r="L149" i="12"/>
  <c r="M149" i="12"/>
  <c r="N149" i="12"/>
  <c r="J151" i="12"/>
  <c r="K151" i="12"/>
  <c r="L151" i="12"/>
  <c r="M151" i="12"/>
  <c r="N151" i="12"/>
  <c r="J152" i="12"/>
  <c r="K152" i="12"/>
  <c r="L152" i="12"/>
  <c r="M152" i="12"/>
  <c r="N152" i="12"/>
  <c r="J153" i="12"/>
  <c r="K153" i="12"/>
  <c r="L153" i="12"/>
  <c r="M153" i="12"/>
  <c r="N153" i="12"/>
  <c r="J154" i="12"/>
  <c r="K154" i="12"/>
  <c r="L154" i="12"/>
  <c r="M154" i="12"/>
  <c r="N154" i="12"/>
  <c r="J155" i="12"/>
  <c r="K155" i="12"/>
  <c r="L155" i="12"/>
  <c r="M155" i="12"/>
  <c r="N155" i="12"/>
  <c r="J156" i="12"/>
  <c r="K156" i="12"/>
  <c r="L156" i="12"/>
  <c r="M156" i="12"/>
  <c r="N156" i="12"/>
  <c r="J157" i="12"/>
  <c r="K157" i="12"/>
  <c r="L157" i="12"/>
  <c r="M157" i="12"/>
  <c r="N157" i="12"/>
  <c r="J158" i="12"/>
  <c r="K158" i="12"/>
  <c r="L158" i="12"/>
  <c r="M158" i="12"/>
  <c r="N158" i="12"/>
  <c r="J160" i="12"/>
  <c r="K160" i="12"/>
  <c r="L160" i="12"/>
  <c r="M160" i="12"/>
  <c r="N160" i="12"/>
  <c r="J161" i="12"/>
  <c r="K161" i="12"/>
  <c r="L161" i="12"/>
  <c r="M161" i="12"/>
  <c r="N161" i="12"/>
  <c r="J162" i="12"/>
  <c r="K162" i="12"/>
  <c r="L162" i="12"/>
  <c r="M162" i="12"/>
  <c r="N162" i="12"/>
  <c r="J163" i="12"/>
  <c r="K163" i="12"/>
  <c r="L163" i="12"/>
  <c r="M163" i="12"/>
  <c r="N163" i="12"/>
  <c r="J164" i="12"/>
  <c r="K164" i="12"/>
  <c r="L164" i="12"/>
  <c r="M164" i="12"/>
  <c r="N164" i="12"/>
  <c r="J166" i="12"/>
  <c r="K166" i="12"/>
  <c r="L166" i="12"/>
  <c r="M166" i="12"/>
  <c r="N166" i="12"/>
  <c r="J167" i="12"/>
  <c r="K167" i="12"/>
  <c r="L167" i="12"/>
  <c r="M167" i="12"/>
  <c r="N167" i="12"/>
  <c r="J168" i="12"/>
  <c r="K168" i="12"/>
  <c r="L168" i="12"/>
  <c r="M168" i="12"/>
  <c r="N168" i="12"/>
  <c r="J169" i="12"/>
  <c r="K169" i="12"/>
  <c r="L169" i="12"/>
  <c r="M169" i="12"/>
  <c r="N169" i="12"/>
  <c r="J170" i="12"/>
  <c r="K170" i="12"/>
  <c r="L170" i="12"/>
  <c r="M170" i="12"/>
  <c r="N170" i="12"/>
  <c r="J171" i="12"/>
  <c r="K171" i="12"/>
  <c r="L171" i="12"/>
  <c r="M171" i="12"/>
  <c r="N171" i="12"/>
  <c r="J172" i="12"/>
  <c r="K172" i="12"/>
  <c r="L172" i="12"/>
  <c r="M172" i="12"/>
  <c r="N172" i="12"/>
  <c r="J173" i="12"/>
  <c r="K173" i="12"/>
  <c r="L173" i="12"/>
  <c r="M173" i="12"/>
  <c r="N173" i="12"/>
  <c r="J175" i="12"/>
  <c r="K175" i="12"/>
  <c r="L175" i="12"/>
  <c r="M175" i="12"/>
  <c r="N175" i="12"/>
  <c r="J176" i="12"/>
  <c r="K176" i="12"/>
  <c r="L176" i="12"/>
  <c r="M176" i="12"/>
  <c r="N176" i="12"/>
  <c r="J177" i="12"/>
  <c r="K177" i="12"/>
  <c r="L177" i="12"/>
  <c r="M177" i="12"/>
  <c r="N177" i="12"/>
  <c r="J178" i="12"/>
  <c r="K178" i="12"/>
  <c r="L178" i="12"/>
  <c r="M178" i="12"/>
  <c r="N178" i="12"/>
  <c r="J179" i="12"/>
  <c r="K179" i="12"/>
  <c r="L179" i="12"/>
  <c r="M179" i="12"/>
  <c r="N179" i="12"/>
  <c r="J180" i="12"/>
  <c r="K180" i="12"/>
  <c r="L180" i="12"/>
  <c r="M180" i="12"/>
  <c r="N180" i="12"/>
  <c r="J181" i="12"/>
  <c r="K181" i="12"/>
  <c r="L181" i="12"/>
  <c r="M181" i="12"/>
  <c r="N181" i="12"/>
  <c r="J182" i="12"/>
  <c r="K182" i="12"/>
  <c r="L182" i="12"/>
  <c r="M182" i="12"/>
  <c r="N182" i="12"/>
  <c r="J183" i="12"/>
  <c r="K183" i="12"/>
  <c r="L183" i="12"/>
  <c r="M183" i="12"/>
  <c r="N183" i="12"/>
  <c r="J184" i="12"/>
  <c r="K184" i="12"/>
  <c r="L184" i="12"/>
  <c r="M184" i="12"/>
  <c r="N184" i="12"/>
  <c r="J185" i="12"/>
  <c r="K185" i="12"/>
  <c r="L185" i="12"/>
  <c r="M185" i="12"/>
  <c r="N185" i="12"/>
  <c r="J186" i="12"/>
  <c r="K186" i="12"/>
  <c r="L186" i="12"/>
  <c r="M186" i="12"/>
  <c r="N186" i="12"/>
  <c r="J187" i="12"/>
  <c r="K187" i="12"/>
  <c r="L187" i="12"/>
  <c r="M187" i="12"/>
  <c r="N187" i="12"/>
  <c r="J188" i="12"/>
  <c r="K188" i="12"/>
  <c r="L188" i="12"/>
  <c r="M188" i="12"/>
  <c r="N188" i="12"/>
  <c r="J189" i="12"/>
  <c r="K189" i="12"/>
  <c r="L189" i="12"/>
  <c r="M189" i="12"/>
  <c r="N189" i="12"/>
  <c r="J190" i="12"/>
  <c r="K190" i="12"/>
  <c r="L190" i="12"/>
  <c r="M190" i="12"/>
  <c r="N190" i="12"/>
  <c r="J191" i="12"/>
  <c r="K191" i="12"/>
  <c r="L191" i="12"/>
  <c r="M191" i="12"/>
  <c r="N191" i="12"/>
  <c r="J192" i="12"/>
  <c r="K192" i="12"/>
  <c r="L192" i="12"/>
  <c r="M192" i="12"/>
  <c r="N192" i="12"/>
  <c r="J193" i="12"/>
  <c r="K193" i="12"/>
  <c r="L193" i="12"/>
  <c r="M193" i="12"/>
  <c r="N193" i="12"/>
  <c r="J194" i="12"/>
  <c r="K194" i="12"/>
  <c r="L194" i="12"/>
  <c r="M194" i="12"/>
  <c r="N194" i="12"/>
  <c r="J196" i="12"/>
  <c r="K196" i="12"/>
  <c r="L196" i="12"/>
  <c r="M196" i="12"/>
  <c r="N196" i="12"/>
  <c r="J197" i="12"/>
  <c r="K197" i="12"/>
  <c r="L197" i="12"/>
  <c r="M197" i="12"/>
  <c r="N197" i="12"/>
  <c r="J198" i="12"/>
  <c r="K198" i="12"/>
  <c r="L198" i="12"/>
  <c r="M198" i="12"/>
  <c r="N198" i="12"/>
  <c r="J199" i="12"/>
  <c r="K199" i="12"/>
  <c r="L199" i="12"/>
  <c r="M199" i="12"/>
  <c r="N199" i="12"/>
  <c r="J200" i="12"/>
  <c r="K200" i="12"/>
  <c r="L200" i="12"/>
  <c r="M200" i="12"/>
  <c r="N200" i="12"/>
  <c r="J201" i="12"/>
  <c r="K201" i="12"/>
  <c r="L201" i="12"/>
  <c r="M201" i="12"/>
  <c r="N201" i="12"/>
  <c r="J202" i="12"/>
  <c r="K202" i="12"/>
  <c r="L202" i="12"/>
  <c r="M202" i="12"/>
  <c r="N202" i="12"/>
  <c r="J203" i="12"/>
  <c r="K203" i="12"/>
  <c r="L203" i="12"/>
  <c r="M203" i="12"/>
  <c r="N203" i="12"/>
  <c r="J204" i="12"/>
  <c r="K204" i="12"/>
  <c r="L204" i="12"/>
  <c r="M204" i="12"/>
  <c r="N204" i="12"/>
  <c r="J205" i="12"/>
  <c r="K205" i="12"/>
  <c r="L205" i="12"/>
  <c r="M205" i="12"/>
  <c r="N205" i="12"/>
  <c r="J206" i="12"/>
  <c r="K206" i="12"/>
  <c r="L206" i="12"/>
  <c r="M206" i="12"/>
  <c r="N206" i="12"/>
  <c r="J207" i="12"/>
  <c r="K207" i="12"/>
  <c r="L207" i="12"/>
  <c r="M207" i="12"/>
  <c r="N207" i="12"/>
  <c r="J208" i="12"/>
  <c r="K208" i="12"/>
  <c r="L208" i="12"/>
  <c r="M208" i="12"/>
  <c r="N208" i="12"/>
  <c r="J209" i="12"/>
  <c r="K209" i="12"/>
  <c r="L209" i="12"/>
  <c r="M209" i="12"/>
  <c r="N209" i="12"/>
  <c r="J211" i="12"/>
  <c r="K211" i="12"/>
  <c r="L211" i="12"/>
  <c r="M211" i="12"/>
  <c r="N211" i="12"/>
  <c r="J212" i="12"/>
  <c r="K212" i="12"/>
  <c r="L212" i="12"/>
  <c r="M212" i="12"/>
  <c r="N212" i="12"/>
  <c r="J213" i="12"/>
  <c r="K213" i="12"/>
  <c r="L213" i="12"/>
  <c r="M213" i="12"/>
  <c r="N213" i="12"/>
  <c r="J214" i="12"/>
  <c r="K214" i="12"/>
  <c r="L214" i="12"/>
  <c r="M214" i="12"/>
  <c r="N214" i="12"/>
  <c r="J215" i="12"/>
  <c r="K215" i="12"/>
  <c r="L215" i="12"/>
  <c r="M215" i="12"/>
  <c r="N215" i="12"/>
  <c r="J216" i="12"/>
  <c r="K216" i="12"/>
  <c r="L216" i="12"/>
  <c r="M216" i="12"/>
  <c r="N216" i="12"/>
  <c r="J217" i="12"/>
  <c r="K217" i="12"/>
  <c r="L217" i="12"/>
  <c r="M217" i="12"/>
  <c r="N217" i="12"/>
  <c r="J218" i="12"/>
  <c r="K218" i="12"/>
  <c r="L218" i="12"/>
  <c r="M218" i="12"/>
  <c r="N218" i="12"/>
  <c r="J219" i="12"/>
  <c r="K219" i="12"/>
  <c r="L219" i="12"/>
  <c r="M219" i="12"/>
  <c r="N219" i="12"/>
  <c r="J220" i="12"/>
  <c r="K220" i="12"/>
  <c r="L220" i="12"/>
  <c r="M220" i="12"/>
  <c r="N220" i="12"/>
  <c r="J221" i="12"/>
  <c r="K221" i="12"/>
  <c r="L221" i="12"/>
  <c r="M221" i="12"/>
  <c r="N221" i="12"/>
  <c r="J222" i="12"/>
  <c r="K222" i="12"/>
  <c r="L222" i="12"/>
  <c r="M222" i="12"/>
  <c r="N222" i="12"/>
  <c r="J224" i="12"/>
  <c r="K224" i="12"/>
  <c r="L224" i="12"/>
  <c r="M224" i="12"/>
  <c r="N224" i="12"/>
  <c r="J225" i="12"/>
  <c r="K225" i="12"/>
  <c r="L225" i="12"/>
  <c r="M225" i="12"/>
  <c r="N225" i="12"/>
  <c r="J226" i="12"/>
  <c r="K226" i="12"/>
  <c r="L226" i="12"/>
  <c r="M226" i="12"/>
  <c r="N226" i="12"/>
  <c r="J227" i="12"/>
  <c r="K227" i="12"/>
  <c r="L227" i="12"/>
  <c r="M227" i="12"/>
  <c r="N227" i="12"/>
  <c r="J228" i="12"/>
  <c r="K228" i="12"/>
  <c r="L228" i="12"/>
  <c r="M228" i="12"/>
  <c r="N228" i="12"/>
  <c r="J229" i="12"/>
  <c r="K229" i="12"/>
  <c r="L229" i="12"/>
  <c r="M229" i="12"/>
  <c r="N229" i="12"/>
  <c r="J230" i="12"/>
  <c r="K230" i="12"/>
  <c r="L230" i="12"/>
  <c r="M230" i="12"/>
  <c r="N230" i="12"/>
  <c r="J231" i="12"/>
  <c r="K231" i="12"/>
  <c r="L231" i="12"/>
  <c r="M231" i="12"/>
  <c r="N231" i="12"/>
  <c r="J232" i="12"/>
  <c r="K232" i="12"/>
  <c r="L232" i="12"/>
  <c r="M232" i="12"/>
  <c r="N232" i="12"/>
  <c r="J234" i="12"/>
  <c r="K234" i="12"/>
  <c r="L234" i="12"/>
  <c r="M234" i="12"/>
  <c r="N234" i="12"/>
  <c r="J235" i="12"/>
  <c r="K235" i="12"/>
  <c r="L235" i="12"/>
  <c r="M235" i="12"/>
  <c r="N235" i="12"/>
  <c r="J236" i="12"/>
  <c r="K236" i="12"/>
  <c r="L236" i="12"/>
  <c r="M236" i="12"/>
  <c r="N236" i="12"/>
  <c r="J237" i="12"/>
  <c r="K237" i="12"/>
  <c r="L237" i="12"/>
  <c r="M237" i="12"/>
  <c r="N237" i="12"/>
  <c r="J238" i="12"/>
  <c r="K238" i="12"/>
  <c r="L238" i="12"/>
  <c r="M238" i="12"/>
  <c r="N238" i="12"/>
  <c r="J239" i="12"/>
  <c r="K239" i="12"/>
  <c r="L239" i="12"/>
  <c r="M239" i="12"/>
  <c r="N239" i="12"/>
  <c r="J240" i="12"/>
  <c r="K240" i="12"/>
  <c r="L240" i="12"/>
  <c r="M240" i="12"/>
  <c r="N240" i="12"/>
  <c r="J241" i="12"/>
  <c r="K241" i="12"/>
  <c r="L241" i="12"/>
  <c r="M241" i="12"/>
  <c r="N241" i="12"/>
  <c r="J242" i="12"/>
  <c r="K242" i="12"/>
  <c r="L242" i="12"/>
  <c r="M242" i="12"/>
  <c r="N242" i="12"/>
  <c r="J244" i="12"/>
  <c r="K244" i="12"/>
  <c r="L244" i="12"/>
  <c r="M244" i="12"/>
  <c r="N244" i="12"/>
  <c r="J245" i="12"/>
  <c r="K245" i="12"/>
  <c r="L245" i="12"/>
  <c r="M245" i="12"/>
  <c r="N245" i="12"/>
  <c r="J246" i="12"/>
  <c r="K246" i="12"/>
  <c r="L246" i="12"/>
  <c r="M246" i="12"/>
  <c r="N246" i="12"/>
  <c r="J247" i="12"/>
  <c r="K247" i="12"/>
  <c r="L247" i="12"/>
  <c r="M247" i="12"/>
  <c r="N247" i="12"/>
  <c r="J248" i="12"/>
  <c r="K248" i="12"/>
  <c r="L248" i="12"/>
  <c r="M248" i="12"/>
  <c r="N248" i="12"/>
  <c r="J249" i="12"/>
  <c r="K249" i="12"/>
  <c r="L249" i="12"/>
  <c r="M249" i="12"/>
  <c r="N249" i="12"/>
  <c r="J251" i="12"/>
  <c r="K251" i="12"/>
  <c r="L251" i="12"/>
  <c r="M251" i="12"/>
  <c r="N251" i="12"/>
  <c r="J252" i="12"/>
  <c r="K252" i="12"/>
  <c r="L252" i="12"/>
  <c r="M252" i="12"/>
  <c r="N252" i="12"/>
  <c r="J253" i="12"/>
  <c r="K253" i="12"/>
  <c r="L253" i="12"/>
  <c r="M253" i="12"/>
  <c r="N253" i="12"/>
  <c r="J254" i="12"/>
  <c r="K254" i="12"/>
  <c r="L254" i="12"/>
  <c r="M254" i="12"/>
  <c r="N254" i="12"/>
  <c r="J255" i="12"/>
  <c r="K255" i="12"/>
  <c r="L255" i="12"/>
  <c r="M255" i="12"/>
  <c r="N255" i="12"/>
  <c r="J256" i="12"/>
  <c r="K256" i="12"/>
  <c r="L256" i="12"/>
  <c r="M256" i="12"/>
  <c r="N256" i="12"/>
  <c r="J257" i="12"/>
  <c r="K257" i="12"/>
  <c r="L257" i="12"/>
  <c r="M257" i="12"/>
  <c r="N257" i="12"/>
  <c r="J258" i="12"/>
  <c r="K258" i="12"/>
  <c r="L258" i="12"/>
  <c r="M258" i="12"/>
  <c r="N258" i="12"/>
  <c r="J259" i="12"/>
  <c r="K259" i="12"/>
  <c r="L259" i="12"/>
  <c r="M259" i="12"/>
  <c r="N259" i="12"/>
  <c r="J260" i="12"/>
  <c r="K260" i="12"/>
  <c r="L260" i="12"/>
  <c r="M260" i="12"/>
  <c r="N260" i="12"/>
  <c r="J261" i="12"/>
  <c r="K261" i="12"/>
  <c r="L261" i="12"/>
  <c r="M261" i="12"/>
  <c r="N261" i="12"/>
  <c r="J262" i="12"/>
  <c r="K262" i="12"/>
  <c r="L262" i="12"/>
  <c r="M262" i="12"/>
  <c r="N262" i="12"/>
  <c r="J263" i="12"/>
  <c r="K263" i="12"/>
  <c r="L263" i="12"/>
  <c r="M263" i="12"/>
  <c r="N263" i="12"/>
  <c r="J264" i="12"/>
  <c r="K264" i="12"/>
  <c r="L264" i="12"/>
  <c r="M264" i="12"/>
  <c r="N264" i="12"/>
  <c r="J265" i="12"/>
  <c r="K265" i="12"/>
  <c r="L265" i="12"/>
  <c r="M265" i="12"/>
  <c r="N265" i="12"/>
  <c r="J266" i="12"/>
  <c r="K266" i="12"/>
  <c r="L266" i="12"/>
  <c r="M266" i="12"/>
  <c r="N266" i="12"/>
  <c r="J268" i="12"/>
  <c r="K268" i="12"/>
  <c r="L268" i="12"/>
  <c r="M268" i="12"/>
  <c r="N268" i="12"/>
  <c r="J269" i="12"/>
  <c r="K269" i="12"/>
  <c r="L269" i="12"/>
  <c r="M269" i="12"/>
  <c r="N269" i="12"/>
  <c r="J270" i="12"/>
  <c r="K270" i="12"/>
  <c r="L270" i="12"/>
  <c r="M270" i="12"/>
  <c r="N270" i="12"/>
  <c r="J272" i="12"/>
  <c r="K272" i="12"/>
  <c r="L272" i="12"/>
  <c r="M272" i="12"/>
  <c r="N272" i="12"/>
  <c r="J273" i="12"/>
  <c r="K273" i="12"/>
  <c r="L273" i="12"/>
  <c r="M273" i="12"/>
  <c r="N273" i="12"/>
  <c r="J274" i="12"/>
  <c r="K274" i="12"/>
  <c r="L274" i="12"/>
  <c r="M274" i="12"/>
  <c r="N274" i="12"/>
  <c r="J275" i="12"/>
  <c r="K275" i="12"/>
  <c r="L275" i="12"/>
  <c r="M275" i="12"/>
  <c r="N275" i="12"/>
  <c r="J277" i="12"/>
  <c r="K277" i="12"/>
  <c r="L277" i="12"/>
  <c r="M277" i="12"/>
  <c r="N277" i="12"/>
  <c r="J279" i="12"/>
  <c r="K279" i="12"/>
  <c r="L279" i="12"/>
  <c r="M279" i="12"/>
  <c r="N279" i="12"/>
  <c r="J280" i="12"/>
  <c r="K280" i="12"/>
  <c r="L280" i="12"/>
  <c r="M280" i="12"/>
  <c r="N280" i="12"/>
  <c r="J281" i="12"/>
  <c r="K281" i="12"/>
  <c r="L281" i="12"/>
  <c r="M281" i="12"/>
  <c r="N281" i="12"/>
  <c r="J282" i="12"/>
  <c r="K282" i="12"/>
  <c r="L282" i="12"/>
  <c r="M282" i="12"/>
  <c r="N282" i="12"/>
  <c r="J283" i="12"/>
  <c r="K283" i="12"/>
  <c r="L283" i="12"/>
  <c r="M283" i="12"/>
  <c r="N283" i="12"/>
  <c r="J284" i="12"/>
  <c r="K284" i="12"/>
  <c r="L284" i="12"/>
  <c r="M284" i="12"/>
  <c r="N284" i="12"/>
  <c r="J285" i="12"/>
  <c r="K285" i="12"/>
  <c r="L285" i="12"/>
  <c r="M285" i="12"/>
  <c r="N285" i="12"/>
  <c r="J286" i="12"/>
  <c r="K286" i="12"/>
  <c r="L286" i="12"/>
  <c r="M286" i="12"/>
  <c r="N286" i="12"/>
  <c r="J288" i="12"/>
  <c r="K288" i="12"/>
  <c r="L288" i="12"/>
  <c r="M288" i="12"/>
  <c r="N288" i="12"/>
  <c r="J289" i="12"/>
  <c r="K289" i="12"/>
  <c r="L289" i="12"/>
  <c r="M289" i="12"/>
  <c r="N289" i="12"/>
  <c r="J290" i="12"/>
  <c r="K290" i="12"/>
  <c r="L290" i="12"/>
  <c r="M290" i="12"/>
  <c r="N290" i="12"/>
  <c r="J291" i="12"/>
  <c r="K291" i="12"/>
  <c r="L291" i="12"/>
  <c r="M291" i="12"/>
  <c r="N291" i="12"/>
  <c r="J292" i="12"/>
  <c r="K292" i="12"/>
  <c r="L292" i="12"/>
  <c r="M292" i="12"/>
  <c r="N292" i="12"/>
  <c r="J293" i="12"/>
  <c r="K293" i="12"/>
  <c r="L293" i="12"/>
  <c r="M293" i="12"/>
  <c r="N293" i="12"/>
  <c r="J294" i="12"/>
  <c r="K294" i="12"/>
  <c r="L294" i="12"/>
  <c r="M294" i="12"/>
  <c r="N294" i="12"/>
  <c r="J296" i="12"/>
  <c r="K296" i="12"/>
  <c r="L296" i="12"/>
  <c r="M296" i="12"/>
  <c r="N296" i="12"/>
  <c r="J297" i="12"/>
  <c r="K297" i="12"/>
  <c r="L297" i="12"/>
  <c r="M297" i="12"/>
  <c r="N297" i="12"/>
  <c r="J298" i="12"/>
  <c r="K298" i="12"/>
  <c r="L298" i="12"/>
  <c r="M298" i="12"/>
  <c r="N298" i="12"/>
  <c r="J299" i="12"/>
  <c r="K299" i="12"/>
  <c r="L299" i="12"/>
  <c r="M299" i="12"/>
  <c r="N299" i="12"/>
  <c r="J300" i="12"/>
  <c r="K300" i="12"/>
  <c r="L300" i="12"/>
  <c r="M300" i="12"/>
  <c r="N300" i="12"/>
  <c r="J301" i="12"/>
  <c r="K301" i="12"/>
  <c r="L301" i="12"/>
  <c r="M301" i="12"/>
  <c r="N301" i="12"/>
  <c r="J302" i="12"/>
  <c r="K302" i="12"/>
  <c r="L302" i="12"/>
  <c r="M302" i="12"/>
  <c r="N302" i="12"/>
  <c r="J303" i="12"/>
  <c r="K303" i="12"/>
  <c r="L303" i="12"/>
  <c r="M303" i="12"/>
  <c r="N303" i="12"/>
  <c r="J305" i="12"/>
  <c r="K305" i="12"/>
  <c r="L305" i="12"/>
  <c r="M305" i="12"/>
  <c r="N305" i="12"/>
  <c r="J306" i="12"/>
  <c r="K306" i="12"/>
  <c r="L306" i="12"/>
  <c r="M306" i="12"/>
  <c r="N306" i="12"/>
  <c r="J307" i="12"/>
  <c r="K307" i="12"/>
  <c r="L307" i="12"/>
  <c r="M307" i="12"/>
  <c r="N307" i="12"/>
  <c r="J308" i="12"/>
  <c r="K308" i="12"/>
  <c r="L308" i="12"/>
  <c r="M308" i="12"/>
  <c r="N308" i="12"/>
  <c r="J309" i="12"/>
  <c r="K309" i="12"/>
  <c r="L309" i="12"/>
  <c r="M309" i="12"/>
  <c r="N309" i="12"/>
  <c r="J311" i="12"/>
  <c r="K311" i="12"/>
  <c r="L311" i="12"/>
  <c r="M311" i="12"/>
  <c r="N311" i="12"/>
  <c r="J312" i="12"/>
  <c r="K312" i="12"/>
  <c r="L312" i="12"/>
  <c r="M312" i="12"/>
  <c r="N312" i="12"/>
  <c r="J313" i="12"/>
  <c r="K313" i="12"/>
  <c r="L313" i="12"/>
  <c r="M313" i="12"/>
  <c r="N313" i="12"/>
  <c r="J314" i="12"/>
  <c r="K314" i="12"/>
  <c r="L314" i="12"/>
  <c r="M314" i="12"/>
  <c r="N314" i="12"/>
  <c r="J315" i="12"/>
  <c r="K315" i="12"/>
  <c r="L315" i="12"/>
  <c r="M315" i="12"/>
  <c r="N315" i="12"/>
  <c r="J316" i="12"/>
  <c r="K316" i="12"/>
  <c r="L316" i="12"/>
  <c r="M316" i="12"/>
  <c r="N316" i="12"/>
  <c r="J317" i="12"/>
  <c r="K317" i="12"/>
  <c r="L317" i="12"/>
  <c r="M317" i="12"/>
  <c r="N317" i="12"/>
  <c r="J318" i="12"/>
  <c r="K318" i="12"/>
  <c r="L318" i="12"/>
  <c r="M318" i="12"/>
  <c r="N318" i="12"/>
  <c r="J319" i="12"/>
  <c r="K319" i="12"/>
  <c r="L319" i="12"/>
  <c r="M319" i="12"/>
  <c r="N319" i="12"/>
  <c r="J320" i="12"/>
  <c r="K320" i="12"/>
  <c r="L320" i="12"/>
  <c r="M320" i="12"/>
  <c r="N320" i="12"/>
  <c r="J321" i="12"/>
  <c r="K321" i="12"/>
  <c r="L321" i="12"/>
  <c r="M321" i="12"/>
  <c r="N321" i="12"/>
  <c r="J322" i="12"/>
  <c r="K322" i="12"/>
  <c r="L322" i="12"/>
  <c r="M322" i="12"/>
  <c r="N322" i="12"/>
  <c r="K11" i="12"/>
  <c r="L11" i="12"/>
  <c r="M11" i="12"/>
  <c r="N11" i="12"/>
  <c r="J11" i="12"/>
  <c r="I6" i="15"/>
  <c r="N6" i="15" s="1"/>
  <c r="I7" i="15"/>
  <c r="N7" i="15" s="1"/>
  <c r="I8" i="15"/>
  <c r="N8" i="15" s="1"/>
  <c r="I9" i="15"/>
  <c r="N9" i="15" s="1"/>
  <c r="I10" i="15"/>
  <c r="N10" i="15" s="1"/>
  <c r="I11" i="15"/>
  <c r="N11" i="15" s="1"/>
  <c r="I13" i="15"/>
  <c r="N13" i="15" s="1"/>
  <c r="I14" i="15"/>
  <c r="N14" i="15" s="1"/>
  <c r="I15" i="15"/>
  <c r="N15" i="15" s="1"/>
  <c r="I17" i="15"/>
  <c r="N17" i="15" s="1"/>
  <c r="I18" i="15"/>
  <c r="I19" i="15"/>
  <c r="I20" i="15"/>
  <c r="N20" i="15" s="1"/>
  <c r="I22" i="15"/>
  <c r="I23" i="15"/>
  <c r="I24" i="15"/>
  <c r="I25" i="15"/>
  <c r="N25" i="15" s="1"/>
  <c r="K12" i="15"/>
  <c r="L12" i="15"/>
  <c r="M12" i="15"/>
  <c r="K16" i="15"/>
  <c r="L16" i="15"/>
  <c r="M16" i="15"/>
  <c r="K21" i="15"/>
  <c r="L21" i="15"/>
  <c r="M21" i="15"/>
  <c r="J21" i="15"/>
  <c r="J16" i="15"/>
  <c r="J12" i="15"/>
  <c r="T7" i="16"/>
  <c r="T9" i="16"/>
  <c r="T10" i="16"/>
  <c r="T11" i="16"/>
  <c r="T13" i="16"/>
  <c r="T14" i="16"/>
  <c r="T15" i="16"/>
  <c r="T16" i="16"/>
  <c r="T17" i="16"/>
  <c r="T18" i="16"/>
  <c r="T19" i="16"/>
  <c r="T20" i="16"/>
  <c r="T22" i="16"/>
  <c r="T23" i="16"/>
  <c r="T24" i="16"/>
  <c r="T25" i="16"/>
  <c r="T26" i="16"/>
  <c r="T27" i="16"/>
  <c r="T28" i="16"/>
  <c r="T30" i="16"/>
  <c r="T31" i="16"/>
  <c r="T32" i="16"/>
  <c r="T33" i="16"/>
  <c r="T34" i="16"/>
  <c r="T35" i="16"/>
  <c r="T37" i="16"/>
  <c r="T38" i="16"/>
  <c r="T39" i="16"/>
  <c r="T40" i="16"/>
  <c r="T41" i="16"/>
  <c r="T42" i="16"/>
  <c r="T43" i="16"/>
  <c r="T44" i="16"/>
  <c r="T45" i="16"/>
  <c r="T46" i="16"/>
  <c r="T47" i="16"/>
  <c r="T6" i="16"/>
  <c r="O7" i="16"/>
  <c r="O9" i="16"/>
  <c r="O10" i="16"/>
  <c r="O11" i="16"/>
  <c r="O13" i="16"/>
  <c r="O14" i="16"/>
  <c r="O15" i="16"/>
  <c r="O16" i="16"/>
  <c r="O17" i="16"/>
  <c r="O18" i="16"/>
  <c r="O19" i="16"/>
  <c r="O20" i="16"/>
  <c r="O22" i="16"/>
  <c r="O23" i="16"/>
  <c r="O24" i="16"/>
  <c r="O25" i="16"/>
  <c r="O26" i="16"/>
  <c r="O27" i="16"/>
  <c r="O28" i="16"/>
  <c r="O30" i="16"/>
  <c r="O31" i="16"/>
  <c r="O32" i="16"/>
  <c r="O33" i="16"/>
  <c r="O34" i="16"/>
  <c r="O35" i="16"/>
  <c r="O37" i="16"/>
  <c r="O38" i="16"/>
  <c r="O39" i="16"/>
  <c r="O40" i="16"/>
  <c r="O41" i="16"/>
  <c r="O42" i="16"/>
  <c r="O43" i="16"/>
  <c r="O44" i="16"/>
  <c r="O45" i="16"/>
  <c r="O46" i="16"/>
  <c r="O47" i="16"/>
  <c r="O6" i="16"/>
  <c r="I7" i="16"/>
  <c r="I9" i="16"/>
  <c r="I10" i="16"/>
  <c r="I11" i="16"/>
  <c r="I13" i="16"/>
  <c r="I14" i="16"/>
  <c r="I15" i="16"/>
  <c r="I16" i="16"/>
  <c r="I17" i="16"/>
  <c r="I18" i="16"/>
  <c r="I19" i="16"/>
  <c r="I20" i="16"/>
  <c r="I22" i="16"/>
  <c r="I23" i="16"/>
  <c r="I25" i="16"/>
  <c r="I26" i="16"/>
  <c r="I27" i="16"/>
  <c r="I28" i="16"/>
  <c r="I30" i="16"/>
  <c r="I31" i="16"/>
  <c r="I32" i="16"/>
  <c r="Y32" i="16" s="1"/>
  <c r="I33" i="16"/>
  <c r="I34" i="16"/>
  <c r="I35" i="16"/>
  <c r="I37" i="16"/>
  <c r="I38" i="16"/>
  <c r="I39" i="16"/>
  <c r="I40" i="16"/>
  <c r="I41" i="16"/>
  <c r="I42" i="16"/>
  <c r="I43" i="16"/>
  <c r="I44" i="16"/>
  <c r="I45" i="16"/>
  <c r="I46" i="16"/>
  <c r="I47" i="16"/>
  <c r="I6" i="16"/>
  <c r="K36" i="16"/>
  <c r="L36" i="16"/>
  <c r="M36" i="16"/>
  <c r="N36" i="16"/>
  <c r="P36" i="16"/>
  <c r="Q36" i="16"/>
  <c r="R36" i="16"/>
  <c r="S36" i="16"/>
  <c r="U36" i="16"/>
  <c r="V36" i="16"/>
  <c r="W36" i="16"/>
  <c r="X36" i="16"/>
  <c r="K29" i="16"/>
  <c r="L29" i="16"/>
  <c r="M29" i="16"/>
  <c r="N29" i="16"/>
  <c r="P29" i="16"/>
  <c r="Q29" i="16"/>
  <c r="R29" i="16"/>
  <c r="S29" i="16"/>
  <c r="U29" i="16"/>
  <c r="V29" i="16"/>
  <c r="W29" i="16"/>
  <c r="X29" i="16"/>
  <c r="K21" i="16"/>
  <c r="L21" i="16"/>
  <c r="M21" i="16"/>
  <c r="N21" i="16"/>
  <c r="P21" i="16"/>
  <c r="Q21" i="16"/>
  <c r="R21" i="16"/>
  <c r="S21" i="16"/>
  <c r="U21" i="16"/>
  <c r="V21" i="16"/>
  <c r="W21" i="16"/>
  <c r="X21" i="16"/>
  <c r="K12" i="16"/>
  <c r="L12" i="16"/>
  <c r="M12" i="16"/>
  <c r="N12" i="16"/>
  <c r="P12" i="16"/>
  <c r="Q12" i="16"/>
  <c r="R12" i="16"/>
  <c r="S12" i="16"/>
  <c r="J36" i="16"/>
  <c r="J29" i="16"/>
  <c r="J12" i="16"/>
  <c r="K8" i="16"/>
  <c r="L8" i="16"/>
  <c r="M8" i="16"/>
  <c r="N8" i="16"/>
  <c r="P8" i="16"/>
  <c r="Q8" i="16"/>
  <c r="R8" i="16"/>
  <c r="S8" i="16"/>
  <c r="U8" i="16"/>
  <c r="V8" i="16"/>
  <c r="W8" i="16"/>
  <c r="X8" i="16"/>
  <c r="X9" i="14"/>
  <c r="X10" i="14"/>
  <c r="X11" i="14"/>
  <c r="X12" i="14"/>
  <c r="X13" i="14"/>
  <c r="X14" i="14"/>
  <c r="X16" i="14"/>
  <c r="X17" i="14"/>
  <c r="X18" i="14"/>
  <c r="X19" i="14"/>
  <c r="X20" i="14"/>
  <c r="X8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I21" i="14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W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L17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W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L26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W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L34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W45" i="12"/>
  <c r="AX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L45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W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L53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W64" i="12"/>
  <c r="AX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L64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W70" i="12"/>
  <c r="AX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L70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W76" i="12"/>
  <c r="AX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L76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U88" i="12"/>
  <c r="AV88" i="12"/>
  <c r="AW88" i="12"/>
  <c r="AX88" i="12"/>
  <c r="AY88" i="12"/>
  <c r="AZ88" i="12"/>
  <c r="BA88" i="12"/>
  <c r="BB88" i="12"/>
  <c r="BC88" i="12"/>
  <c r="BD88" i="12"/>
  <c r="BE88" i="12"/>
  <c r="BF88" i="12"/>
  <c r="BG88" i="12"/>
  <c r="BH88" i="12"/>
  <c r="BI88" i="12"/>
  <c r="BJ88" i="12"/>
  <c r="BK88" i="12"/>
  <c r="BL88" i="12"/>
  <c r="P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U102" i="12"/>
  <c r="AV102" i="12"/>
  <c r="AW102" i="12"/>
  <c r="AX102" i="12"/>
  <c r="AY102" i="12"/>
  <c r="AZ102" i="12"/>
  <c r="BA102" i="12"/>
  <c r="BB102" i="12"/>
  <c r="BC102" i="12"/>
  <c r="BD102" i="12"/>
  <c r="BE102" i="12"/>
  <c r="BF102" i="12"/>
  <c r="BG102" i="12"/>
  <c r="BH102" i="12"/>
  <c r="BI102" i="12"/>
  <c r="BJ102" i="12"/>
  <c r="BK102" i="12"/>
  <c r="BL102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U110" i="12"/>
  <c r="AV110" i="12"/>
  <c r="AW110" i="12"/>
  <c r="AX110" i="12"/>
  <c r="AY110" i="12"/>
  <c r="AZ110" i="12"/>
  <c r="BA110" i="12"/>
  <c r="BB110" i="12"/>
  <c r="BC110" i="12"/>
  <c r="BD110" i="12"/>
  <c r="BE110" i="12"/>
  <c r="BF110" i="12"/>
  <c r="BG110" i="12"/>
  <c r="BH110" i="12"/>
  <c r="BI110" i="12"/>
  <c r="BJ110" i="12"/>
  <c r="BK110" i="12"/>
  <c r="BL110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U119" i="12"/>
  <c r="AV119" i="12"/>
  <c r="AW119" i="12"/>
  <c r="AX119" i="12"/>
  <c r="AY119" i="12"/>
  <c r="AZ119" i="12"/>
  <c r="BA119" i="12"/>
  <c r="BB119" i="12"/>
  <c r="BC119" i="12"/>
  <c r="BD119" i="12"/>
  <c r="BE119" i="12"/>
  <c r="BF119" i="12"/>
  <c r="BG119" i="12"/>
  <c r="BH119" i="12"/>
  <c r="BI119" i="12"/>
  <c r="BJ119" i="12"/>
  <c r="BK119" i="12"/>
  <c r="BL119" i="12"/>
  <c r="P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U150" i="12"/>
  <c r="AV150" i="12"/>
  <c r="AW150" i="12"/>
  <c r="AX150" i="12"/>
  <c r="AY150" i="12"/>
  <c r="AZ150" i="12"/>
  <c r="BA150" i="12"/>
  <c r="BB150" i="12"/>
  <c r="BC150" i="12"/>
  <c r="BD150" i="12"/>
  <c r="BE150" i="12"/>
  <c r="BF150" i="12"/>
  <c r="BG150" i="12"/>
  <c r="BH150" i="12"/>
  <c r="BI150" i="12"/>
  <c r="BJ150" i="12"/>
  <c r="BK150" i="12"/>
  <c r="BL150" i="12"/>
  <c r="P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U159" i="12"/>
  <c r="AV159" i="12"/>
  <c r="AW159" i="12"/>
  <c r="AX159" i="12"/>
  <c r="AY159" i="12"/>
  <c r="AZ159" i="12"/>
  <c r="BA159" i="12"/>
  <c r="BB159" i="12"/>
  <c r="BC159" i="12"/>
  <c r="BD159" i="12"/>
  <c r="BE159" i="12"/>
  <c r="BF159" i="12"/>
  <c r="BG159" i="12"/>
  <c r="BH159" i="12"/>
  <c r="BI159" i="12"/>
  <c r="BJ159" i="12"/>
  <c r="BK159" i="12"/>
  <c r="BL159" i="12"/>
  <c r="P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U165" i="12"/>
  <c r="AV165" i="12"/>
  <c r="AW165" i="12"/>
  <c r="AX165" i="12"/>
  <c r="AY165" i="12"/>
  <c r="AZ165" i="12"/>
  <c r="BA165" i="12"/>
  <c r="BB165" i="12"/>
  <c r="BC165" i="12"/>
  <c r="BD165" i="12"/>
  <c r="BE165" i="12"/>
  <c r="BF165" i="12"/>
  <c r="BG165" i="12"/>
  <c r="BH165" i="12"/>
  <c r="BI165" i="12"/>
  <c r="BJ165" i="12"/>
  <c r="BK165" i="12"/>
  <c r="BL165" i="12"/>
  <c r="P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U174" i="12"/>
  <c r="AV174" i="12"/>
  <c r="AW174" i="12"/>
  <c r="AX174" i="12"/>
  <c r="AY174" i="12"/>
  <c r="AZ174" i="12"/>
  <c r="BA174" i="12"/>
  <c r="BB174" i="12"/>
  <c r="BC174" i="12"/>
  <c r="BD174" i="12"/>
  <c r="BE174" i="12"/>
  <c r="BF174" i="12"/>
  <c r="BG174" i="12"/>
  <c r="BH174" i="12"/>
  <c r="BI174" i="12"/>
  <c r="BJ174" i="12"/>
  <c r="BK174" i="12"/>
  <c r="BL174" i="12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D195" i="12"/>
  <c r="AE195" i="12"/>
  <c r="AF195" i="12"/>
  <c r="AG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U195" i="12"/>
  <c r="AV195" i="12"/>
  <c r="AW195" i="12"/>
  <c r="AX195" i="12"/>
  <c r="AY195" i="12"/>
  <c r="AZ195" i="12"/>
  <c r="BA195" i="12"/>
  <c r="BB195" i="12"/>
  <c r="BC195" i="12"/>
  <c r="BD195" i="12"/>
  <c r="BE195" i="12"/>
  <c r="BF195" i="12"/>
  <c r="BG195" i="12"/>
  <c r="BH195" i="12"/>
  <c r="BI195" i="12"/>
  <c r="BJ195" i="12"/>
  <c r="BK195" i="12"/>
  <c r="BL195" i="12"/>
  <c r="P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U210" i="12"/>
  <c r="AV210" i="12"/>
  <c r="AW210" i="12"/>
  <c r="AX210" i="12"/>
  <c r="AY210" i="12"/>
  <c r="AZ210" i="12"/>
  <c r="BA210" i="12"/>
  <c r="BB210" i="12"/>
  <c r="BC210" i="12"/>
  <c r="BD210" i="12"/>
  <c r="BE210" i="12"/>
  <c r="BF210" i="12"/>
  <c r="BG210" i="12"/>
  <c r="BH210" i="12"/>
  <c r="BI210" i="12"/>
  <c r="BJ210" i="12"/>
  <c r="BK210" i="12"/>
  <c r="BL210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U223" i="12"/>
  <c r="AV223" i="12"/>
  <c r="AW223" i="12"/>
  <c r="AX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L223" i="12"/>
  <c r="P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U233" i="12"/>
  <c r="AV233" i="12"/>
  <c r="AW233" i="12"/>
  <c r="AX233" i="12"/>
  <c r="AY233" i="12"/>
  <c r="AZ233" i="12"/>
  <c r="BA233" i="12"/>
  <c r="BB233" i="12"/>
  <c r="BC233" i="12"/>
  <c r="BD233" i="12"/>
  <c r="BE233" i="12"/>
  <c r="BF233" i="12"/>
  <c r="BG233" i="12"/>
  <c r="BH233" i="12"/>
  <c r="BI233" i="12"/>
  <c r="BJ233" i="12"/>
  <c r="BK233" i="12"/>
  <c r="BL233" i="12"/>
  <c r="P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D243" i="12"/>
  <c r="AE243" i="12"/>
  <c r="AF243" i="12"/>
  <c r="AG243" i="12"/>
  <c r="AH243" i="12"/>
  <c r="AI243" i="12"/>
  <c r="AJ243" i="12"/>
  <c r="AK243" i="12"/>
  <c r="AL243" i="12"/>
  <c r="AM243" i="12"/>
  <c r="AN243" i="12"/>
  <c r="AO243" i="12"/>
  <c r="AP243" i="12"/>
  <c r="AQ243" i="12"/>
  <c r="AR243" i="12"/>
  <c r="AS243" i="12"/>
  <c r="AT243" i="12"/>
  <c r="AU243" i="12"/>
  <c r="AV243" i="12"/>
  <c r="AW243" i="12"/>
  <c r="AX243" i="12"/>
  <c r="AY243" i="12"/>
  <c r="AZ243" i="12"/>
  <c r="BA243" i="12"/>
  <c r="BB243" i="12"/>
  <c r="BC243" i="12"/>
  <c r="BD243" i="12"/>
  <c r="BE243" i="12"/>
  <c r="BF243" i="12"/>
  <c r="BG243" i="12"/>
  <c r="BH243" i="12"/>
  <c r="BI243" i="12"/>
  <c r="BJ243" i="12"/>
  <c r="BK243" i="12"/>
  <c r="BL243" i="12"/>
  <c r="P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AJ250" i="12"/>
  <c r="AK250" i="12"/>
  <c r="AL250" i="12"/>
  <c r="AM250" i="12"/>
  <c r="AN250" i="12"/>
  <c r="AO250" i="12"/>
  <c r="AP250" i="12"/>
  <c r="AQ250" i="12"/>
  <c r="AR250" i="12"/>
  <c r="AS250" i="12"/>
  <c r="AT250" i="12"/>
  <c r="AU250" i="12"/>
  <c r="AV250" i="12"/>
  <c r="AW250" i="12"/>
  <c r="AX250" i="12"/>
  <c r="AY250" i="12"/>
  <c r="AZ250" i="12"/>
  <c r="BA250" i="12"/>
  <c r="BB250" i="12"/>
  <c r="BC250" i="12"/>
  <c r="BD250" i="12"/>
  <c r="BE250" i="12"/>
  <c r="BF250" i="12"/>
  <c r="BG250" i="12"/>
  <c r="BH250" i="12"/>
  <c r="BI250" i="12"/>
  <c r="BJ250" i="12"/>
  <c r="BK250" i="12"/>
  <c r="BL250" i="12"/>
  <c r="P278" i="12"/>
  <c r="Q278" i="12"/>
  <c r="R278" i="12"/>
  <c r="S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AJ278" i="12"/>
  <c r="AK278" i="12"/>
  <c r="AL278" i="12"/>
  <c r="AM278" i="12"/>
  <c r="AN278" i="12"/>
  <c r="AO278" i="12"/>
  <c r="AP278" i="12"/>
  <c r="AQ278" i="12"/>
  <c r="AR278" i="12"/>
  <c r="AS278" i="12"/>
  <c r="AT278" i="12"/>
  <c r="AU278" i="12"/>
  <c r="AV278" i="12"/>
  <c r="AW278" i="12"/>
  <c r="AX278" i="12"/>
  <c r="AY278" i="12"/>
  <c r="AZ278" i="12"/>
  <c r="BA278" i="12"/>
  <c r="BB278" i="12"/>
  <c r="BC278" i="12"/>
  <c r="BD278" i="12"/>
  <c r="BE278" i="12"/>
  <c r="BF278" i="12"/>
  <c r="BG278" i="12"/>
  <c r="BH278" i="12"/>
  <c r="BI278" i="12"/>
  <c r="BJ278" i="12"/>
  <c r="BK278" i="12"/>
  <c r="BL278" i="12"/>
  <c r="P287" i="12"/>
  <c r="Q287" i="12"/>
  <c r="R287" i="12"/>
  <c r="S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AJ287" i="12"/>
  <c r="AK287" i="12"/>
  <c r="AL287" i="12"/>
  <c r="AM287" i="12"/>
  <c r="AN287" i="12"/>
  <c r="AO287" i="12"/>
  <c r="AP287" i="12"/>
  <c r="AQ287" i="12"/>
  <c r="AR287" i="12"/>
  <c r="AS287" i="12"/>
  <c r="AT287" i="12"/>
  <c r="AU287" i="12"/>
  <c r="AV287" i="12"/>
  <c r="AW287" i="12"/>
  <c r="AX287" i="12"/>
  <c r="AY287" i="12"/>
  <c r="AZ287" i="12"/>
  <c r="BA287" i="12"/>
  <c r="BB287" i="12"/>
  <c r="BC287" i="12"/>
  <c r="BD287" i="12"/>
  <c r="BE287" i="12"/>
  <c r="BF287" i="12"/>
  <c r="BG287" i="12"/>
  <c r="BH287" i="12"/>
  <c r="BI287" i="12"/>
  <c r="BJ287" i="12"/>
  <c r="BK287" i="12"/>
  <c r="BL287" i="12"/>
  <c r="P295" i="12"/>
  <c r="Q295" i="12"/>
  <c r="R295" i="12"/>
  <c r="S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AJ295" i="12"/>
  <c r="AK295" i="12"/>
  <c r="AL295" i="12"/>
  <c r="AM295" i="12"/>
  <c r="AN295" i="12"/>
  <c r="AO295" i="12"/>
  <c r="AP295" i="12"/>
  <c r="AQ295" i="12"/>
  <c r="AR295" i="12"/>
  <c r="AS295" i="12"/>
  <c r="AT295" i="12"/>
  <c r="AU295" i="12"/>
  <c r="AV295" i="12"/>
  <c r="AW295" i="12"/>
  <c r="AX295" i="12"/>
  <c r="AY295" i="12"/>
  <c r="AZ295" i="12"/>
  <c r="BA295" i="12"/>
  <c r="BB295" i="12"/>
  <c r="BC295" i="12"/>
  <c r="BD295" i="12"/>
  <c r="BE295" i="12"/>
  <c r="BF295" i="12"/>
  <c r="BG295" i="12"/>
  <c r="BH295" i="12"/>
  <c r="BI295" i="12"/>
  <c r="BJ295" i="12"/>
  <c r="BK295" i="12"/>
  <c r="BL295" i="12"/>
  <c r="P304" i="12"/>
  <c r="Q304" i="12"/>
  <c r="R304" i="12"/>
  <c r="S304" i="12"/>
  <c r="T304" i="12"/>
  <c r="U304" i="12"/>
  <c r="V304" i="12"/>
  <c r="W304" i="12"/>
  <c r="X304" i="12"/>
  <c r="Y304" i="12"/>
  <c r="Z304" i="12"/>
  <c r="AA304" i="12"/>
  <c r="AB304" i="12"/>
  <c r="AC304" i="12"/>
  <c r="AD304" i="12"/>
  <c r="AE304" i="12"/>
  <c r="AF304" i="12"/>
  <c r="AG304" i="12"/>
  <c r="AH304" i="12"/>
  <c r="AI304" i="12"/>
  <c r="AJ304" i="12"/>
  <c r="AK304" i="12"/>
  <c r="AL304" i="12"/>
  <c r="AM304" i="12"/>
  <c r="AN304" i="12"/>
  <c r="AO304" i="12"/>
  <c r="AP304" i="12"/>
  <c r="AQ304" i="12"/>
  <c r="AR304" i="12"/>
  <c r="AS304" i="12"/>
  <c r="AT304" i="12"/>
  <c r="AU304" i="12"/>
  <c r="AV304" i="12"/>
  <c r="AW304" i="12"/>
  <c r="AX304" i="12"/>
  <c r="AY304" i="12"/>
  <c r="AZ304" i="12"/>
  <c r="BA304" i="12"/>
  <c r="BB304" i="12"/>
  <c r="BC304" i="12"/>
  <c r="BD304" i="12"/>
  <c r="BE304" i="12"/>
  <c r="BF304" i="12"/>
  <c r="BG304" i="12"/>
  <c r="BH304" i="12"/>
  <c r="BI304" i="12"/>
  <c r="BJ304" i="12"/>
  <c r="BK304" i="12"/>
  <c r="BL304" i="12"/>
  <c r="P310" i="12"/>
  <c r="Q310" i="12"/>
  <c r="R310" i="12"/>
  <c r="S310" i="12"/>
  <c r="T310" i="12"/>
  <c r="U310" i="12"/>
  <c r="V310" i="12"/>
  <c r="W310" i="12"/>
  <c r="X310" i="12"/>
  <c r="Y310" i="12"/>
  <c r="Z310" i="12"/>
  <c r="AA310" i="12"/>
  <c r="AB310" i="12"/>
  <c r="AC310" i="12"/>
  <c r="AD310" i="12"/>
  <c r="AE310" i="12"/>
  <c r="AF310" i="12"/>
  <c r="AG310" i="12"/>
  <c r="AH310" i="12"/>
  <c r="AI310" i="12"/>
  <c r="AJ310" i="12"/>
  <c r="AK310" i="12"/>
  <c r="AL310" i="12"/>
  <c r="AM310" i="12"/>
  <c r="AN310" i="12"/>
  <c r="AO310" i="12"/>
  <c r="AP310" i="12"/>
  <c r="AQ310" i="12"/>
  <c r="AR310" i="12"/>
  <c r="AS310" i="12"/>
  <c r="AT310" i="12"/>
  <c r="AU310" i="12"/>
  <c r="AV310" i="12"/>
  <c r="AW310" i="12"/>
  <c r="AX310" i="12"/>
  <c r="AY310" i="12"/>
  <c r="AZ310" i="12"/>
  <c r="BA310" i="12"/>
  <c r="BB310" i="12"/>
  <c r="BC310" i="12"/>
  <c r="BD310" i="12"/>
  <c r="BE310" i="12"/>
  <c r="BF310" i="12"/>
  <c r="BG310" i="12"/>
  <c r="BH310" i="12"/>
  <c r="BI310" i="12"/>
  <c r="BJ310" i="12"/>
  <c r="BK310" i="12"/>
  <c r="BL310" i="12"/>
  <c r="O310" i="12"/>
  <c r="O304" i="12"/>
  <c r="O295" i="12"/>
  <c r="O287" i="12"/>
  <c r="O278" i="12"/>
  <c r="O250" i="12"/>
  <c r="O243" i="12"/>
  <c r="O233" i="12"/>
  <c r="O223" i="12"/>
  <c r="O210" i="12"/>
  <c r="O195" i="12"/>
  <c r="O174" i="12"/>
  <c r="O165" i="12"/>
  <c r="O159" i="12"/>
  <c r="O150" i="12"/>
  <c r="O119" i="12"/>
  <c r="O110" i="12"/>
  <c r="O102" i="12"/>
  <c r="O88" i="12"/>
  <c r="O76" i="12"/>
  <c r="O70" i="12"/>
  <c r="O64" i="12"/>
  <c r="O53" i="12"/>
  <c r="O45" i="12"/>
  <c r="O34" i="12"/>
  <c r="O26" i="12"/>
  <c r="O17" i="12"/>
  <c r="J12" i="11"/>
  <c r="K12" i="11"/>
  <c r="L12" i="11"/>
  <c r="M12" i="11"/>
  <c r="N12" i="11"/>
  <c r="J13" i="11"/>
  <c r="K13" i="11"/>
  <c r="L13" i="11"/>
  <c r="M13" i="11"/>
  <c r="N13" i="11"/>
  <c r="J14" i="11"/>
  <c r="K14" i="11"/>
  <c r="L14" i="11"/>
  <c r="M14" i="11"/>
  <c r="N14" i="11"/>
  <c r="J15" i="11"/>
  <c r="K15" i="11"/>
  <c r="L15" i="11"/>
  <c r="M15" i="11"/>
  <c r="N15" i="11"/>
  <c r="J16" i="11"/>
  <c r="K16" i="11"/>
  <c r="L16" i="11"/>
  <c r="M16" i="11"/>
  <c r="N16" i="11"/>
  <c r="J18" i="11"/>
  <c r="K18" i="11"/>
  <c r="L18" i="11"/>
  <c r="M18" i="11"/>
  <c r="N18" i="11"/>
  <c r="J19" i="11"/>
  <c r="K19" i="11"/>
  <c r="L19" i="11"/>
  <c r="M19" i="11"/>
  <c r="N19" i="11"/>
  <c r="J20" i="11"/>
  <c r="K20" i="11"/>
  <c r="L20" i="11"/>
  <c r="M20" i="11"/>
  <c r="N20" i="11"/>
  <c r="J21" i="11"/>
  <c r="K21" i="11"/>
  <c r="L21" i="11"/>
  <c r="M21" i="11"/>
  <c r="N21" i="11"/>
  <c r="J22" i="11"/>
  <c r="K22" i="11"/>
  <c r="L22" i="11"/>
  <c r="M22" i="11"/>
  <c r="N22" i="11"/>
  <c r="J23" i="11"/>
  <c r="K23" i="11"/>
  <c r="L23" i="11"/>
  <c r="M23" i="11"/>
  <c r="N23" i="11"/>
  <c r="J24" i="11"/>
  <c r="K24" i="11"/>
  <c r="L24" i="11"/>
  <c r="M24" i="11"/>
  <c r="N24" i="11"/>
  <c r="J25" i="11"/>
  <c r="K25" i="11"/>
  <c r="L25" i="11"/>
  <c r="M25" i="11"/>
  <c r="N25" i="11"/>
  <c r="J27" i="11"/>
  <c r="K27" i="11"/>
  <c r="L27" i="11"/>
  <c r="M27" i="11"/>
  <c r="N27" i="11"/>
  <c r="J28" i="11"/>
  <c r="K28" i="11"/>
  <c r="L28" i="11"/>
  <c r="M28" i="11"/>
  <c r="N28" i="11"/>
  <c r="J29" i="11"/>
  <c r="K29" i="11"/>
  <c r="L29" i="11"/>
  <c r="M29" i="11"/>
  <c r="N29" i="11"/>
  <c r="J30" i="11"/>
  <c r="K30" i="11"/>
  <c r="L30" i="11"/>
  <c r="M30" i="11"/>
  <c r="N30" i="11"/>
  <c r="J31" i="11"/>
  <c r="K31" i="11"/>
  <c r="L31" i="11"/>
  <c r="M31" i="11"/>
  <c r="N31" i="11"/>
  <c r="J32" i="11"/>
  <c r="K32" i="11"/>
  <c r="L32" i="11"/>
  <c r="M32" i="11"/>
  <c r="N32" i="11"/>
  <c r="J33" i="11"/>
  <c r="K33" i="11"/>
  <c r="L33" i="11"/>
  <c r="M33" i="11"/>
  <c r="N33" i="11"/>
  <c r="J35" i="11"/>
  <c r="K35" i="11"/>
  <c r="L35" i="11"/>
  <c r="M35" i="11"/>
  <c r="N35" i="11"/>
  <c r="J36" i="11"/>
  <c r="K36" i="11"/>
  <c r="L36" i="11"/>
  <c r="M36" i="11"/>
  <c r="N36" i="11"/>
  <c r="J37" i="11"/>
  <c r="K37" i="11"/>
  <c r="L37" i="11"/>
  <c r="M37" i="11"/>
  <c r="N37" i="11"/>
  <c r="J38" i="11"/>
  <c r="K38" i="11"/>
  <c r="L38" i="11"/>
  <c r="M38" i="11"/>
  <c r="N38" i="11"/>
  <c r="J39" i="11"/>
  <c r="K39" i="11"/>
  <c r="L39" i="11"/>
  <c r="M39" i="11"/>
  <c r="N39" i="11"/>
  <c r="J40" i="11"/>
  <c r="K40" i="11"/>
  <c r="L40" i="11"/>
  <c r="M40" i="11"/>
  <c r="N40" i="11"/>
  <c r="J41" i="11"/>
  <c r="K41" i="11"/>
  <c r="L41" i="11"/>
  <c r="M41" i="11"/>
  <c r="N41" i="11"/>
  <c r="J42" i="11"/>
  <c r="K42" i="11"/>
  <c r="L42" i="11"/>
  <c r="M42" i="11"/>
  <c r="N42" i="11"/>
  <c r="J43" i="11"/>
  <c r="K43" i="11"/>
  <c r="L43" i="11"/>
  <c r="M43" i="11"/>
  <c r="N43" i="11"/>
  <c r="J44" i="11"/>
  <c r="K44" i="11"/>
  <c r="L44" i="11"/>
  <c r="M44" i="11"/>
  <c r="N44" i="11"/>
  <c r="J46" i="11"/>
  <c r="K46" i="11"/>
  <c r="L46" i="11"/>
  <c r="M46" i="11"/>
  <c r="N46" i="11"/>
  <c r="J47" i="11"/>
  <c r="K47" i="11"/>
  <c r="L47" i="11"/>
  <c r="M47" i="11"/>
  <c r="N47" i="11"/>
  <c r="J48" i="11"/>
  <c r="K48" i="11"/>
  <c r="L48" i="11"/>
  <c r="M48" i="11"/>
  <c r="N48" i="11"/>
  <c r="J49" i="11"/>
  <c r="K49" i="11"/>
  <c r="L49" i="11"/>
  <c r="M49" i="11"/>
  <c r="N49" i="11"/>
  <c r="J50" i="11"/>
  <c r="K50" i="11"/>
  <c r="L50" i="11"/>
  <c r="M50" i="11"/>
  <c r="N50" i="11"/>
  <c r="J51" i="11"/>
  <c r="K51" i="11"/>
  <c r="L51" i="11"/>
  <c r="M51" i="11"/>
  <c r="N51" i="11"/>
  <c r="J52" i="11"/>
  <c r="K52" i="11"/>
  <c r="L52" i="11"/>
  <c r="M52" i="11"/>
  <c r="N52" i="11"/>
  <c r="J54" i="11"/>
  <c r="K54" i="11"/>
  <c r="L54" i="11"/>
  <c r="M54" i="11"/>
  <c r="N54" i="11"/>
  <c r="J55" i="11"/>
  <c r="K55" i="11"/>
  <c r="L55" i="11"/>
  <c r="M55" i="11"/>
  <c r="N55" i="11"/>
  <c r="J56" i="11"/>
  <c r="K56" i="11"/>
  <c r="L56" i="11"/>
  <c r="M56" i="11"/>
  <c r="N56" i="11"/>
  <c r="J57" i="11"/>
  <c r="K57" i="11"/>
  <c r="L57" i="11"/>
  <c r="M57" i="11"/>
  <c r="N57" i="11"/>
  <c r="J58" i="11"/>
  <c r="K58" i="11"/>
  <c r="L58" i="11"/>
  <c r="M58" i="11"/>
  <c r="N58" i="11"/>
  <c r="J59" i="11"/>
  <c r="K59" i="11"/>
  <c r="L59" i="11"/>
  <c r="M59" i="11"/>
  <c r="N59" i="11"/>
  <c r="J60" i="11"/>
  <c r="K60" i="11"/>
  <c r="L60" i="11"/>
  <c r="M60" i="11"/>
  <c r="N60" i="11"/>
  <c r="J61" i="11"/>
  <c r="K61" i="11"/>
  <c r="L61" i="11"/>
  <c r="M61" i="11"/>
  <c r="N61" i="11"/>
  <c r="J62" i="11"/>
  <c r="K62" i="11"/>
  <c r="L62" i="11"/>
  <c r="M62" i="11"/>
  <c r="N62" i="11"/>
  <c r="J63" i="11"/>
  <c r="K63" i="11"/>
  <c r="L63" i="11"/>
  <c r="M63" i="11"/>
  <c r="N63" i="11"/>
  <c r="J65" i="11"/>
  <c r="K65" i="11"/>
  <c r="L65" i="11"/>
  <c r="M65" i="11"/>
  <c r="N65" i="11"/>
  <c r="J66" i="11"/>
  <c r="K66" i="11"/>
  <c r="L66" i="11"/>
  <c r="M66" i="11"/>
  <c r="N66" i="11"/>
  <c r="J67" i="11"/>
  <c r="K67" i="11"/>
  <c r="L67" i="11"/>
  <c r="M67" i="11"/>
  <c r="N67" i="11"/>
  <c r="J68" i="11"/>
  <c r="K68" i="11"/>
  <c r="L68" i="11"/>
  <c r="M68" i="11"/>
  <c r="N68" i="11"/>
  <c r="J69" i="11"/>
  <c r="K69" i="11"/>
  <c r="L69" i="11"/>
  <c r="M69" i="11"/>
  <c r="N69" i="11"/>
  <c r="J71" i="11"/>
  <c r="K71" i="11"/>
  <c r="L71" i="11"/>
  <c r="M71" i="11"/>
  <c r="N71" i="11"/>
  <c r="J72" i="11"/>
  <c r="K72" i="11"/>
  <c r="L72" i="11"/>
  <c r="M72" i="11"/>
  <c r="N72" i="11"/>
  <c r="J73" i="11"/>
  <c r="K73" i="11"/>
  <c r="L73" i="11"/>
  <c r="M73" i="11"/>
  <c r="N73" i="11"/>
  <c r="J74" i="11"/>
  <c r="K74" i="11"/>
  <c r="L74" i="11"/>
  <c r="M74" i="11"/>
  <c r="N74" i="11"/>
  <c r="J75" i="11"/>
  <c r="K75" i="11"/>
  <c r="L75" i="11"/>
  <c r="M75" i="11"/>
  <c r="N75" i="11"/>
  <c r="J77" i="11"/>
  <c r="K77" i="11"/>
  <c r="L77" i="11"/>
  <c r="M77" i="11"/>
  <c r="N77" i="11"/>
  <c r="J78" i="11"/>
  <c r="K78" i="11"/>
  <c r="L78" i="11"/>
  <c r="M78" i="11"/>
  <c r="N78" i="11"/>
  <c r="J79" i="11"/>
  <c r="K79" i="11"/>
  <c r="L79" i="11"/>
  <c r="M79" i="11"/>
  <c r="N79" i="11"/>
  <c r="J80" i="11"/>
  <c r="K80" i="11"/>
  <c r="L80" i="11"/>
  <c r="M80" i="11"/>
  <c r="N80" i="11"/>
  <c r="J81" i="11"/>
  <c r="K81" i="11"/>
  <c r="L81" i="11"/>
  <c r="M81" i="11"/>
  <c r="N81" i="11"/>
  <c r="J82" i="11"/>
  <c r="K82" i="11"/>
  <c r="L82" i="11"/>
  <c r="M82" i="11"/>
  <c r="N82" i="11"/>
  <c r="J83" i="11"/>
  <c r="K83" i="11"/>
  <c r="L83" i="11"/>
  <c r="M83" i="11"/>
  <c r="N83" i="11"/>
  <c r="J84" i="11"/>
  <c r="K84" i="11"/>
  <c r="L84" i="11"/>
  <c r="M84" i="11"/>
  <c r="N84" i="11"/>
  <c r="J85" i="11"/>
  <c r="K85" i="11"/>
  <c r="L85" i="11"/>
  <c r="M85" i="11"/>
  <c r="N85" i="11"/>
  <c r="J86" i="11"/>
  <c r="K86" i="11"/>
  <c r="L86" i="11"/>
  <c r="M86" i="11"/>
  <c r="N86" i="11"/>
  <c r="J87" i="11"/>
  <c r="K87" i="11"/>
  <c r="L87" i="11"/>
  <c r="M87" i="11"/>
  <c r="N87" i="11"/>
  <c r="J89" i="11"/>
  <c r="K89" i="11"/>
  <c r="L89" i="11"/>
  <c r="M89" i="11"/>
  <c r="N89" i="11"/>
  <c r="J90" i="11"/>
  <c r="K90" i="11"/>
  <c r="L90" i="11"/>
  <c r="M90" i="11"/>
  <c r="N90" i="11"/>
  <c r="J91" i="11"/>
  <c r="K91" i="11"/>
  <c r="L91" i="11"/>
  <c r="M91" i="11"/>
  <c r="N91" i="11"/>
  <c r="J92" i="11"/>
  <c r="K92" i="11"/>
  <c r="L92" i="11"/>
  <c r="M92" i="11"/>
  <c r="N92" i="11"/>
  <c r="J93" i="11"/>
  <c r="K93" i="11"/>
  <c r="L93" i="11"/>
  <c r="M93" i="11"/>
  <c r="N93" i="11"/>
  <c r="J94" i="11"/>
  <c r="K94" i="11"/>
  <c r="L94" i="11"/>
  <c r="M94" i="11"/>
  <c r="N94" i="11"/>
  <c r="J95" i="11"/>
  <c r="K95" i="11"/>
  <c r="L95" i="11"/>
  <c r="M95" i="11"/>
  <c r="N95" i="11"/>
  <c r="J96" i="11"/>
  <c r="K96" i="11"/>
  <c r="L96" i="11"/>
  <c r="M96" i="11"/>
  <c r="N96" i="11"/>
  <c r="J97" i="11"/>
  <c r="K97" i="11"/>
  <c r="L97" i="11"/>
  <c r="M97" i="11"/>
  <c r="N97" i="11"/>
  <c r="J98" i="11"/>
  <c r="K98" i="11"/>
  <c r="L98" i="11"/>
  <c r="M98" i="11"/>
  <c r="N98" i="11"/>
  <c r="J99" i="11"/>
  <c r="K99" i="11"/>
  <c r="L99" i="11"/>
  <c r="M99" i="11"/>
  <c r="N99" i="11"/>
  <c r="J100" i="11"/>
  <c r="K100" i="11"/>
  <c r="L100" i="11"/>
  <c r="M100" i="11"/>
  <c r="N100" i="11"/>
  <c r="J101" i="11"/>
  <c r="K101" i="11"/>
  <c r="L101" i="11"/>
  <c r="M101" i="11"/>
  <c r="N101" i="11"/>
  <c r="J103" i="11"/>
  <c r="K103" i="11"/>
  <c r="L103" i="11"/>
  <c r="M103" i="11"/>
  <c r="N103" i="11"/>
  <c r="J104" i="11"/>
  <c r="K104" i="11"/>
  <c r="L104" i="11"/>
  <c r="M104" i="11"/>
  <c r="N104" i="11"/>
  <c r="J105" i="11"/>
  <c r="K105" i="11"/>
  <c r="L105" i="11"/>
  <c r="M105" i="11"/>
  <c r="N105" i="11"/>
  <c r="J106" i="11"/>
  <c r="K106" i="11"/>
  <c r="L106" i="11"/>
  <c r="M106" i="11"/>
  <c r="N106" i="11"/>
  <c r="J107" i="11"/>
  <c r="K107" i="11"/>
  <c r="L107" i="11"/>
  <c r="M107" i="11"/>
  <c r="N107" i="11"/>
  <c r="J108" i="11"/>
  <c r="K108" i="11"/>
  <c r="L108" i="11"/>
  <c r="M108" i="11"/>
  <c r="N108" i="11"/>
  <c r="J109" i="11"/>
  <c r="K109" i="11"/>
  <c r="L109" i="11"/>
  <c r="M109" i="11"/>
  <c r="N109" i="11"/>
  <c r="J111" i="11"/>
  <c r="K111" i="11"/>
  <c r="L111" i="11"/>
  <c r="M111" i="11"/>
  <c r="N111" i="11"/>
  <c r="J112" i="11"/>
  <c r="K112" i="11"/>
  <c r="L112" i="11"/>
  <c r="M112" i="11"/>
  <c r="N112" i="11"/>
  <c r="J113" i="11"/>
  <c r="K113" i="11"/>
  <c r="L113" i="11"/>
  <c r="M113" i="11"/>
  <c r="N113" i="11"/>
  <c r="J114" i="11"/>
  <c r="K114" i="11"/>
  <c r="L114" i="11"/>
  <c r="M114" i="11"/>
  <c r="N114" i="11"/>
  <c r="J115" i="11"/>
  <c r="K115" i="11"/>
  <c r="L115" i="11"/>
  <c r="M115" i="11"/>
  <c r="N115" i="11"/>
  <c r="J116" i="11"/>
  <c r="K116" i="11"/>
  <c r="L116" i="11"/>
  <c r="M116" i="11"/>
  <c r="N116" i="11"/>
  <c r="J117" i="11"/>
  <c r="K117" i="11"/>
  <c r="L117" i="11"/>
  <c r="M117" i="11"/>
  <c r="N117" i="11"/>
  <c r="J118" i="11"/>
  <c r="K118" i="11"/>
  <c r="L118" i="11"/>
  <c r="M118" i="11"/>
  <c r="N118" i="11"/>
  <c r="J120" i="11"/>
  <c r="K120" i="11"/>
  <c r="L120" i="11"/>
  <c r="M120" i="11"/>
  <c r="N120" i="11"/>
  <c r="J121" i="11"/>
  <c r="K121" i="11"/>
  <c r="L121" i="11"/>
  <c r="M121" i="11"/>
  <c r="N121" i="11"/>
  <c r="J122" i="11"/>
  <c r="K122" i="11"/>
  <c r="L122" i="11"/>
  <c r="M122" i="11"/>
  <c r="N122" i="11"/>
  <c r="J123" i="11"/>
  <c r="K123" i="11"/>
  <c r="L123" i="11"/>
  <c r="M123" i="11"/>
  <c r="N123" i="11"/>
  <c r="J124" i="11"/>
  <c r="K124" i="11"/>
  <c r="L124" i="11"/>
  <c r="M124" i="11"/>
  <c r="N124" i="11"/>
  <c r="J125" i="11"/>
  <c r="K125" i="11"/>
  <c r="L125" i="11"/>
  <c r="M125" i="11"/>
  <c r="N125" i="11"/>
  <c r="J126" i="11"/>
  <c r="K126" i="11"/>
  <c r="L126" i="11"/>
  <c r="M126" i="11"/>
  <c r="N126" i="11"/>
  <c r="J127" i="11"/>
  <c r="K127" i="11"/>
  <c r="L127" i="11"/>
  <c r="M127" i="11"/>
  <c r="N127" i="11"/>
  <c r="J128" i="11"/>
  <c r="K128" i="11"/>
  <c r="L128" i="11"/>
  <c r="M128" i="11"/>
  <c r="N128" i="11"/>
  <c r="J129" i="11"/>
  <c r="K129" i="11"/>
  <c r="L129" i="11"/>
  <c r="M129" i="11"/>
  <c r="N129" i="11"/>
  <c r="J131" i="11"/>
  <c r="K131" i="11"/>
  <c r="L131" i="11"/>
  <c r="M131" i="11"/>
  <c r="N131" i="11"/>
  <c r="J132" i="11"/>
  <c r="K132" i="11"/>
  <c r="L132" i="11"/>
  <c r="M132" i="11"/>
  <c r="N132" i="11"/>
  <c r="J133" i="11"/>
  <c r="K133" i="11"/>
  <c r="L133" i="11"/>
  <c r="M133" i="11"/>
  <c r="N133" i="11"/>
  <c r="J134" i="11"/>
  <c r="K134" i="11"/>
  <c r="L134" i="11"/>
  <c r="M134" i="11"/>
  <c r="N134" i="11"/>
  <c r="J135" i="11"/>
  <c r="K135" i="11"/>
  <c r="L135" i="11"/>
  <c r="M135" i="11"/>
  <c r="N135" i="11"/>
  <c r="J136" i="11"/>
  <c r="K136" i="11"/>
  <c r="L136" i="11"/>
  <c r="M136" i="11"/>
  <c r="N136" i="11"/>
  <c r="J137" i="11"/>
  <c r="K137" i="11"/>
  <c r="L137" i="11"/>
  <c r="M137" i="11"/>
  <c r="N137" i="11"/>
  <c r="J138" i="11"/>
  <c r="K138" i="11"/>
  <c r="L138" i="11"/>
  <c r="M138" i="11"/>
  <c r="N138" i="11"/>
  <c r="J139" i="11"/>
  <c r="K139" i="11"/>
  <c r="L139" i="11"/>
  <c r="M139" i="11"/>
  <c r="N139" i="11"/>
  <c r="J140" i="11"/>
  <c r="K140" i="11"/>
  <c r="L140" i="11"/>
  <c r="M140" i="11"/>
  <c r="N140" i="11"/>
  <c r="J141" i="11"/>
  <c r="K141" i="11"/>
  <c r="L141" i="11"/>
  <c r="M141" i="11"/>
  <c r="N141" i="11"/>
  <c r="J142" i="11"/>
  <c r="K142" i="11"/>
  <c r="L142" i="11"/>
  <c r="M142" i="11"/>
  <c r="N142" i="11"/>
  <c r="J143" i="11"/>
  <c r="K143" i="11"/>
  <c r="L143" i="11"/>
  <c r="M143" i="11"/>
  <c r="N143" i="11"/>
  <c r="J144" i="11"/>
  <c r="K144" i="11"/>
  <c r="L144" i="11"/>
  <c r="M144" i="11"/>
  <c r="N144" i="11"/>
  <c r="J145" i="11"/>
  <c r="K145" i="11"/>
  <c r="L145" i="11"/>
  <c r="M145" i="11"/>
  <c r="N145" i="11"/>
  <c r="J146" i="11"/>
  <c r="K146" i="11"/>
  <c r="L146" i="11"/>
  <c r="M146" i="11"/>
  <c r="N146" i="11"/>
  <c r="J147" i="11"/>
  <c r="K147" i="11"/>
  <c r="L147" i="11"/>
  <c r="M147" i="11"/>
  <c r="N147" i="11"/>
  <c r="J148" i="11"/>
  <c r="K148" i="11"/>
  <c r="L148" i="11"/>
  <c r="M148" i="11"/>
  <c r="N148" i="11"/>
  <c r="J149" i="11"/>
  <c r="K149" i="11"/>
  <c r="L149" i="11"/>
  <c r="M149" i="11"/>
  <c r="N149" i="11"/>
  <c r="J151" i="11"/>
  <c r="K151" i="11"/>
  <c r="L151" i="11"/>
  <c r="M151" i="11"/>
  <c r="N151" i="11"/>
  <c r="J152" i="11"/>
  <c r="K152" i="11"/>
  <c r="L152" i="11"/>
  <c r="M152" i="11"/>
  <c r="N152" i="11"/>
  <c r="J153" i="11"/>
  <c r="K153" i="11"/>
  <c r="L153" i="11"/>
  <c r="M153" i="11"/>
  <c r="N153" i="11"/>
  <c r="J154" i="11"/>
  <c r="K154" i="11"/>
  <c r="L154" i="11"/>
  <c r="M154" i="11"/>
  <c r="N154" i="11"/>
  <c r="J155" i="11"/>
  <c r="K155" i="11"/>
  <c r="L155" i="11"/>
  <c r="M155" i="11"/>
  <c r="N155" i="11"/>
  <c r="J156" i="11"/>
  <c r="K156" i="11"/>
  <c r="L156" i="11"/>
  <c r="M156" i="11"/>
  <c r="N156" i="11"/>
  <c r="J157" i="11"/>
  <c r="K157" i="11"/>
  <c r="L157" i="11"/>
  <c r="M157" i="11"/>
  <c r="N157" i="11"/>
  <c r="J158" i="11"/>
  <c r="K158" i="11"/>
  <c r="L158" i="11"/>
  <c r="M158" i="11"/>
  <c r="N158" i="11"/>
  <c r="J160" i="11"/>
  <c r="K160" i="11"/>
  <c r="L160" i="11"/>
  <c r="M160" i="11"/>
  <c r="N160" i="11"/>
  <c r="J161" i="11"/>
  <c r="K161" i="11"/>
  <c r="L161" i="11"/>
  <c r="M161" i="11"/>
  <c r="N161" i="11"/>
  <c r="J162" i="11"/>
  <c r="K162" i="11"/>
  <c r="L162" i="11"/>
  <c r="M162" i="11"/>
  <c r="N162" i="11"/>
  <c r="J163" i="11"/>
  <c r="K163" i="11"/>
  <c r="L163" i="11"/>
  <c r="M163" i="11"/>
  <c r="N163" i="11"/>
  <c r="J164" i="11"/>
  <c r="K164" i="11"/>
  <c r="L164" i="11"/>
  <c r="M164" i="11"/>
  <c r="N164" i="11"/>
  <c r="J166" i="11"/>
  <c r="K166" i="11"/>
  <c r="L166" i="11"/>
  <c r="M166" i="11"/>
  <c r="N166" i="11"/>
  <c r="J167" i="11"/>
  <c r="K167" i="11"/>
  <c r="L167" i="11"/>
  <c r="M167" i="11"/>
  <c r="N167" i="11"/>
  <c r="J168" i="11"/>
  <c r="K168" i="11"/>
  <c r="L168" i="11"/>
  <c r="M168" i="11"/>
  <c r="N168" i="11"/>
  <c r="J169" i="11"/>
  <c r="K169" i="11"/>
  <c r="L169" i="11"/>
  <c r="M169" i="11"/>
  <c r="N169" i="11"/>
  <c r="J170" i="11"/>
  <c r="K170" i="11"/>
  <c r="L170" i="11"/>
  <c r="M170" i="11"/>
  <c r="N170" i="11"/>
  <c r="J171" i="11"/>
  <c r="K171" i="11"/>
  <c r="L171" i="11"/>
  <c r="M171" i="11"/>
  <c r="N171" i="11"/>
  <c r="J172" i="11"/>
  <c r="K172" i="11"/>
  <c r="L172" i="11"/>
  <c r="M172" i="11"/>
  <c r="N172" i="11"/>
  <c r="J173" i="11"/>
  <c r="K173" i="11"/>
  <c r="L173" i="11"/>
  <c r="M173" i="11"/>
  <c r="N173" i="11"/>
  <c r="J175" i="11"/>
  <c r="K175" i="11"/>
  <c r="L175" i="11"/>
  <c r="M175" i="11"/>
  <c r="N175" i="11"/>
  <c r="J176" i="11"/>
  <c r="K176" i="11"/>
  <c r="L176" i="11"/>
  <c r="M176" i="11"/>
  <c r="N176" i="11"/>
  <c r="J177" i="11"/>
  <c r="K177" i="11"/>
  <c r="L177" i="11"/>
  <c r="M177" i="11"/>
  <c r="N177" i="11"/>
  <c r="J178" i="11"/>
  <c r="K178" i="11"/>
  <c r="L178" i="11"/>
  <c r="M178" i="11"/>
  <c r="N178" i="11"/>
  <c r="J179" i="11"/>
  <c r="K179" i="11"/>
  <c r="L179" i="11"/>
  <c r="M179" i="11"/>
  <c r="N179" i="11"/>
  <c r="J180" i="11"/>
  <c r="K180" i="11"/>
  <c r="L180" i="11"/>
  <c r="M180" i="11"/>
  <c r="N180" i="11"/>
  <c r="J181" i="11"/>
  <c r="K181" i="11"/>
  <c r="L181" i="11"/>
  <c r="M181" i="11"/>
  <c r="N181" i="11"/>
  <c r="J182" i="11"/>
  <c r="K182" i="11"/>
  <c r="L182" i="11"/>
  <c r="M182" i="11"/>
  <c r="N182" i="11"/>
  <c r="J183" i="11"/>
  <c r="K183" i="11"/>
  <c r="L183" i="11"/>
  <c r="M183" i="11"/>
  <c r="N183" i="11"/>
  <c r="J184" i="11"/>
  <c r="K184" i="11"/>
  <c r="L184" i="11"/>
  <c r="M184" i="11"/>
  <c r="N184" i="11"/>
  <c r="J185" i="11"/>
  <c r="K185" i="11"/>
  <c r="L185" i="11"/>
  <c r="M185" i="11"/>
  <c r="N185" i="11"/>
  <c r="J186" i="11"/>
  <c r="K186" i="11"/>
  <c r="L186" i="11"/>
  <c r="M186" i="11"/>
  <c r="N186" i="11"/>
  <c r="J187" i="11"/>
  <c r="K187" i="11"/>
  <c r="L187" i="11"/>
  <c r="M187" i="11"/>
  <c r="N187" i="11"/>
  <c r="J188" i="11"/>
  <c r="K188" i="11"/>
  <c r="L188" i="11"/>
  <c r="M188" i="11"/>
  <c r="N188" i="11"/>
  <c r="J189" i="11"/>
  <c r="K189" i="11"/>
  <c r="L189" i="11"/>
  <c r="M189" i="11"/>
  <c r="N189" i="11"/>
  <c r="J190" i="11"/>
  <c r="K190" i="11"/>
  <c r="L190" i="11"/>
  <c r="M190" i="11"/>
  <c r="N190" i="11"/>
  <c r="J191" i="11"/>
  <c r="K191" i="11"/>
  <c r="L191" i="11"/>
  <c r="M191" i="11"/>
  <c r="N191" i="11"/>
  <c r="J192" i="11"/>
  <c r="K192" i="11"/>
  <c r="L192" i="11"/>
  <c r="M192" i="11"/>
  <c r="N192" i="11"/>
  <c r="J193" i="11"/>
  <c r="K193" i="11"/>
  <c r="L193" i="11"/>
  <c r="M193" i="11"/>
  <c r="N193" i="11"/>
  <c r="J194" i="11"/>
  <c r="K194" i="11"/>
  <c r="L194" i="11"/>
  <c r="M194" i="11"/>
  <c r="N194" i="11"/>
  <c r="J196" i="11"/>
  <c r="K196" i="11"/>
  <c r="L196" i="11"/>
  <c r="M196" i="11"/>
  <c r="N196" i="11"/>
  <c r="J197" i="11"/>
  <c r="K197" i="11"/>
  <c r="L197" i="11"/>
  <c r="M197" i="11"/>
  <c r="N197" i="11"/>
  <c r="J198" i="11"/>
  <c r="K198" i="11"/>
  <c r="L198" i="11"/>
  <c r="M198" i="11"/>
  <c r="N198" i="11"/>
  <c r="J199" i="11"/>
  <c r="K199" i="11"/>
  <c r="L199" i="11"/>
  <c r="M199" i="11"/>
  <c r="N199" i="11"/>
  <c r="J200" i="11"/>
  <c r="K200" i="11"/>
  <c r="L200" i="11"/>
  <c r="M200" i="11"/>
  <c r="N200" i="11"/>
  <c r="J201" i="11"/>
  <c r="K201" i="11"/>
  <c r="L201" i="11"/>
  <c r="M201" i="11"/>
  <c r="N201" i="11"/>
  <c r="J202" i="11"/>
  <c r="K202" i="11"/>
  <c r="L202" i="11"/>
  <c r="M202" i="11"/>
  <c r="N202" i="11"/>
  <c r="J203" i="11"/>
  <c r="K203" i="11"/>
  <c r="L203" i="11"/>
  <c r="M203" i="11"/>
  <c r="N203" i="11"/>
  <c r="J204" i="11"/>
  <c r="K204" i="11"/>
  <c r="L204" i="11"/>
  <c r="M204" i="11"/>
  <c r="N204" i="11"/>
  <c r="J205" i="11"/>
  <c r="K205" i="11"/>
  <c r="L205" i="11"/>
  <c r="M205" i="11"/>
  <c r="N205" i="11"/>
  <c r="J206" i="11"/>
  <c r="K206" i="11"/>
  <c r="L206" i="11"/>
  <c r="M206" i="11"/>
  <c r="N206" i="11"/>
  <c r="J207" i="11"/>
  <c r="K207" i="11"/>
  <c r="L207" i="11"/>
  <c r="M207" i="11"/>
  <c r="N207" i="11"/>
  <c r="J208" i="11"/>
  <c r="K208" i="11"/>
  <c r="L208" i="11"/>
  <c r="M208" i="11"/>
  <c r="N208" i="11"/>
  <c r="J209" i="11"/>
  <c r="K209" i="11"/>
  <c r="L209" i="11"/>
  <c r="M209" i="11"/>
  <c r="N209" i="11"/>
  <c r="J211" i="11"/>
  <c r="K211" i="11"/>
  <c r="L211" i="11"/>
  <c r="M211" i="11"/>
  <c r="N211" i="11"/>
  <c r="J212" i="11"/>
  <c r="K212" i="11"/>
  <c r="L212" i="11"/>
  <c r="M212" i="11"/>
  <c r="N212" i="11"/>
  <c r="J213" i="11"/>
  <c r="K213" i="11"/>
  <c r="L213" i="11"/>
  <c r="M213" i="11"/>
  <c r="N213" i="11"/>
  <c r="J214" i="11"/>
  <c r="K214" i="11"/>
  <c r="L214" i="11"/>
  <c r="M214" i="11"/>
  <c r="N214" i="11"/>
  <c r="J215" i="11"/>
  <c r="K215" i="11"/>
  <c r="L215" i="11"/>
  <c r="M215" i="11"/>
  <c r="N215" i="11"/>
  <c r="J216" i="11"/>
  <c r="K216" i="11"/>
  <c r="L216" i="11"/>
  <c r="M216" i="11"/>
  <c r="N216" i="11"/>
  <c r="J217" i="11"/>
  <c r="K217" i="11"/>
  <c r="L217" i="11"/>
  <c r="M217" i="11"/>
  <c r="N217" i="11"/>
  <c r="J218" i="11"/>
  <c r="K218" i="11"/>
  <c r="L218" i="11"/>
  <c r="M218" i="11"/>
  <c r="N218" i="11"/>
  <c r="J219" i="11"/>
  <c r="K219" i="11"/>
  <c r="L219" i="11"/>
  <c r="M219" i="11"/>
  <c r="N219" i="11"/>
  <c r="J220" i="11"/>
  <c r="K220" i="11"/>
  <c r="L220" i="11"/>
  <c r="M220" i="11"/>
  <c r="N220" i="11"/>
  <c r="J221" i="11"/>
  <c r="K221" i="11"/>
  <c r="L221" i="11"/>
  <c r="M221" i="11"/>
  <c r="N221" i="11"/>
  <c r="J222" i="11"/>
  <c r="K222" i="11"/>
  <c r="L222" i="11"/>
  <c r="M222" i="11"/>
  <c r="N222" i="11"/>
  <c r="J224" i="11"/>
  <c r="K224" i="11"/>
  <c r="L224" i="11"/>
  <c r="M224" i="11"/>
  <c r="N224" i="11"/>
  <c r="J225" i="11"/>
  <c r="K225" i="11"/>
  <c r="L225" i="11"/>
  <c r="M225" i="11"/>
  <c r="N225" i="11"/>
  <c r="J226" i="11"/>
  <c r="K226" i="11"/>
  <c r="L226" i="11"/>
  <c r="M226" i="11"/>
  <c r="N226" i="11"/>
  <c r="J227" i="11"/>
  <c r="K227" i="11"/>
  <c r="L227" i="11"/>
  <c r="M227" i="11"/>
  <c r="N227" i="11"/>
  <c r="J228" i="11"/>
  <c r="K228" i="11"/>
  <c r="L228" i="11"/>
  <c r="M228" i="11"/>
  <c r="N228" i="11"/>
  <c r="J229" i="11"/>
  <c r="K229" i="11"/>
  <c r="L229" i="11"/>
  <c r="M229" i="11"/>
  <c r="N229" i="11"/>
  <c r="J230" i="11"/>
  <c r="K230" i="11"/>
  <c r="L230" i="11"/>
  <c r="M230" i="11"/>
  <c r="N230" i="11"/>
  <c r="J231" i="11"/>
  <c r="K231" i="11"/>
  <c r="L231" i="11"/>
  <c r="M231" i="11"/>
  <c r="N231" i="11"/>
  <c r="J232" i="11"/>
  <c r="K232" i="11"/>
  <c r="L232" i="11"/>
  <c r="M232" i="11"/>
  <c r="N232" i="11"/>
  <c r="J234" i="11"/>
  <c r="K234" i="11"/>
  <c r="L234" i="11"/>
  <c r="M234" i="11"/>
  <c r="N234" i="11"/>
  <c r="J235" i="11"/>
  <c r="K235" i="11"/>
  <c r="L235" i="11"/>
  <c r="M235" i="11"/>
  <c r="N235" i="11"/>
  <c r="J236" i="11"/>
  <c r="K236" i="11"/>
  <c r="L236" i="11"/>
  <c r="M236" i="11"/>
  <c r="N236" i="11"/>
  <c r="J237" i="11"/>
  <c r="K237" i="11"/>
  <c r="L237" i="11"/>
  <c r="M237" i="11"/>
  <c r="N237" i="11"/>
  <c r="J238" i="11"/>
  <c r="K238" i="11"/>
  <c r="L238" i="11"/>
  <c r="M238" i="11"/>
  <c r="N238" i="11"/>
  <c r="J239" i="11"/>
  <c r="K239" i="11"/>
  <c r="L239" i="11"/>
  <c r="M239" i="11"/>
  <c r="N239" i="11"/>
  <c r="J240" i="11"/>
  <c r="K240" i="11"/>
  <c r="L240" i="11"/>
  <c r="M240" i="11"/>
  <c r="N240" i="11"/>
  <c r="J241" i="11"/>
  <c r="K241" i="11"/>
  <c r="L241" i="11"/>
  <c r="M241" i="11"/>
  <c r="N241" i="11"/>
  <c r="J242" i="11"/>
  <c r="K242" i="11"/>
  <c r="L242" i="11"/>
  <c r="M242" i="11"/>
  <c r="N242" i="11"/>
  <c r="J244" i="11"/>
  <c r="K244" i="11"/>
  <c r="L244" i="11"/>
  <c r="M244" i="11"/>
  <c r="N244" i="11"/>
  <c r="J245" i="11"/>
  <c r="K245" i="11"/>
  <c r="L245" i="11"/>
  <c r="M245" i="11"/>
  <c r="N245" i="11"/>
  <c r="J246" i="11"/>
  <c r="K246" i="11"/>
  <c r="L246" i="11"/>
  <c r="M246" i="11"/>
  <c r="N246" i="11"/>
  <c r="J247" i="11"/>
  <c r="K247" i="11"/>
  <c r="L247" i="11"/>
  <c r="M247" i="11"/>
  <c r="N247" i="11"/>
  <c r="J248" i="11"/>
  <c r="K248" i="11"/>
  <c r="L248" i="11"/>
  <c r="M248" i="11"/>
  <c r="N248" i="11"/>
  <c r="J249" i="11"/>
  <c r="K249" i="11"/>
  <c r="L249" i="11"/>
  <c r="M249" i="11"/>
  <c r="N249" i="11"/>
  <c r="J251" i="11"/>
  <c r="K251" i="11"/>
  <c r="L251" i="11"/>
  <c r="M251" i="11"/>
  <c r="N251" i="11"/>
  <c r="J252" i="11"/>
  <c r="K252" i="11"/>
  <c r="L252" i="11"/>
  <c r="M252" i="11"/>
  <c r="N252" i="11"/>
  <c r="J253" i="11"/>
  <c r="K253" i="11"/>
  <c r="L253" i="11"/>
  <c r="M253" i="11"/>
  <c r="N253" i="11"/>
  <c r="J254" i="11"/>
  <c r="K254" i="11"/>
  <c r="L254" i="11"/>
  <c r="M254" i="11"/>
  <c r="N254" i="11"/>
  <c r="J255" i="11"/>
  <c r="K255" i="11"/>
  <c r="L255" i="11"/>
  <c r="M255" i="11"/>
  <c r="N255" i="11"/>
  <c r="J256" i="11"/>
  <c r="K256" i="11"/>
  <c r="L256" i="11"/>
  <c r="M256" i="11"/>
  <c r="N256" i="11"/>
  <c r="J257" i="11"/>
  <c r="K257" i="11"/>
  <c r="L257" i="11"/>
  <c r="M257" i="11"/>
  <c r="N257" i="11"/>
  <c r="J258" i="11"/>
  <c r="K258" i="11"/>
  <c r="L258" i="11"/>
  <c r="M258" i="11"/>
  <c r="N258" i="11"/>
  <c r="J259" i="11"/>
  <c r="K259" i="11"/>
  <c r="L259" i="11"/>
  <c r="M259" i="11"/>
  <c r="N259" i="11"/>
  <c r="J260" i="11"/>
  <c r="K260" i="11"/>
  <c r="L260" i="11"/>
  <c r="M260" i="11"/>
  <c r="N260" i="11"/>
  <c r="J261" i="11"/>
  <c r="K261" i="11"/>
  <c r="L261" i="11"/>
  <c r="M261" i="11"/>
  <c r="N261" i="11"/>
  <c r="J262" i="11"/>
  <c r="K262" i="11"/>
  <c r="L262" i="11"/>
  <c r="M262" i="11"/>
  <c r="N262" i="11"/>
  <c r="J263" i="11"/>
  <c r="K263" i="11"/>
  <c r="L263" i="11"/>
  <c r="M263" i="11"/>
  <c r="N263" i="11"/>
  <c r="J264" i="11"/>
  <c r="K264" i="11"/>
  <c r="L264" i="11"/>
  <c r="M264" i="11"/>
  <c r="N264" i="11"/>
  <c r="J265" i="11"/>
  <c r="K265" i="11"/>
  <c r="L265" i="11"/>
  <c r="M265" i="11"/>
  <c r="N265" i="11"/>
  <c r="J266" i="11"/>
  <c r="K266" i="11"/>
  <c r="L266" i="11"/>
  <c r="M266" i="11"/>
  <c r="N266" i="11"/>
  <c r="J268" i="11"/>
  <c r="K268" i="11"/>
  <c r="L268" i="11"/>
  <c r="M268" i="11"/>
  <c r="N268" i="11"/>
  <c r="J269" i="11"/>
  <c r="K269" i="11"/>
  <c r="L269" i="11"/>
  <c r="M269" i="11"/>
  <c r="N269" i="11"/>
  <c r="J270" i="11"/>
  <c r="K270" i="11"/>
  <c r="L270" i="11"/>
  <c r="M270" i="11"/>
  <c r="N270" i="11"/>
  <c r="J272" i="11"/>
  <c r="K272" i="11"/>
  <c r="L272" i="11"/>
  <c r="M272" i="11"/>
  <c r="N272" i="11"/>
  <c r="J273" i="11"/>
  <c r="K273" i="11"/>
  <c r="L273" i="11"/>
  <c r="M273" i="11"/>
  <c r="N273" i="11"/>
  <c r="J274" i="11"/>
  <c r="K274" i="11"/>
  <c r="L274" i="11"/>
  <c r="M274" i="11"/>
  <c r="N274" i="11"/>
  <c r="J275" i="11"/>
  <c r="K275" i="11"/>
  <c r="L275" i="11"/>
  <c r="M275" i="11"/>
  <c r="N275" i="11"/>
  <c r="J277" i="11"/>
  <c r="K277" i="11"/>
  <c r="L277" i="11"/>
  <c r="M277" i="11"/>
  <c r="N277" i="11"/>
  <c r="J279" i="11"/>
  <c r="K279" i="11"/>
  <c r="L279" i="11"/>
  <c r="M279" i="11"/>
  <c r="N279" i="11"/>
  <c r="J280" i="11"/>
  <c r="K280" i="11"/>
  <c r="L280" i="11"/>
  <c r="M280" i="11"/>
  <c r="N280" i="11"/>
  <c r="J281" i="11"/>
  <c r="K281" i="11"/>
  <c r="L281" i="11"/>
  <c r="M281" i="11"/>
  <c r="N281" i="11"/>
  <c r="J282" i="11"/>
  <c r="K282" i="11"/>
  <c r="L282" i="11"/>
  <c r="M282" i="11"/>
  <c r="N282" i="11"/>
  <c r="J283" i="11"/>
  <c r="K283" i="11"/>
  <c r="L283" i="11"/>
  <c r="M283" i="11"/>
  <c r="N283" i="11"/>
  <c r="J284" i="11"/>
  <c r="K284" i="11"/>
  <c r="L284" i="11"/>
  <c r="M284" i="11"/>
  <c r="N284" i="11"/>
  <c r="J285" i="11"/>
  <c r="K285" i="11"/>
  <c r="L285" i="11"/>
  <c r="M285" i="11"/>
  <c r="N285" i="11"/>
  <c r="J286" i="11"/>
  <c r="K286" i="11"/>
  <c r="L286" i="11"/>
  <c r="M286" i="11"/>
  <c r="N286" i="11"/>
  <c r="J288" i="11"/>
  <c r="K288" i="11"/>
  <c r="L288" i="11"/>
  <c r="M288" i="11"/>
  <c r="N288" i="11"/>
  <c r="J289" i="11"/>
  <c r="K289" i="11"/>
  <c r="L289" i="11"/>
  <c r="M289" i="11"/>
  <c r="N289" i="11"/>
  <c r="J290" i="11"/>
  <c r="K290" i="11"/>
  <c r="L290" i="11"/>
  <c r="M290" i="11"/>
  <c r="N290" i="11"/>
  <c r="J291" i="11"/>
  <c r="K291" i="11"/>
  <c r="L291" i="11"/>
  <c r="M291" i="11"/>
  <c r="N291" i="11"/>
  <c r="J292" i="11"/>
  <c r="K292" i="11"/>
  <c r="L292" i="11"/>
  <c r="M292" i="11"/>
  <c r="N292" i="11"/>
  <c r="J293" i="11"/>
  <c r="K293" i="11"/>
  <c r="L293" i="11"/>
  <c r="M293" i="11"/>
  <c r="N293" i="11"/>
  <c r="J294" i="11"/>
  <c r="K294" i="11"/>
  <c r="L294" i="11"/>
  <c r="M294" i="11"/>
  <c r="N294" i="11"/>
  <c r="J296" i="11"/>
  <c r="K296" i="11"/>
  <c r="L296" i="11"/>
  <c r="M296" i="11"/>
  <c r="N296" i="11"/>
  <c r="J297" i="11"/>
  <c r="K297" i="11"/>
  <c r="L297" i="11"/>
  <c r="M297" i="11"/>
  <c r="N297" i="11"/>
  <c r="J298" i="11"/>
  <c r="K298" i="11"/>
  <c r="L298" i="11"/>
  <c r="M298" i="11"/>
  <c r="N298" i="11"/>
  <c r="J299" i="11"/>
  <c r="K299" i="11"/>
  <c r="L299" i="11"/>
  <c r="M299" i="11"/>
  <c r="N299" i="11"/>
  <c r="J300" i="11"/>
  <c r="K300" i="11"/>
  <c r="L300" i="11"/>
  <c r="M300" i="11"/>
  <c r="N300" i="11"/>
  <c r="J301" i="11"/>
  <c r="K301" i="11"/>
  <c r="L301" i="11"/>
  <c r="M301" i="11"/>
  <c r="N301" i="11"/>
  <c r="J302" i="11"/>
  <c r="K302" i="11"/>
  <c r="L302" i="11"/>
  <c r="M302" i="11"/>
  <c r="N302" i="11"/>
  <c r="J303" i="11"/>
  <c r="K303" i="11"/>
  <c r="L303" i="11"/>
  <c r="M303" i="11"/>
  <c r="N303" i="11"/>
  <c r="J305" i="11"/>
  <c r="K305" i="11"/>
  <c r="L305" i="11"/>
  <c r="M305" i="11"/>
  <c r="N305" i="11"/>
  <c r="J306" i="11"/>
  <c r="K306" i="11"/>
  <c r="L306" i="11"/>
  <c r="M306" i="11"/>
  <c r="N306" i="11"/>
  <c r="J307" i="11"/>
  <c r="K307" i="11"/>
  <c r="L307" i="11"/>
  <c r="M307" i="11"/>
  <c r="N307" i="11"/>
  <c r="J308" i="11"/>
  <c r="K308" i="11"/>
  <c r="L308" i="11"/>
  <c r="M308" i="11"/>
  <c r="N308" i="11"/>
  <c r="J309" i="11"/>
  <c r="K309" i="11"/>
  <c r="L309" i="11"/>
  <c r="M309" i="11"/>
  <c r="N309" i="11"/>
  <c r="J311" i="11"/>
  <c r="K311" i="11"/>
  <c r="L311" i="11"/>
  <c r="M311" i="11"/>
  <c r="N311" i="11"/>
  <c r="J312" i="11"/>
  <c r="K312" i="11"/>
  <c r="L312" i="11"/>
  <c r="M312" i="11"/>
  <c r="N312" i="11"/>
  <c r="J313" i="11"/>
  <c r="K313" i="11"/>
  <c r="L313" i="11"/>
  <c r="M313" i="11"/>
  <c r="N313" i="11"/>
  <c r="J314" i="11"/>
  <c r="K314" i="11"/>
  <c r="L314" i="11"/>
  <c r="M314" i="11"/>
  <c r="N314" i="11"/>
  <c r="J315" i="11"/>
  <c r="K315" i="11"/>
  <c r="L315" i="11"/>
  <c r="M315" i="11"/>
  <c r="N315" i="11"/>
  <c r="J316" i="11"/>
  <c r="K316" i="11"/>
  <c r="L316" i="11"/>
  <c r="M316" i="11"/>
  <c r="N316" i="11"/>
  <c r="J317" i="11"/>
  <c r="K317" i="11"/>
  <c r="L317" i="11"/>
  <c r="M317" i="11"/>
  <c r="N317" i="11"/>
  <c r="J318" i="11"/>
  <c r="K318" i="11"/>
  <c r="L318" i="11"/>
  <c r="M318" i="11"/>
  <c r="N318" i="11"/>
  <c r="J319" i="11"/>
  <c r="K319" i="11"/>
  <c r="L319" i="11"/>
  <c r="M319" i="11"/>
  <c r="N319" i="11"/>
  <c r="J320" i="11"/>
  <c r="K320" i="11"/>
  <c r="L320" i="11"/>
  <c r="M320" i="11"/>
  <c r="N320" i="11"/>
  <c r="J321" i="11"/>
  <c r="K321" i="11"/>
  <c r="L321" i="11"/>
  <c r="M321" i="11"/>
  <c r="N321" i="11"/>
  <c r="J322" i="11"/>
  <c r="K322" i="11"/>
  <c r="L322" i="11"/>
  <c r="M322" i="11"/>
  <c r="N322" i="11"/>
  <c r="K11" i="11"/>
  <c r="L11" i="11"/>
  <c r="M11" i="11"/>
  <c r="N11" i="11"/>
  <c r="J11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J34" i="11"/>
  <c r="AK34" i="11"/>
  <c r="AL34" i="11"/>
  <c r="AM34" i="11"/>
  <c r="AN34" i="11"/>
  <c r="AO34" i="11"/>
  <c r="AP34" i="11"/>
  <c r="AQ34" i="11"/>
  <c r="AR34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J45" i="11"/>
  <c r="AK45" i="11"/>
  <c r="AL45" i="11"/>
  <c r="AM45" i="11"/>
  <c r="AN45" i="11"/>
  <c r="AO45" i="11"/>
  <c r="AP45" i="11"/>
  <c r="AQ45" i="11"/>
  <c r="AR45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K53" i="11"/>
  <c r="AL53" i="11"/>
  <c r="AM53" i="11"/>
  <c r="AN53" i="11"/>
  <c r="AO53" i="11"/>
  <c r="AP53" i="11"/>
  <c r="AQ53" i="11"/>
  <c r="AR53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J64" i="11"/>
  <c r="AK64" i="11"/>
  <c r="AL64" i="11"/>
  <c r="AM64" i="11"/>
  <c r="AN64" i="11"/>
  <c r="AO64" i="11"/>
  <c r="AP64" i="11"/>
  <c r="AQ64" i="11"/>
  <c r="AR64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J70" i="11"/>
  <c r="AK70" i="11"/>
  <c r="AL70" i="11"/>
  <c r="AM70" i="11"/>
  <c r="AN70" i="11"/>
  <c r="AO70" i="11"/>
  <c r="AP70" i="11"/>
  <c r="AQ70" i="11"/>
  <c r="AR70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J76" i="11"/>
  <c r="AK76" i="11"/>
  <c r="AL76" i="11"/>
  <c r="AM76" i="11"/>
  <c r="AN76" i="11"/>
  <c r="AO76" i="11"/>
  <c r="AP76" i="11"/>
  <c r="AQ76" i="11"/>
  <c r="AR76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J88" i="11"/>
  <c r="AK88" i="11"/>
  <c r="AL88" i="11"/>
  <c r="AM88" i="11"/>
  <c r="AN88" i="11"/>
  <c r="AO88" i="11"/>
  <c r="AP88" i="11"/>
  <c r="AQ88" i="11"/>
  <c r="AR88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J102" i="11"/>
  <c r="AK102" i="11"/>
  <c r="AL102" i="11"/>
  <c r="AM102" i="11"/>
  <c r="AN102" i="11"/>
  <c r="AO102" i="11"/>
  <c r="AP102" i="11"/>
  <c r="AQ102" i="11"/>
  <c r="AR102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J110" i="11"/>
  <c r="AK110" i="11"/>
  <c r="AL110" i="11"/>
  <c r="AM110" i="11"/>
  <c r="AN110" i="11"/>
  <c r="AO110" i="11"/>
  <c r="AP110" i="11"/>
  <c r="AQ110" i="11"/>
  <c r="AR110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J119" i="11"/>
  <c r="AK119" i="11"/>
  <c r="AL119" i="11"/>
  <c r="AM119" i="11"/>
  <c r="AN119" i="11"/>
  <c r="AO119" i="11"/>
  <c r="AP119" i="11"/>
  <c r="AQ119" i="11"/>
  <c r="AR119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J150" i="11"/>
  <c r="AK150" i="11"/>
  <c r="AL150" i="11"/>
  <c r="AM150" i="11"/>
  <c r="AN150" i="11"/>
  <c r="AO150" i="11"/>
  <c r="AP150" i="11"/>
  <c r="AQ150" i="11"/>
  <c r="AR150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J159" i="11"/>
  <c r="AK159" i="11"/>
  <c r="AL159" i="11"/>
  <c r="AM159" i="11"/>
  <c r="AN159" i="11"/>
  <c r="AO159" i="11"/>
  <c r="AP159" i="11"/>
  <c r="AQ159" i="11"/>
  <c r="AR159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J165" i="11"/>
  <c r="AK165" i="11"/>
  <c r="AL165" i="11"/>
  <c r="AM165" i="11"/>
  <c r="AN165" i="11"/>
  <c r="AO165" i="11"/>
  <c r="AP165" i="11"/>
  <c r="AQ165" i="11"/>
  <c r="AR165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J174" i="11"/>
  <c r="AK174" i="11"/>
  <c r="AL174" i="11"/>
  <c r="AM174" i="11"/>
  <c r="AN174" i="11"/>
  <c r="AO174" i="11"/>
  <c r="AP174" i="11"/>
  <c r="AQ174" i="11"/>
  <c r="AR174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J195" i="11"/>
  <c r="AK195" i="11"/>
  <c r="AL195" i="11"/>
  <c r="AM195" i="11"/>
  <c r="AN195" i="11"/>
  <c r="AO195" i="11"/>
  <c r="AP195" i="11"/>
  <c r="AQ195" i="11"/>
  <c r="AR195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J210" i="11"/>
  <c r="AK210" i="11"/>
  <c r="AL210" i="11"/>
  <c r="AM210" i="11"/>
  <c r="AN210" i="11"/>
  <c r="AO210" i="11"/>
  <c r="AP210" i="11"/>
  <c r="AQ210" i="11"/>
  <c r="AR210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J223" i="11"/>
  <c r="AK223" i="11"/>
  <c r="AL223" i="11"/>
  <c r="AM223" i="11"/>
  <c r="AN223" i="11"/>
  <c r="AO223" i="11"/>
  <c r="AP223" i="11"/>
  <c r="AQ223" i="11"/>
  <c r="AR22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J233" i="11"/>
  <c r="AK233" i="11"/>
  <c r="AL233" i="11"/>
  <c r="AM233" i="11"/>
  <c r="AN233" i="11"/>
  <c r="AO233" i="11"/>
  <c r="AP233" i="11"/>
  <c r="AQ233" i="11"/>
  <c r="AR23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J243" i="11"/>
  <c r="AK243" i="11"/>
  <c r="AL243" i="11"/>
  <c r="AM243" i="11"/>
  <c r="AN243" i="11"/>
  <c r="AO243" i="11"/>
  <c r="AP243" i="11"/>
  <c r="AQ243" i="11"/>
  <c r="AR243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J250" i="11"/>
  <c r="AK250" i="11"/>
  <c r="AL250" i="11"/>
  <c r="AM250" i="11"/>
  <c r="AN250" i="11"/>
  <c r="AO250" i="11"/>
  <c r="AP250" i="11"/>
  <c r="AQ250" i="11"/>
  <c r="AR250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J278" i="11"/>
  <c r="AK278" i="11"/>
  <c r="AL278" i="11"/>
  <c r="AM278" i="11"/>
  <c r="AN278" i="11"/>
  <c r="AO278" i="11"/>
  <c r="AP278" i="11"/>
  <c r="AQ278" i="11"/>
  <c r="AR278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J287" i="11"/>
  <c r="AK287" i="11"/>
  <c r="AL287" i="11"/>
  <c r="AM287" i="11"/>
  <c r="AN287" i="11"/>
  <c r="AO287" i="11"/>
  <c r="AP287" i="11"/>
  <c r="AQ287" i="11"/>
  <c r="AR287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J295" i="11"/>
  <c r="AK295" i="11"/>
  <c r="AL295" i="11"/>
  <c r="AM295" i="11"/>
  <c r="AN295" i="11"/>
  <c r="AO295" i="11"/>
  <c r="AP295" i="11"/>
  <c r="AQ295" i="11"/>
  <c r="AR295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J304" i="11"/>
  <c r="AK304" i="11"/>
  <c r="AL304" i="11"/>
  <c r="AM304" i="11"/>
  <c r="AN304" i="11"/>
  <c r="AO304" i="11"/>
  <c r="AP304" i="11"/>
  <c r="AQ304" i="11"/>
  <c r="AR304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J310" i="11"/>
  <c r="AK310" i="11"/>
  <c r="AL310" i="11"/>
  <c r="AM310" i="11"/>
  <c r="AN310" i="11"/>
  <c r="AO310" i="11"/>
  <c r="AP310" i="11"/>
  <c r="AQ310" i="11"/>
  <c r="AR310" i="11"/>
  <c r="O310" i="11"/>
  <c r="O304" i="11"/>
  <c r="O295" i="11"/>
  <c r="O287" i="11"/>
  <c r="O278" i="11"/>
  <c r="O250" i="11"/>
  <c r="O243" i="11"/>
  <c r="O233" i="11"/>
  <c r="O223" i="11"/>
  <c r="O210" i="11"/>
  <c r="O195" i="11"/>
  <c r="O174" i="11"/>
  <c r="O165" i="11"/>
  <c r="O159" i="11"/>
  <c r="O150" i="11"/>
  <c r="O119" i="11"/>
  <c r="O110" i="11"/>
  <c r="O102" i="11"/>
  <c r="O88" i="11"/>
  <c r="O76" i="11"/>
  <c r="O70" i="11"/>
  <c r="O64" i="11"/>
  <c r="O53" i="11"/>
  <c r="O45" i="11"/>
  <c r="O34" i="11"/>
  <c r="O26" i="11"/>
  <c r="O17" i="11"/>
  <c r="Z316" i="10"/>
  <c r="Z12" i="10"/>
  <c r="Z13" i="10"/>
  <c r="Z14" i="10"/>
  <c r="Z15" i="10"/>
  <c r="Z16" i="10"/>
  <c r="Z18" i="10"/>
  <c r="Z19" i="10"/>
  <c r="Z20" i="10"/>
  <c r="Z21" i="10"/>
  <c r="Z22" i="10"/>
  <c r="Z23" i="10"/>
  <c r="Z24" i="10"/>
  <c r="Z25" i="10"/>
  <c r="Z27" i="10"/>
  <c r="Z28" i="10"/>
  <c r="Z29" i="10"/>
  <c r="Z30" i="10"/>
  <c r="Z31" i="10"/>
  <c r="Z32" i="10"/>
  <c r="Z33" i="10"/>
  <c r="Z35" i="10"/>
  <c r="Z36" i="10"/>
  <c r="Z37" i="10"/>
  <c r="Z38" i="10"/>
  <c r="Z39" i="10"/>
  <c r="Z40" i="10"/>
  <c r="Z41" i="10"/>
  <c r="Z42" i="10"/>
  <c r="Z43" i="10"/>
  <c r="Z44" i="10"/>
  <c r="Z46" i="10"/>
  <c r="Z47" i="10"/>
  <c r="Z48" i="10"/>
  <c r="Z49" i="10"/>
  <c r="Z50" i="10"/>
  <c r="Z51" i="10"/>
  <c r="Z52" i="10"/>
  <c r="Z54" i="10"/>
  <c r="Z55" i="10"/>
  <c r="Z56" i="10"/>
  <c r="Z57" i="10"/>
  <c r="Z58" i="10"/>
  <c r="Z59" i="10"/>
  <c r="Z60" i="10"/>
  <c r="Z61" i="10"/>
  <c r="Z62" i="10"/>
  <c r="Z63" i="10"/>
  <c r="Z65" i="10"/>
  <c r="Z66" i="10"/>
  <c r="Z67" i="10"/>
  <c r="Z68" i="10"/>
  <c r="Z69" i="10"/>
  <c r="Z71" i="10"/>
  <c r="Z72" i="10"/>
  <c r="Z73" i="10"/>
  <c r="Z74" i="10"/>
  <c r="Z75" i="10"/>
  <c r="Z77" i="10"/>
  <c r="Z78" i="10"/>
  <c r="Z79" i="10"/>
  <c r="Z80" i="10"/>
  <c r="Z81" i="10"/>
  <c r="Z82" i="10"/>
  <c r="Z83" i="10"/>
  <c r="Z84" i="10"/>
  <c r="Z85" i="10"/>
  <c r="Z86" i="10"/>
  <c r="Z87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3" i="10"/>
  <c r="Z104" i="10"/>
  <c r="Z105" i="10"/>
  <c r="Z106" i="10"/>
  <c r="Z107" i="10"/>
  <c r="Z108" i="10"/>
  <c r="Z109" i="10"/>
  <c r="Z111" i="10"/>
  <c r="Z112" i="10"/>
  <c r="Z113" i="10"/>
  <c r="Z114" i="10"/>
  <c r="Z115" i="10"/>
  <c r="Z116" i="10"/>
  <c r="Z117" i="10"/>
  <c r="Z118" i="10"/>
  <c r="Z120" i="10"/>
  <c r="Z121" i="10"/>
  <c r="Z122" i="10"/>
  <c r="Z123" i="10"/>
  <c r="Z124" i="10"/>
  <c r="Z125" i="10"/>
  <c r="Z126" i="10"/>
  <c r="Z127" i="10"/>
  <c r="Z128" i="10"/>
  <c r="Z129" i="10"/>
  <c r="Z131" i="10"/>
  <c r="Z132" i="10"/>
  <c r="Z133" i="10"/>
  <c r="Z134" i="10"/>
  <c r="Z135" i="10"/>
  <c r="Z136" i="10"/>
  <c r="Z137" i="10"/>
  <c r="Z138" i="10"/>
  <c r="Z139" i="10"/>
  <c r="Z140" i="10"/>
  <c r="Z141" i="10"/>
  <c r="Z142" i="10"/>
  <c r="Z143" i="10"/>
  <c r="Z144" i="10"/>
  <c r="Z145" i="10"/>
  <c r="Z146" i="10"/>
  <c r="Z147" i="10"/>
  <c r="Z148" i="10"/>
  <c r="Z149" i="10"/>
  <c r="Z151" i="10"/>
  <c r="Z152" i="10"/>
  <c r="Z153" i="10"/>
  <c r="Z154" i="10"/>
  <c r="Z155" i="10"/>
  <c r="Z156" i="10"/>
  <c r="Z157" i="10"/>
  <c r="Z158" i="10"/>
  <c r="Z160" i="10"/>
  <c r="Z161" i="10"/>
  <c r="Z162" i="10"/>
  <c r="Z163" i="10"/>
  <c r="Z164" i="10"/>
  <c r="Z166" i="10"/>
  <c r="Z167" i="10"/>
  <c r="Z168" i="10"/>
  <c r="Z169" i="10"/>
  <c r="Z170" i="10"/>
  <c r="Z171" i="10"/>
  <c r="Z172" i="10"/>
  <c r="Z173" i="10"/>
  <c r="Z175" i="10"/>
  <c r="Z176" i="10"/>
  <c r="Z177" i="10"/>
  <c r="Z178" i="10"/>
  <c r="Z179" i="10"/>
  <c r="Z180" i="10"/>
  <c r="Z181" i="10"/>
  <c r="Z182" i="10"/>
  <c r="Z183" i="10"/>
  <c r="Z184" i="10"/>
  <c r="Z185" i="10"/>
  <c r="Z186" i="10"/>
  <c r="Z187" i="10"/>
  <c r="Z188" i="10"/>
  <c r="Z189" i="10"/>
  <c r="Z190" i="10"/>
  <c r="Z191" i="10"/>
  <c r="Z192" i="10"/>
  <c r="Z193" i="10"/>
  <c r="Z194" i="10"/>
  <c r="Z196" i="10"/>
  <c r="Z197" i="10"/>
  <c r="Z198" i="10"/>
  <c r="Z199" i="10"/>
  <c r="Z200" i="10"/>
  <c r="Z201" i="10"/>
  <c r="Z202" i="10"/>
  <c r="Z203" i="10"/>
  <c r="Z204" i="10"/>
  <c r="Z205" i="10"/>
  <c r="Z206" i="10"/>
  <c r="Z207" i="10"/>
  <c r="Z208" i="10"/>
  <c r="Z209" i="10"/>
  <c r="Z211" i="10"/>
  <c r="Z212" i="10"/>
  <c r="Z213" i="10"/>
  <c r="Z214" i="10"/>
  <c r="Z215" i="10"/>
  <c r="Z216" i="10"/>
  <c r="Z217" i="10"/>
  <c r="Z218" i="10"/>
  <c r="Z219" i="10"/>
  <c r="Z220" i="10"/>
  <c r="Z221" i="10"/>
  <c r="Z222" i="10"/>
  <c r="Z224" i="10"/>
  <c r="Z225" i="10"/>
  <c r="Z226" i="10"/>
  <c r="Z227" i="10"/>
  <c r="Z228" i="10"/>
  <c r="Z229" i="10"/>
  <c r="Z230" i="10"/>
  <c r="Z231" i="10"/>
  <c r="Z232" i="10"/>
  <c r="Z234" i="10"/>
  <c r="Z235" i="10"/>
  <c r="Z236" i="10"/>
  <c r="Z237" i="10"/>
  <c r="Z238" i="10"/>
  <c r="Z239" i="10"/>
  <c r="Z240" i="10"/>
  <c r="Z241" i="10"/>
  <c r="Z242" i="10"/>
  <c r="Z244" i="10"/>
  <c r="Z245" i="10"/>
  <c r="Z246" i="10"/>
  <c r="Z247" i="10"/>
  <c r="Z248" i="10"/>
  <c r="Z249" i="10"/>
  <c r="Z251" i="10"/>
  <c r="Z252" i="10"/>
  <c r="Z253" i="10"/>
  <c r="Z254" i="10"/>
  <c r="Z255" i="10"/>
  <c r="Z256" i="10"/>
  <c r="Z257" i="10"/>
  <c r="Z258" i="10"/>
  <c r="Z259" i="10"/>
  <c r="Z260" i="10"/>
  <c r="Z261" i="10"/>
  <c r="Z262" i="10"/>
  <c r="Z263" i="10"/>
  <c r="Z264" i="10"/>
  <c r="Z265" i="10"/>
  <c r="Z266" i="10"/>
  <c r="Z268" i="10"/>
  <c r="Z269" i="10"/>
  <c r="Z270" i="10"/>
  <c r="Z272" i="10"/>
  <c r="Z273" i="10"/>
  <c r="Z274" i="10"/>
  <c r="Z275" i="10"/>
  <c r="Z277" i="10"/>
  <c r="Z279" i="10"/>
  <c r="Z280" i="10"/>
  <c r="Z281" i="10"/>
  <c r="Z282" i="10"/>
  <c r="Z283" i="10"/>
  <c r="Z284" i="10"/>
  <c r="Z285" i="10"/>
  <c r="Z286" i="10"/>
  <c r="Z288" i="10"/>
  <c r="Z289" i="10"/>
  <c r="Z290" i="10"/>
  <c r="Z291" i="10"/>
  <c r="Z292" i="10"/>
  <c r="Z293" i="10"/>
  <c r="Z294" i="10"/>
  <c r="Z296" i="10"/>
  <c r="Z297" i="10"/>
  <c r="Z298" i="10"/>
  <c r="Z299" i="10"/>
  <c r="Z300" i="10"/>
  <c r="Z301" i="10"/>
  <c r="Z302" i="10"/>
  <c r="Z303" i="10"/>
  <c r="Z305" i="10"/>
  <c r="Z306" i="10"/>
  <c r="Z307" i="10"/>
  <c r="Z308" i="10"/>
  <c r="Z309" i="10"/>
  <c r="Z311" i="10"/>
  <c r="Z312" i="10"/>
  <c r="Z313" i="10"/>
  <c r="Z314" i="10"/>
  <c r="Z315" i="10"/>
  <c r="Z317" i="10"/>
  <c r="Z318" i="10"/>
  <c r="Z319" i="10"/>
  <c r="Z320" i="10"/>
  <c r="Z321" i="10"/>
  <c r="Z322" i="10"/>
  <c r="Z11" i="10"/>
  <c r="W12" i="10"/>
  <c r="W13" i="10"/>
  <c r="W14" i="10"/>
  <c r="W15" i="10"/>
  <c r="W16" i="10"/>
  <c r="W18" i="10"/>
  <c r="W19" i="10"/>
  <c r="W20" i="10"/>
  <c r="W21" i="10"/>
  <c r="W22" i="10"/>
  <c r="W23" i="10"/>
  <c r="W24" i="10"/>
  <c r="W25" i="10"/>
  <c r="W27" i="10"/>
  <c r="W28" i="10"/>
  <c r="W29" i="10"/>
  <c r="W30" i="10"/>
  <c r="W31" i="10"/>
  <c r="W32" i="10"/>
  <c r="W33" i="10"/>
  <c r="W35" i="10"/>
  <c r="W36" i="10"/>
  <c r="W37" i="10"/>
  <c r="W38" i="10"/>
  <c r="W39" i="10"/>
  <c r="W40" i="10"/>
  <c r="W41" i="10"/>
  <c r="W42" i="10"/>
  <c r="W43" i="10"/>
  <c r="W44" i="10"/>
  <c r="W46" i="10"/>
  <c r="W47" i="10"/>
  <c r="W48" i="10"/>
  <c r="W49" i="10"/>
  <c r="W50" i="10"/>
  <c r="W51" i="10"/>
  <c r="W52" i="10"/>
  <c r="W54" i="10"/>
  <c r="W55" i="10"/>
  <c r="W56" i="10"/>
  <c r="W57" i="10"/>
  <c r="W58" i="10"/>
  <c r="W59" i="10"/>
  <c r="W60" i="10"/>
  <c r="W61" i="10"/>
  <c r="W62" i="10"/>
  <c r="W63" i="10"/>
  <c r="W65" i="10"/>
  <c r="W66" i="10"/>
  <c r="W67" i="10"/>
  <c r="W68" i="10"/>
  <c r="W69" i="10"/>
  <c r="W71" i="10"/>
  <c r="W72" i="10"/>
  <c r="W73" i="10"/>
  <c r="W74" i="10"/>
  <c r="W75" i="10"/>
  <c r="W77" i="10"/>
  <c r="W78" i="10"/>
  <c r="W79" i="10"/>
  <c r="W80" i="10"/>
  <c r="W81" i="10"/>
  <c r="W82" i="10"/>
  <c r="W83" i="10"/>
  <c r="W84" i="10"/>
  <c r="W85" i="10"/>
  <c r="W86" i="10"/>
  <c r="W87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3" i="10"/>
  <c r="W104" i="10"/>
  <c r="W105" i="10"/>
  <c r="W106" i="10"/>
  <c r="W107" i="10"/>
  <c r="W108" i="10"/>
  <c r="W109" i="10"/>
  <c r="W111" i="10"/>
  <c r="W112" i="10"/>
  <c r="W113" i="10"/>
  <c r="W114" i="10"/>
  <c r="W115" i="10"/>
  <c r="W116" i="10"/>
  <c r="W117" i="10"/>
  <c r="W118" i="10"/>
  <c r="W120" i="10"/>
  <c r="W121" i="10"/>
  <c r="W122" i="10"/>
  <c r="W123" i="10"/>
  <c r="W124" i="10"/>
  <c r="W125" i="10"/>
  <c r="W126" i="10"/>
  <c r="W127" i="10"/>
  <c r="W128" i="10"/>
  <c r="W129" i="10"/>
  <c r="W131" i="10"/>
  <c r="W132" i="10"/>
  <c r="W133" i="10"/>
  <c r="W134" i="10"/>
  <c r="W135" i="10"/>
  <c r="W136" i="10"/>
  <c r="W137" i="10"/>
  <c r="W138" i="10"/>
  <c r="W139" i="10"/>
  <c r="W140" i="10"/>
  <c r="W141" i="10"/>
  <c r="W142" i="10"/>
  <c r="W143" i="10"/>
  <c r="W144" i="10"/>
  <c r="W145" i="10"/>
  <c r="W146" i="10"/>
  <c r="W147" i="10"/>
  <c r="W148" i="10"/>
  <c r="W149" i="10"/>
  <c r="W151" i="10"/>
  <c r="W152" i="10"/>
  <c r="W153" i="10"/>
  <c r="W154" i="10"/>
  <c r="W155" i="10"/>
  <c r="W156" i="10"/>
  <c r="W157" i="10"/>
  <c r="W158" i="10"/>
  <c r="W160" i="10"/>
  <c r="W161" i="10"/>
  <c r="W162" i="10"/>
  <c r="W163" i="10"/>
  <c r="W164" i="10"/>
  <c r="W166" i="10"/>
  <c r="W167" i="10"/>
  <c r="W168" i="10"/>
  <c r="W169" i="10"/>
  <c r="W170" i="10"/>
  <c r="W171" i="10"/>
  <c r="W172" i="10"/>
  <c r="W173" i="10"/>
  <c r="W175" i="10"/>
  <c r="W176" i="10"/>
  <c r="W177" i="10"/>
  <c r="W178" i="10"/>
  <c r="W179" i="10"/>
  <c r="W180" i="10"/>
  <c r="W181" i="10"/>
  <c r="W182" i="10"/>
  <c r="W183" i="10"/>
  <c r="W184" i="10"/>
  <c r="W185" i="10"/>
  <c r="W186" i="10"/>
  <c r="W187" i="10"/>
  <c r="W188" i="10"/>
  <c r="W189" i="10"/>
  <c r="W190" i="10"/>
  <c r="W191" i="10"/>
  <c r="W192" i="10"/>
  <c r="W193" i="10"/>
  <c r="W194" i="10"/>
  <c r="W196" i="10"/>
  <c r="W197" i="10"/>
  <c r="W198" i="10"/>
  <c r="W199" i="10"/>
  <c r="W200" i="10"/>
  <c r="W201" i="10"/>
  <c r="W202" i="10"/>
  <c r="W203" i="10"/>
  <c r="W204" i="10"/>
  <c r="W205" i="10"/>
  <c r="W206" i="10"/>
  <c r="W207" i="10"/>
  <c r="W208" i="10"/>
  <c r="W209" i="10"/>
  <c r="W211" i="10"/>
  <c r="W212" i="10"/>
  <c r="W213" i="10"/>
  <c r="W214" i="10"/>
  <c r="W215" i="10"/>
  <c r="W216" i="10"/>
  <c r="W217" i="10"/>
  <c r="W218" i="10"/>
  <c r="W219" i="10"/>
  <c r="W220" i="10"/>
  <c r="W221" i="10"/>
  <c r="W222" i="10"/>
  <c r="W224" i="10"/>
  <c r="W225" i="10"/>
  <c r="W226" i="10"/>
  <c r="W227" i="10"/>
  <c r="W228" i="10"/>
  <c r="W229" i="10"/>
  <c r="W230" i="10"/>
  <c r="W231" i="10"/>
  <c r="W232" i="10"/>
  <c r="W234" i="10"/>
  <c r="W235" i="10"/>
  <c r="W236" i="10"/>
  <c r="W237" i="10"/>
  <c r="W238" i="10"/>
  <c r="W239" i="10"/>
  <c r="W240" i="10"/>
  <c r="W241" i="10"/>
  <c r="W242" i="10"/>
  <c r="W244" i="10"/>
  <c r="W245" i="10"/>
  <c r="W246" i="10"/>
  <c r="W247" i="10"/>
  <c r="W248" i="10"/>
  <c r="W249" i="10"/>
  <c r="W251" i="10"/>
  <c r="W252" i="10"/>
  <c r="W253" i="10"/>
  <c r="W254" i="10"/>
  <c r="W255" i="10"/>
  <c r="W256" i="10"/>
  <c r="W257" i="10"/>
  <c r="W258" i="10"/>
  <c r="W259" i="10"/>
  <c r="W260" i="10"/>
  <c r="W261" i="10"/>
  <c r="W262" i="10"/>
  <c r="W263" i="10"/>
  <c r="W264" i="10"/>
  <c r="W265" i="10"/>
  <c r="W266" i="10"/>
  <c r="W268" i="10"/>
  <c r="W269" i="10"/>
  <c r="W270" i="10"/>
  <c r="W272" i="10"/>
  <c r="W273" i="10"/>
  <c r="W274" i="10"/>
  <c r="W275" i="10"/>
  <c r="W277" i="10"/>
  <c r="W279" i="10"/>
  <c r="W280" i="10"/>
  <c r="W281" i="10"/>
  <c r="W282" i="10"/>
  <c r="W283" i="10"/>
  <c r="W284" i="10"/>
  <c r="W285" i="10"/>
  <c r="W286" i="10"/>
  <c r="W288" i="10"/>
  <c r="W289" i="10"/>
  <c r="W290" i="10"/>
  <c r="W291" i="10"/>
  <c r="W292" i="10"/>
  <c r="W293" i="10"/>
  <c r="W294" i="10"/>
  <c r="W296" i="10"/>
  <c r="W297" i="10"/>
  <c r="W298" i="10"/>
  <c r="W299" i="10"/>
  <c r="W300" i="10"/>
  <c r="W301" i="10"/>
  <c r="W302" i="10"/>
  <c r="W303" i="10"/>
  <c r="W305" i="10"/>
  <c r="W306" i="10"/>
  <c r="W307" i="10"/>
  <c r="W308" i="10"/>
  <c r="W309" i="10"/>
  <c r="W311" i="10"/>
  <c r="W312" i="10"/>
  <c r="W313" i="10"/>
  <c r="W314" i="10"/>
  <c r="W315" i="10"/>
  <c r="W316" i="10"/>
  <c r="W317" i="10"/>
  <c r="W318" i="10"/>
  <c r="W319" i="10"/>
  <c r="W320" i="10"/>
  <c r="W321" i="10"/>
  <c r="W322" i="10"/>
  <c r="W11" i="10"/>
  <c r="T12" i="10"/>
  <c r="T13" i="10"/>
  <c r="T14" i="10"/>
  <c r="S14" i="10" s="1"/>
  <c r="T15" i="10"/>
  <c r="T16" i="10"/>
  <c r="T18" i="10"/>
  <c r="T19" i="10"/>
  <c r="T20" i="10"/>
  <c r="T21" i="10"/>
  <c r="T22" i="10"/>
  <c r="T23" i="10"/>
  <c r="S23" i="10" s="1"/>
  <c r="T24" i="10"/>
  <c r="T25" i="10"/>
  <c r="T27" i="10"/>
  <c r="T28" i="10"/>
  <c r="T29" i="10"/>
  <c r="T30" i="10"/>
  <c r="T31" i="10"/>
  <c r="T32" i="10"/>
  <c r="S32" i="10" s="1"/>
  <c r="T33" i="10"/>
  <c r="T35" i="10"/>
  <c r="T36" i="10"/>
  <c r="T37" i="10"/>
  <c r="T38" i="10"/>
  <c r="T39" i="10"/>
  <c r="T40" i="10"/>
  <c r="T41" i="10"/>
  <c r="S41" i="10" s="1"/>
  <c r="T42" i="10"/>
  <c r="T43" i="10"/>
  <c r="T44" i="10"/>
  <c r="T46" i="10"/>
  <c r="T47" i="10"/>
  <c r="T48" i="10"/>
  <c r="T49" i="10"/>
  <c r="T50" i="10"/>
  <c r="T51" i="10"/>
  <c r="T52" i="10"/>
  <c r="T54" i="10"/>
  <c r="T55" i="10"/>
  <c r="T56" i="10"/>
  <c r="T57" i="10"/>
  <c r="T58" i="10"/>
  <c r="T59" i="10"/>
  <c r="S59" i="10" s="1"/>
  <c r="T60" i="10"/>
  <c r="T61" i="10"/>
  <c r="T62" i="10"/>
  <c r="T63" i="10"/>
  <c r="T65" i="10"/>
  <c r="T66" i="10"/>
  <c r="T67" i="10"/>
  <c r="T68" i="10"/>
  <c r="S68" i="10" s="1"/>
  <c r="T69" i="10"/>
  <c r="T71" i="10"/>
  <c r="T72" i="10"/>
  <c r="T73" i="10"/>
  <c r="T74" i="10"/>
  <c r="T75" i="10"/>
  <c r="T77" i="10"/>
  <c r="T78" i="10"/>
  <c r="S78" i="10" s="1"/>
  <c r="T79" i="10"/>
  <c r="T80" i="10"/>
  <c r="T81" i="10"/>
  <c r="T82" i="10"/>
  <c r="T83" i="10"/>
  <c r="T84" i="10"/>
  <c r="T85" i="10"/>
  <c r="T86" i="10"/>
  <c r="S86" i="10" s="1"/>
  <c r="T87" i="10"/>
  <c r="T89" i="10"/>
  <c r="T90" i="10"/>
  <c r="T91" i="10"/>
  <c r="T92" i="10"/>
  <c r="T93" i="10"/>
  <c r="T94" i="10"/>
  <c r="T95" i="10"/>
  <c r="S95" i="10" s="1"/>
  <c r="T96" i="10"/>
  <c r="T97" i="10"/>
  <c r="T98" i="10"/>
  <c r="T99" i="10"/>
  <c r="T100" i="10"/>
  <c r="T101" i="10"/>
  <c r="T103" i="10"/>
  <c r="T104" i="10"/>
  <c r="S104" i="10" s="1"/>
  <c r="T105" i="10"/>
  <c r="T106" i="10"/>
  <c r="T107" i="10"/>
  <c r="T108" i="10"/>
  <c r="T109" i="10"/>
  <c r="T111" i="10"/>
  <c r="T112" i="10"/>
  <c r="T113" i="10"/>
  <c r="S113" i="10" s="1"/>
  <c r="T114" i="10"/>
  <c r="T115" i="10"/>
  <c r="T116" i="10"/>
  <c r="T117" i="10"/>
  <c r="T118" i="10"/>
  <c r="T120" i="10"/>
  <c r="T121" i="10"/>
  <c r="T122" i="10"/>
  <c r="S122" i="10" s="1"/>
  <c r="T123" i="10"/>
  <c r="T124" i="10"/>
  <c r="T125" i="10"/>
  <c r="T126" i="10"/>
  <c r="T127" i="10"/>
  <c r="T128" i="10"/>
  <c r="T129" i="10"/>
  <c r="T131" i="10"/>
  <c r="S131" i="10" s="1"/>
  <c r="T132" i="10"/>
  <c r="T133" i="10"/>
  <c r="T134" i="10"/>
  <c r="T135" i="10"/>
  <c r="T136" i="10"/>
  <c r="T137" i="10"/>
  <c r="T138" i="10"/>
  <c r="T139" i="10"/>
  <c r="S139" i="10" s="1"/>
  <c r="T140" i="10"/>
  <c r="T141" i="10"/>
  <c r="T142" i="10"/>
  <c r="T143" i="10"/>
  <c r="T144" i="10"/>
  <c r="T145" i="10"/>
  <c r="T146" i="10"/>
  <c r="T147" i="10"/>
  <c r="S147" i="10" s="1"/>
  <c r="T148" i="10"/>
  <c r="T149" i="10"/>
  <c r="T151" i="10"/>
  <c r="T152" i="10"/>
  <c r="T153" i="10"/>
  <c r="T154" i="10"/>
  <c r="T155" i="10"/>
  <c r="T156" i="10"/>
  <c r="T157" i="10"/>
  <c r="T158" i="10"/>
  <c r="T160" i="10"/>
  <c r="T161" i="10"/>
  <c r="T162" i="10"/>
  <c r="T163" i="10"/>
  <c r="T164" i="10"/>
  <c r="T166" i="10"/>
  <c r="S166" i="10" s="1"/>
  <c r="T167" i="10"/>
  <c r="T168" i="10"/>
  <c r="T169" i="10"/>
  <c r="T170" i="10"/>
  <c r="T171" i="10"/>
  <c r="T172" i="10"/>
  <c r="T173" i="10"/>
  <c r="T175" i="10"/>
  <c r="S175" i="10" s="1"/>
  <c r="T176" i="10"/>
  <c r="T177" i="10"/>
  <c r="T178" i="10"/>
  <c r="T179" i="10"/>
  <c r="T180" i="10"/>
  <c r="T181" i="10"/>
  <c r="T182" i="10"/>
  <c r="T183" i="10"/>
  <c r="S183" i="10" s="1"/>
  <c r="T184" i="10"/>
  <c r="T185" i="10"/>
  <c r="T186" i="10"/>
  <c r="T187" i="10"/>
  <c r="T188" i="10"/>
  <c r="T189" i="10"/>
  <c r="T190" i="10"/>
  <c r="T191" i="10"/>
  <c r="S191" i="10" s="1"/>
  <c r="T192" i="10"/>
  <c r="T193" i="10"/>
  <c r="T194" i="10"/>
  <c r="T196" i="10"/>
  <c r="T197" i="10"/>
  <c r="T198" i="10"/>
  <c r="T199" i="10"/>
  <c r="T200" i="10"/>
  <c r="S200" i="10" s="1"/>
  <c r="T201" i="10"/>
  <c r="T202" i="10"/>
  <c r="T203" i="10"/>
  <c r="T204" i="10"/>
  <c r="T205" i="10"/>
  <c r="T206" i="10"/>
  <c r="T207" i="10"/>
  <c r="T208" i="10"/>
  <c r="S208" i="10" s="1"/>
  <c r="T209" i="10"/>
  <c r="T211" i="10"/>
  <c r="T212" i="10"/>
  <c r="T213" i="10"/>
  <c r="T214" i="10"/>
  <c r="T215" i="10"/>
  <c r="T216" i="10"/>
  <c r="T217" i="10"/>
  <c r="S217" i="10" s="1"/>
  <c r="T218" i="10"/>
  <c r="T219" i="10"/>
  <c r="T220" i="10"/>
  <c r="T221" i="10"/>
  <c r="T222" i="10"/>
  <c r="T224" i="10"/>
  <c r="T225" i="10"/>
  <c r="T226" i="10"/>
  <c r="S226" i="10" s="1"/>
  <c r="T227" i="10"/>
  <c r="T228" i="10"/>
  <c r="T229" i="10"/>
  <c r="T230" i="10"/>
  <c r="T231" i="10"/>
  <c r="T232" i="10"/>
  <c r="T234" i="10"/>
  <c r="T235" i="10"/>
  <c r="S235" i="10" s="1"/>
  <c r="T236" i="10"/>
  <c r="T237" i="10"/>
  <c r="T238" i="10"/>
  <c r="T239" i="10"/>
  <c r="T240" i="10"/>
  <c r="T241" i="10"/>
  <c r="T242" i="10"/>
  <c r="T244" i="10"/>
  <c r="T245" i="10"/>
  <c r="T246" i="10"/>
  <c r="T247" i="10"/>
  <c r="T248" i="10"/>
  <c r="T249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8" i="10"/>
  <c r="T269" i="10"/>
  <c r="T270" i="10"/>
  <c r="T272" i="10"/>
  <c r="T273" i="10"/>
  <c r="T274" i="10"/>
  <c r="T275" i="10"/>
  <c r="T277" i="10"/>
  <c r="T279" i="10"/>
  <c r="T280" i="10"/>
  <c r="T281" i="10"/>
  <c r="S281" i="10" s="1"/>
  <c r="T282" i="10"/>
  <c r="T283" i="10"/>
  <c r="T284" i="10"/>
  <c r="T285" i="10"/>
  <c r="T286" i="10"/>
  <c r="T288" i="10"/>
  <c r="T289" i="10"/>
  <c r="T290" i="10"/>
  <c r="S290" i="10" s="1"/>
  <c r="T291" i="10"/>
  <c r="T292" i="10"/>
  <c r="T293" i="10"/>
  <c r="T294" i="10"/>
  <c r="T296" i="10"/>
  <c r="T297" i="10"/>
  <c r="T298" i="10"/>
  <c r="T299" i="10"/>
  <c r="S299" i="10" s="1"/>
  <c r="T300" i="10"/>
  <c r="T301" i="10"/>
  <c r="T302" i="10"/>
  <c r="T303" i="10"/>
  <c r="T305" i="10"/>
  <c r="T306" i="10"/>
  <c r="T307" i="10"/>
  <c r="T308" i="10"/>
  <c r="S308" i="10" s="1"/>
  <c r="T309" i="10"/>
  <c r="T311" i="10"/>
  <c r="T312" i="10"/>
  <c r="T313" i="10"/>
  <c r="T314" i="10"/>
  <c r="T315" i="10"/>
  <c r="T316" i="10"/>
  <c r="T317" i="10"/>
  <c r="S317" i="10" s="1"/>
  <c r="T318" i="10"/>
  <c r="T319" i="10"/>
  <c r="T320" i="10"/>
  <c r="T321" i="10"/>
  <c r="T322" i="10"/>
  <c r="T11" i="10"/>
  <c r="P12" i="10"/>
  <c r="P13" i="10"/>
  <c r="P14" i="10"/>
  <c r="P15" i="10"/>
  <c r="P16" i="10"/>
  <c r="P18" i="10"/>
  <c r="P19" i="10"/>
  <c r="P20" i="10"/>
  <c r="P21" i="10"/>
  <c r="P22" i="10"/>
  <c r="P23" i="10"/>
  <c r="P24" i="10"/>
  <c r="P25" i="10"/>
  <c r="P27" i="10"/>
  <c r="P28" i="10"/>
  <c r="P29" i="10"/>
  <c r="P30" i="10"/>
  <c r="P31" i="10"/>
  <c r="P32" i="10"/>
  <c r="P33" i="10"/>
  <c r="P35" i="10"/>
  <c r="P36" i="10"/>
  <c r="P37" i="10"/>
  <c r="P38" i="10"/>
  <c r="P39" i="10"/>
  <c r="P40" i="10"/>
  <c r="P41" i="10"/>
  <c r="P42" i="10"/>
  <c r="P43" i="10"/>
  <c r="P44" i="10"/>
  <c r="P46" i="10"/>
  <c r="P47" i="10"/>
  <c r="P48" i="10"/>
  <c r="P49" i="10"/>
  <c r="P50" i="10"/>
  <c r="P51" i="10"/>
  <c r="P52" i="10"/>
  <c r="P54" i="10"/>
  <c r="P55" i="10"/>
  <c r="P56" i="10"/>
  <c r="P57" i="10"/>
  <c r="P58" i="10"/>
  <c r="P59" i="10"/>
  <c r="P60" i="10"/>
  <c r="P61" i="10"/>
  <c r="P62" i="10"/>
  <c r="P63" i="10"/>
  <c r="P65" i="10"/>
  <c r="P66" i="10"/>
  <c r="P67" i="10"/>
  <c r="P68" i="10"/>
  <c r="P69" i="10"/>
  <c r="P71" i="10"/>
  <c r="P72" i="10"/>
  <c r="P73" i="10"/>
  <c r="P74" i="10"/>
  <c r="P75" i="10"/>
  <c r="P77" i="10"/>
  <c r="P78" i="10"/>
  <c r="P79" i="10"/>
  <c r="P80" i="10"/>
  <c r="P81" i="10"/>
  <c r="P82" i="10"/>
  <c r="P83" i="10"/>
  <c r="P84" i="10"/>
  <c r="P85" i="10"/>
  <c r="P86" i="10"/>
  <c r="P87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3" i="10"/>
  <c r="P104" i="10"/>
  <c r="P105" i="10"/>
  <c r="P106" i="10"/>
  <c r="P107" i="10"/>
  <c r="P108" i="10"/>
  <c r="P109" i="10"/>
  <c r="P111" i="10"/>
  <c r="P112" i="10"/>
  <c r="P113" i="10"/>
  <c r="P114" i="10"/>
  <c r="P115" i="10"/>
  <c r="P116" i="10"/>
  <c r="P117" i="10"/>
  <c r="P118" i="10"/>
  <c r="P120" i="10"/>
  <c r="P121" i="10"/>
  <c r="P122" i="10"/>
  <c r="P123" i="10"/>
  <c r="P124" i="10"/>
  <c r="P125" i="10"/>
  <c r="P126" i="10"/>
  <c r="P127" i="10"/>
  <c r="P128" i="10"/>
  <c r="P129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1" i="10"/>
  <c r="P152" i="10"/>
  <c r="P153" i="10"/>
  <c r="P154" i="10"/>
  <c r="P155" i="10"/>
  <c r="P156" i="10"/>
  <c r="P157" i="10"/>
  <c r="P158" i="10"/>
  <c r="P160" i="10"/>
  <c r="P161" i="10"/>
  <c r="P162" i="10"/>
  <c r="P163" i="10"/>
  <c r="P164" i="10"/>
  <c r="P166" i="10"/>
  <c r="P167" i="10"/>
  <c r="P168" i="10"/>
  <c r="P169" i="10"/>
  <c r="P170" i="10"/>
  <c r="P171" i="10"/>
  <c r="P172" i="10"/>
  <c r="P173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4" i="10"/>
  <c r="P225" i="10"/>
  <c r="P226" i="10"/>
  <c r="P227" i="10"/>
  <c r="P228" i="10"/>
  <c r="P229" i="10"/>
  <c r="P230" i="10"/>
  <c r="P231" i="10"/>
  <c r="P232" i="10"/>
  <c r="P234" i="10"/>
  <c r="P235" i="10"/>
  <c r="P236" i="10"/>
  <c r="P237" i="10"/>
  <c r="P238" i="10"/>
  <c r="P239" i="10"/>
  <c r="P240" i="10"/>
  <c r="P241" i="10"/>
  <c r="P242" i="10"/>
  <c r="P244" i="10"/>
  <c r="P245" i="10"/>
  <c r="P246" i="10"/>
  <c r="P247" i="10"/>
  <c r="P248" i="10"/>
  <c r="P249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8" i="10"/>
  <c r="P269" i="10"/>
  <c r="P270" i="10"/>
  <c r="P272" i="10"/>
  <c r="P273" i="10"/>
  <c r="P274" i="10"/>
  <c r="P275" i="10"/>
  <c r="P277" i="10"/>
  <c r="P279" i="10"/>
  <c r="P280" i="10"/>
  <c r="P281" i="10"/>
  <c r="P282" i="10"/>
  <c r="P283" i="10"/>
  <c r="P284" i="10"/>
  <c r="P285" i="10"/>
  <c r="P286" i="10"/>
  <c r="P288" i="10"/>
  <c r="P289" i="10"/>
  <c r="P290" i="10"/>
  <c r="P291" i="10"/>
  <c r="P292" i="10"/>
  <c r="P293" i="10"/>
  <c r="P294" i="10"/>
  <c r="P296" i="10"/>
  <c r="P297" i="10"/>
  <c r="P298" i="10"/>
  <c r="P299" i="10"/>
  <c r="P300" i="10"/>
  <c r="P301" i="10"/>
  <c r="P302" i="10"/>
  <c r="P303" i="10"/>
  <c r="P305" i="10"/>
  <c r="P306" i="10"/>
  <c r="P307" i="10"/>
  <c r="P308" i="10"/>
  <c r="P309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11" i="10"/>
  <c r="M12" i="10"/>
  <c r="M13" i="10"/>
  <c r="M14" i="10"/>
  <c r="M15" i="10"/>
  <c r="M16" i="10"/>
  <c r="M18" i="10"/>
  <c r="M19" i="10"/>
  <c r="M20" i="10"/>
  <c r="M21" i="10"/>
  <c r="M22" i="10"/>
  <c r="M23" i="10"/>
  <c r="M24" i="10"/>
  <c r="M25" i="10"/>
  <c r="M27" i="10"/>
  <c r="M28" i="10"/>
  <c r="M29" i="10"/>
  <c r="M30" i="10"/>
  <c r="M31" i="10"/>
  <c r="M32" i="10"/>
  <c r="M33" i="10"/>
  <c r="M35" i="10"/>
  <c r="M36" i="10"/>
  <c r="M37" i="10"/>
  <c r="M38" i="10"/>
  <c r="M39" i="10"/>
  <c r="M40" i="10"/>
  <c r="M41" i="10"/>
  <c r="M42" i="10"/>
  <c r="M43" i="10"/>
  <c r="M44" i="10"/>
  <c r="M46" i="10"/>
  <c r="M47" i="10"/>
  <c r="M48" i="10"/>
  <c r="M49" i="10"/>
  <c r="M50" i="10"/>
  <c r="M51" i="10"/>
  <c r="M52" i="10"/>
  <c r="M54" i="10"/>
  <c r="M55" i="10"/>
  <c r="M56" i="10"/>
  <c r="M57" i="10"/>
  <c r="M58" i="10"/>
  <c r="M59" i="10"/>
  <c r="M60" i="10"/>
  <c r="M61" i="10"/>
  <c r="M62" i="10"/>
  <c r="M63" i="10"/>
  <c r="M65" i="10"/>
  <c r="M66" i="10"/>
  <c r="M67" i="10"/>
  <c r="M68" i="10"/>
  <c r="M69" i="10"/>
  <c r="M71" i="10"/>
  <c r="M72" i="10"/>
  <c r="M73" i="10"/>
  <c r="M74" i="10"/>
  <c r="M75" i="10"/>
  <c r="M77" i="10"/>
  <c r="M78" i="10"/>
  <c r="M79" i="10"/>
  <c r="M80" i="10"/>
  <c r="M81" i="10"/>
  <c r="M82" i="10"/>
  <c r="M83" i="10"/>
  <c r="M84" i="10"/>
  <c r="M85" i="10"/>
  <c r="M86" i="10"/>
  <c r="M87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3" i="10"/>
  <c r="M104" i="10"/>
  <c r="M105" i="10"/>
  <c r="M106" i="10"/>
  <c r="M107" i="10"/>
  <c r="M108" i="10"/>
  <c r="M109" i="10"/>
  <c r="M111" i="10"/>
  <c r="M112" i="10"/>
  <c r="M113" i="10"/>
  <c r="M114" i="10"/>
  <c r="M115" i="10"/>
  <c r="M116" i="10"/>
  <c r="M117" i="10"/>
  <c r="M118" i="10"/>
  <c r="M120" i="10"/>
  <c r="M121" i="10"/>
  <c r="M122" i="10"/>
  <c r="M123" i="10"/>
  <c r="M124" i="10"/>
  <c r="M125" i="10"/>
  <c r="M126" i="10"/>
  <c r="M127" i="10"/>
  <c r="M128" i="10"/>
  <c r="M129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1" i="10"/>
  <c r="M152" i="10"/>
  <c r="M153" i="10"/>
  <c r="M154" i="10"/>
  <c r="M155" i="10"/>
  <c r="M156" i="10"/>
  <c r="M157" i="10"/>
  <c r="M158" i="10"/>
  <c r="M160" i="10"/>
  <c r="M161" i="10"/>
  <c r="M162" i="10"/>
  <c r="M163" i="10"/>
  <c r="M164" i="10"/>
  <c r="M166" i="10"/>
  <c r="M167" i="10"/>
  <c r="M168" i="10"/>
  <c r="M169" i="10"/>
  <c r="M170" i="10"/>
  <c r="M171" i="10"/>
  <c r="M172" i="10"/>
  <c r="M173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4" i="10"/>
  <c r="M225" i="10"/>
  <c r="M226" i="10"/>
  <c r="M227" i="10"/>
  <c r="M228" i="10"/>
  <c r="M229" i="10"/>
  <c r="M230" i="10"/>
  <c r="M231" i="10"/>
  <c r="M232" i="10"/>
  <c r="M234" i="10"/>
  <c r="M235" i="10"/>
  <c r="M236" i="10"/>
  <c r="M237" i="10"/>
  <c r="M238" i="10"/>
  <c r="M239" i="10"/>
  <c r="M240" i="10"/>
  <c r="M241" i="10"/>
  <c r="M242" i="10"/>
  <c r="M244" i="10"/>
  <c r="M245" i="10"/>
  <c r="M246" i="10"/>
  <c r="M247" i="10"/>
  <c r="M248" i="10"/>
  <c r="M249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8" i="10"/>
  <c r="M269" i="10"/>
  <c r="M270" i="10"/>
  <c r="M272" i="10"/>
  <c r="M273" i="10"/>
  <c r="M274" i="10"/>
  <c r="M275" i="10"/>
  <c r="M277" i="10"/>
  <c r="M279" i="10"/>
  <c r="M280" i="10"/>
  <c r="M281" i="10"/>
  <c r="M282" i="10"/>
  <c r="M283" i="10"/>
  <c r="M284" i="10"/>
  <c r="M285" i="10"/>
  <c r="M286" i="10"/>
  <c r="M288" i="10"/>
  <c r="M289" i="10"/>
  <c r="M290" i="10"/>
  <c r="M291" i="10"/>
  <c r="M292" i="10"/>
  <c r="M293" i="10"/>
  <c r="M294" i="10"/>
  <c r="M296" i="10"/>
  <c r="M297" i="10"/>
  <c r="M298" i="10"/>
  <c r="M299" i="10"/>
  <c r="M300" i="10"/>
  <c r="M301" i="10"/>
  <c r="M302" i="10"/>
  <c r="M303" i="10"/>
  <c r="M305" i="10"/>
  <c r="M306" i="10"/>
  <c r="M307" i="10"/>
  <c r="M308" i="10"/>
  <c r="M309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11" i="10"/>
  <c r="J12" i="10"/>
  <c r="J13" i="10"/>
  <c r="J14" i="10"/>
  <c r="J15" i="10"/>
  <c r="J16" i="10"/>
  <c r="J18" i="10"/>
  <c r="J19" i="10"/>
  <c r="J20" i="10"/>
  <c r="J21" i="10"/>
  <c r="J22" i="10"/>
  <c r="J23" i="10"/>
  <c r="J24" i="10"/>
  <c r="J25" i="10"/>
  <c r="J27" i="10"/>
  <c r="J28" i="10"/>
  <c r="J29" i="10"/>
  <c r="J30" i="10"/>
  <c r="J31" i="10"/>
  <c r="J32" i="10"/>
  <c r="J33" i="10"/>
  <c r="J35" i="10"/>
  <c r="J36" i="10"/>
  <c r="J37" i="10"/>
  <c r="J38" i="10"/>
  <c r="J39" i="10"/>
  <c r="J40" i="10"/>
  <c r="J41" i="10"/>
  <c r="J42" i="10"/>
  <c r="J43" i="10"/>
  <c r="J44" i="10"/>
  <c r="J46" i="10"/>
  <c r="J47" i="10"/>
  <c r="J48" i="10"/>
  <c r="J49" i="10"/>
  <c r="J50" i="10"/>
  <c r="J51" i="10"/>
  <c r="J52" i="10"/>
  <c r="J54" i="10"/>
  <c r="J55" i="10"/>
  <c r="J56" i="10"/>
  <c r="J57" i="10"/>
  <c r="J58" i="10"/>
  <c r="J59" i="10"/>
  <c r="J60" i="10"/>
  <c r="J61" i="10"/>
  <c r="J62" i="10"/>
  <c r="J63" i="10"/>
  <c r="J65" i="10"/>
  <c r="J66" i="10"/>
  <c r="J67" i="10"/>
  <c r="J68" i="10"/>
  <c r="J69" i="10"/>
  <c r="J71" i="10"/>
  <c r="J72" i="10"/>
  <c r="J73" i="10"/>
  <c r="J74" i="10"/>
  <c r="J75" i="10"/>
  <c r="J77" i="10"/>
  <c r="J78" i="10"/>
  <c r="J79" i="10"/>
  <c r="J80" i="10"/>
  <c r="J81" i="10"/>
  <c r="J82" i="10"/>
  <c r="J83" i="10"/>
  <c r="J84" i="10"/>
  <c r="J85" i="10"/>
  <c r="J86" i="10"/>
  <c r="J87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3" i="10"/>
  <c r="J104" i="10"/>
  <c r="J105" i="10"/>
  <c r="J106" i="10"/>
  <c r="J107" i="10"/>
  <c r="J108" i="10"/>
  <c r="J109" i="10"/>
  <c r="J111" i="10"/>
  <c r="J112" i="10"/>
  <c r="J113" i="10"/>
  <c r="J114" i="10"/>
  <c r="J115" i="10"/>
  <c r="J116" i="10"/>
  <c r="J117" i="10"/>
  <c r="J118" i="10"/>
  <c r="J120" i="10"/>
  <c r="J121" i="10"/>
  <c r="J122" i="10"/>
  <c r="J123" i="10"/>
  <c r="J124" i="10"/>
  <c r="J125" i="10"/>
  <c r="J126" i="10"/>
  <c r="J127" i="10"/>
  <c r="J128" i="10"/>
  <c r="J129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1" i="10"/>
  <c r="J152" i="10"/>
  <c r="J153" i="10"/>
  <c r="J154" i="10"/>
  <c r="J155" i="10"/>
  <c r="J156" i="10"/>
  <c r="J157" i="10"/>
  <c r="J158" i="10"/>
  <c r="J160" i="10"/>
  <c r="J161" i="10"/>
  <c r="J162" i="10"/>
  <c r="J163" i="10"/>
  <c r="J164" i="10"/>
  <c r="J166" i="10"/>
  <c r="J167" i="10"/>
  <c r="J168" i="10"/>
  <c r="J169" i="10"/>
  <c r="J170" i="10"/>
  <c r="J171" i="10"/>
  <c r="J172" i="10"/>
  <c r="J173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4" i="10"/>
  <c r="J225" i="10"/>
  <c r="J226" i="10"/>
  <c r="J227" i="10"/>
  <c r="J228" i="10"/>
  <c r="J229" i="10"/>
  <c r="J230" i="10"/>
  <c r="J231" i="10"/>
  <c r="J232" i="10"/>
  <c r="J234" i="10"/>
  <c r="J235" i="10"/>
  <c r="J236" i="10"/>
  <c r="J237" i="10"/>
  <c r="J238" i="10"/>
  <c r="J239" i="10"/>
  <c r="J240" i="10"/>
  <c r="J241" i="10"/>
  <c r="J242" i="10"/>
  <c r="J244" i="10"/>
  <c r="J245" i="10"/>
  <c r="J246" i="10"/>
  <c r="J247" i="10"/>
  <c r="J248" i="10"/>
  <c r="J249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8" i="10"/>
  <c r="J269" i="10"/>
  <c r="J270" i="10"/>
  <c r="J272" i="10"/>
  <c r="J273" i="10"/>
  <c r="J274" i="10"/>
  <c r="J275" i="10"/>
  <c r="J277" i="10"/>
  <c r="J279" i="10"/>
  <c r="J280" i="10"/>
  <c r="J281" i="10"/>
  <c r="J282" i="10"/>
  <c r="J283" i="10"/>
  <c r="J284" i="10"/>
  <c r="J285" i="10"/>
  <c r="J286" i="10"/>
  <c r="J288" i="10"/>
  <c r="J289" i="10"/>
  <c r="J290" i="10"/>
  <c r="J291" i="10"/>
  <c r="J292" i="10"/>
  <c r="J293" i="10"/>
  <c r="J294" i="10"/>
  <c r="J296" i="10"/>
  <c r="J297" i="10"/>
  <c r="J298" i="10"/>
  <c r="J299" i="10"/>
  <c r="J300" i="10"/>
  <c r="J301" i="10"/>
  <c r="J302" i="10"/>
  <c r="J303" i="10"/>
  <c r="J305" i="10"/>
  <c r="J306" i="10"/>
  <c r="J307" i="10"/>
  <c r="J308" i="10"/>
  <c r="J309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11" i="10"/>
  <c r="AB310" i="10"/>
  <c r="AA310" i="10"/>
  <c r="Y310" i="10"/>
  <c r="X310" i="10"/>
  <c r="V310" i="10"/>
  <c r="U310" i="10"/>
  <c r="R310" i="10"/>
  <c r="Q310" i="10"/>
  <c r="O310" i="10"/>
  <c r="N310" i="10"/>
  <c r="L310" i="10"/>
  <c r="AB304" i="10"/>
  <c r="AA304" i="10"/>
  <c r="Y304" i="10"/>
  <c r="X304" i="10"/>
  <c r="V304" i="10"/>
  <c r="U304" i="10"/>
  <c r="R304" i="10"/>
  <c r="Q304" i="10"/>
  <c r="O304" i="10"/>
  <c r="N304" i="10"/>
  <c r="L304" i="10"/>
  <c r="AB295" i="10"/>
  <c r="AA295" i="10"/>
  <c r="Y295" i="10"/>
  <c r="X295" i="10"/>
  <c r="V295" i="10"/>
  <c r="U295" i="10"/>
  <c r="R295" i="10"/>
  <c r="Q295" i="10"/>
  <c r="O295" i="10"/>
  <c r="N295" i="10"/>
  <c r="L295" i="10"/>
  <c r="AB287" i="10"/>
  <c r="AA287" i="10"/>
  <c r="Y287" i="10"/>
  <c r="X287" i="10"/>
  <c r="V287" i="10"/>
  <c r="U287" i="10"/>
  <c r="R287" i="10"/>
  <c r="Q287" i="10"/>
  <c r="O287" i="10"/>
  <c r="N287" i="10"/>
  <c r="L287" i="10"/>
  <c r="AB278" i="10"/>
  <c r="AA278" i="10"/>
  <c r="Y278" i="10"/>
  <c r="X278" i="10"/>
  <c r="V278" i="10"/>
  <c r="U278" i="10"/>
  <c r="R278" i="10"/>
  <c r="Q278" i="10"/>
  <c r="O278" i="10"/>
  <c r="N278" i="10"/>
  <c r="L278" i="10"/>
  <c r="AB250" i="10"/>
  <c r="AA250" i="10"/>
  <c r="Y250" i="10"/>
  <c r="X250" i="10"/>
  <c r="V250" i="10"/>
  <c r="U250" i="10"/>
  <c r="R250" i="10"/>
  <c r="Q250" i="10"/>
  <c r="O250" i="10"/>
  <c r="N250" i="10"/>
  <c r="L250" i="10"/>
  <c r="AB243" i="10"/>
  <c r="AA243" i="10"/>
  <c r="Y243" i="10"/>
  <c r="X243" i="10"/>
  <c r="V243" i="10"/>
  <c r="U243" i="10"/>
  <c r="R243" i="10"/>
  <c r="Q243" i="10"/>
  <c r="O243" i="10"/>
  <c r="N243" i="10"/>
  <c r="L243" i="10"/>
  <c r="AB233" i="10"/>
  <c r="AA233" i="10"/>
  <c r="Y233" i="10"/>
  <c r="X233" i="10"/>
  <c r="V233" i="10"/>
  <c r="U233" i="10"/>
  <c r="R233" i="10"/>
  <c r="Q233" i="10"/>
  <c r="O233" i="10"/>
  <c r="N233" i="10"/>
  <c r="L233" i="10"/>
  <c r="AB223" i="10"/>
  <c r="AA223" i="10"/>
  <c r="Y223" i="10"/>
  <c r="X223" i="10"/>
  <c r="V223" i="10"/>
  <c r="U223" i="10"/>
  <c r="R223" i="10"/>
  <c r="Q223" i="10"/>
  <c r="O223" i="10"/>
  <c r="N223" i="10"/>
  <c r="L223" i="10"/>
  <c r="AB210" i="10"/>
  <c r="AA210" i="10"/>
  <c r="Y210" i="10"/>
  <c r="X210" i="10"/>
  <c r="V210" i="10"/>
  <c r="U210" i="10"/>
  <c r="R210" i="10"/>
  <c r="Q210" i="10"/>
  <c r="O210" i="10"/>
  <c r="N210" i="10"/>
  <c r="L210" i="10"/>
  <c r="AB195" i="10"/>
  <c r="AA195" i="10"/>
  <c r="Y195" i="10"/>
  <c r="X195" i="10"/>
  <c r="V195" i="10"/>
  <c r="U195" i="10"/>
  <c r="R195" i="10"/>
  <c r="Q195" i="10"/>
  <c r="O195" i="10"/>
  <c r="N195" i="10"/>
  <c r="L195" i="10"/>
  <c r="AB174" i="10"/>
  <c r="AA174" i="10"/>
  <c r="Y174" i="10"/>
  <c r="X174" i="10"/>
  <c r="V174" i="10"/>
  <c r="U174" i="10"/>
  <c r="R174" i="10"/>
  <c r="Q174" i="10"/>
  <c r="O174" i="10"/>
  <c r="N174" i="10"/>
  <c r="L174" i="10"/>
  <c r="AB165" i="10"/>
  <c r="AA165" i="10"/>
  <c r="Y165" i="10"/>
  <c r="X165" i="10"/>
  <c r="V165" i="10"/>
  <c r="U165" i="10"/>
  <c r="R165" i="10"/>
  <c r="Q165" i="10"/>
  <c r="O165" i="10"/>
  <c r="N165" i="10"/>
  <c r="L165" i="10"/>
  <c r="AB159" i="10"/>
  <c r="AA159" i="10"/>
  <c r="Y159" i="10"/>
  <c r="X159" i="10"/>
  <c r="V159" i="10"/>
  <c r="U159" i="10"/>
  <c r="R159" i="10"/>
  <c r="Q159" i="10"/>
  <c r="O159" i="10"/>
  <c r="N159" i="10"/>
  <c r="L159" i="10"/>
  <c r="AB150" i="10"/>
  <c r="AA150" i="10"/>
  <c r="Y150" i="10"/>
  <c r="X150" i="10"/>
  <c r="V150" i="10"/>
  <c r="U150" i="10"/>
  <c r="R150" i="10"/>
  <c r="Q150" i="10"/>
  <c r="O150" i="10"/>
  <c r="N150" i="10"/>
  <c r="L150" i="10"/>
  <c r="AB119" i="10"/>
  <c r="AA119" i="10"/>
  <c r="Y119" i="10"/>
  <c r="X119" i="10"/>
  <c r="V119" i="10"/>
  <c r="U119" i="10"/>
  <c r="R119" i="10"/>
  <c r="Q119" i="10"/>
  <c r="O119" i="10"/>
  <c r="N119" i="10"/>
  <c r="L119" i="10"/>
  <c r="AB110" i="10"/>
  <c r="AA110" i="10"/>
  <c r="Y110" i="10"/>
  <c r="X110" i="10"/>
  <c r="V110" i="10"/>
  <c r="U110" i="10"/>
  <c r="R110" i="10"/>
  <c r="Q110" i="10"/>
  <c r="O110" i="10"/>
  <c r="N110" i="10"/>
  <c r="L110" i="10"/>
  <c r="AB102" i="10"/>
  <c r="AA102" i="10"/>
  <c r="Y102" i="10"/>
  <c r="X102" i="10"/>
  <c r="V102" i="10"/>
  <c r="U102" i="10"/>
  <c r="R102" i="10"/>
  <c r="Q102" i="10"/>
  <c r="O102" i="10"/>
  <c r="N102" i="10"/>
  <c r="L102" i="10"/>
  <c r="AB88" i="10"/>
  <c r="AA88" i="10"/>
  <c r="Y88" i="10"/>
  <c r="X88" i="10"/>
  <c r="V88" i="10"/>
  <c r="U88" i="10"/>
  <c r="R88" i="10"/>
  <c r="Q88" i="10"/>
  <c r="O88" i="10"/>
  <c r="N88" i="10"/>
  <c r="L88" i="10"/>
  <c r="AB76" i="10"/>
  <c r="AA76" i="10"/>
  <c r="Y76" i="10"/>
  <c r="X76" i="10"/>
  <c r="V76" i="10"/>
  <c r="U76" i="10"/>
  <c r="R76" i="10"/>
  <c r="Q76" i="10"/>
  <c r="O76" i="10"/>
  <c r="N76" i="10"/>
  <c r="L76" i="10"/>
  <c r="AB70" i="10"/>
  <c r="AA70" i="10"/>
  <c r="Y70" i="10"/>
  <c r="X70" i="10"/>
  <c r="V70" i="10"/>
  <c r="U70" i="10"/>
  <c r="R70" i="10"/>
  <c r="Q70" i="10"/>
  <c r="O70" i="10"/>
  <c r="N70" i="10"/>
  <c r="L70" i="10"/>
  <c r="AB64" i="10"/>
  <c r="AA64" i="10"/>
  <c r="Y64" i="10"/>
  <c r="X64" i="10"/>
  <c r="V64" i="10"/>
  <c r="U64" i="10"/>
  <c r="R64" i="10"/>
  <c r="Q64" i="10"/>
  <c r="O64" i="10"/>
  <c r="N64" i="10"/>
  <c r="L64" i="10"/>
  <c r="AB53" i="10"/>
  <c r="AA53" i="10"/>
  <c r="Y53" i="10"/>
  <c r="X53" i="10"/>
  <c r="V53" i="10"/>
  <c r="U53" i="10"/>
  <c r="R53" i="10"/>
  <c r="Q53" i="10"/>
  <c r="O53" i="10"/>
  <c r="N53" i="10"/>
  <c r="L53" i="10"/>
  <c r="AB45" i="10"/>
  <c r="AA45" i="10"/>
  <c r="Y45" i="10"/>
  <c r="X45" i="10"/>
  <c r="V45" i="10"/>
  <c r="U45" i="10"/>
  <c r="R45" i="10"/>
  <c r="Q45" i="10"/>
  <c r="O45" i="10"/>
  <c r="N45" i="10"/>
  <c r="L45" i="10"/>
  <c r="AB34" i="10"/>
  <c r="AA34" i="10"/>
  <c r="Y34" i="10"/>
  <c r="X34" i="10"/>
  <c r="V34" i="10"/>
  <c r="U34" i="10"/>
  <c r="R34" i="10"/>
  <c r="Q34" i="10"/>
  <c r="O34" i="10"/>
  <c r="N34" i="10"/>
  <c r="L34" i="10"/>
  <c r="AB26" i="10"/>
  <c r="AA26" i="10"/>
  <c r="Y26" i="10"/>
  <c r="X26" i="10"/>
  <c r="V26" i="10"/>
  <c r="U26" i="10"/>
  <c r="R26" i="10"/>
  <c r="Q26" i="10"/>
  <c r="O26" i="10"/>
  <c r="N26" i="10"/>
  <c r="L26" i="10"/>
  <c r="L17" i="10"/>
  <c r="N17" i="10"/>
  <c r="O17" i="10"/>
  <c r="Q17" i="10"/>
  <c r="R17" i="10"/>
  <c r="U17" i="10"/>
  <c r="V17" i="10"/>
  <c r="X17" i="10"/>
  <c r="Y17" i="10"/>
  <c r="AA17" i="10"/>
  <c r="AB17" i="10"/>
  <c r="K310" i="10"/>
  <c r="K304" i="10"/>
  <c r="J304" i="10" s="1"/>
  <c r="K295" i="10"/>
  <c r="K287" i="10"/>
  <c r="K278" i="10"/>
  <c r="J271" i="10"/>
  <c r="K250" i="10"/>
  <c r="K243" i="10"/>
  <c r="K233" i="10"/>
  <c r="K223" i="10"/>
  <c r="J223" i="10" s="1"/>
  <c r="K210" i="10"/>
  <c r="K195" i="10"/>
  <c r="K174" i="10"/>
  <c r="K165" i="10"/>
  <c r="J165" i="10" s="1"/>
  <c r="K159" i="10"/>
  <c r="K150" i="10"/>
  <c r="K119" i="10"/>
  <c r="K110" i="10"/>
  <c r="J110" i="10" s="1"/>
  <c r="K102" i="10"/>
  <c r="K88" i="10"/>
  <c r="K76" i="10"/>
  <c r="K70" i="10"/>
  <c r="K64" i="10"/>
  <c r="K53" i="10"/>
  <c r="K45" i="10"/>
  <c r="K34" i="10"/>
  <c r="J34" i="10" s="1"/>
  <c r="K26" i="10"/>
  <c r="K17" i="10"/>
  <c r="J312" i="8"/>
  <c r="J315" i="8"/>
  <c r="L310" i="8"/>
  <c r="M310" i="8"/>
  <c r="N310" i="8"/>
  <c r="O310" i="8"/>
  <c r="Q310" i="8"/>
  <c r="R310" i="8"/>
  <c r="S310" i="8"/>
  <c r="T310" i="8"/>
  <c r="W310" i="8"/>
  <c r="X310" i="8"/>
  <c r="Y310" i="8"/>
  <c r="Z310" i="8"/>
  <c r="AA310" i="8"/>
  <c r="AC310" i="8"/>
  <c r="AD310" i="8"/>
  <c r="AE310" i="8"/>
  <c r="AF310" i="8"/>
  <c r="L304" i="8"/>
  <c r="M304" i="8"/>
  <c r="N304" i="8"/>
  <c r="O304" i="8"/>
  <c r="Q304" i="8"/>
  <c r="P304" i="8" s="1"/>
  <c r="R304" i="8"/>
  <c r="S304" i="8"/>
  <c r="T304" i="8"/>
  <c r="W304" i="8"/>
  <c r="X304" i="8"/>
  <c r="Y304" i="8"/>
  <c r="Z304" i="8"/>
  <c r="AA304" i="8"/>
  <c r="AC304" i="8"/>
  <c r="AD304" i="8"/>
  <c r="AE304" i="8"/>
  <c r="AF304" i="8"/>
  <c r="L295" i="8"/>
  <c r="M295" i="8"/>
  <c r="N295" i="8"/>
  <c r="O295" i="8"/>
  <c r="Q295" i="8"/>
  <c r="R295" i="8"/>
  <c r="S295" i="8"/>
  <c r="T295" i="8"/>
  <c r="W295" i="8"/>
  <c r="X295" i="8"/>
  <c r="Y295" i="8"/>
  <c r="Z295" i="8"/>
  <c r="AA295" i="8"/>
  <c r="AC295" i="8"/>
  <c r="AD295" i="8"/>
  <c r="AE295" i="8"/>
  <c r="AF295" i="8"/>
  <c r="L287" i="8"/>
  <c r="M287" i="8"/>
  <c r="N287" i="8"/>
  <c r="O287" i="8"/>
  <c r="Q287" i="8"/>
  <c r="R287" i="8"/>
  <c r="S287" i="8"/>
  <c r="T287" i="8"/>
  <c r="W287" i="8"/>
  <c r="V287" i="8" s="1"/>
  <c r="X287" i="8"/>
  <c r="Y287" i="8"/>
  <c r="Z287" i="8"/>
  <c r="AA287" i="8"/>
  <c r="AC287" i="8"/>
  <c r="AD287" i="8"/>
  <c r="AE287" i="8"/>
  <c r="AF287" i="8"/>
  <c r="L278" i="8"/>
  <c r="M278" i="8"/>
  <c r="N278" i="8"/>
  <c r="O278" i="8"/>
  <c r="Q278" i="8"/>
  <c r="R278" i="8"/>
  <c r="S278" i="8"/>
  <c r="T278" i="8"/>
  <c r="W278" i="8"/>
  <c r="X278" i="8"/>
  <c r="Y278" i="8"/>
  <c r="Z278" i="8"/>
  <c r="AA278" i="8"/>
  <c r="AC278" i="8"/>
  <c r="AD278" i="8"/>
  <c r="AE278" i="8"/>
  <c r="AF278" i="8"/>
  <c r="L250" i="8"/>
  <c r="M250" i="8"/>
  <c r="N250" i="8"/>
  <c r="O250" i="8"/>
  <c r="Q250" i="8"/>
  <c r="R250" i="8"/>
  <c r="S250" i="8"/>
  <c r="T250" i="8"/>
  <c r="W250" i="8"/>
  <c r="X250" i="8"/>
  <c r="Y250" i="8"/>
  <c r="Z250" i="8"/>
  <c r="AA250" i="8"/>
  <c r="AC250" i="8"/>
  <c r="AD250" i="8"/>
  <c r="AE250" i="8"/>
  <c r="AF250" i="8"/>
  <c r="L243" i="8"/>
  <c r="M243" i="8"/>
  <c r="N243" i="8"/>
  <c r="O243" i="8"/>
  <c r="Q243" i="8"/>
  <c r="R243" i="8"/>
  <c r="S243" i="8"/>
  <c r="T243" i="8"/>
  <c r="W243" i="8"/>
  <c r="X243" i="8"/>
  <c r="Y243" i="8"/>
  <c r="Z243" i="8"/>
  <c r="AA243" i="8"/>
  <c r="AC243" i="8"/>
  <c r="AB243" i="8" s="1"/>
  <c r="AD243" i="8"/>
  <c r="AE243" i="8"/>
  <c r="AF243" i="8"/>
  <c r="L233" i="8"/>
  <c r="M233" i="8"/>
  <c r="N233" i="8"/>
  <c r="O233" i="8"/>
  <c r="Q233" i="8"/>
  <c r="P233" i="8" s="1"/>
  <c r="R233" i="8"/>
  <c r="S233" i="8"/>
  <c r="T233" i="8"/>
  <c r="W233" i="8"/>
  <c r="X233" i="8"/>
  <c r="Y233" i="8"/>
  <c r="Z233" i="8"/>
  <c r="AA233" i="8"/>
  <c r="AC233" i="8"/>
  <c r="AD233" i="8"/>
  <c r="AE233" i="8"/>
  <c r="AF233" i="8"/>
  <c r="L223" i="8"/>
  <c r="M223" i="8"/>
  <c r="N223" i="8"/>
  <c r="O223" i="8"/>
  <c r="Q223" i="8"/>
  <c r="R223" i="8"/>
  <c r="S223" i="8"/>
  <c r="T223" i="8"/>
  <c r="W223" i="8"/>
  <c r="X223" i="8"/>
  <c r="Y223" i="8"/>
  <c r="Z223" i="8"/>
  <c r="AA223" i="8"/>
  <c r="AC223" i="8"/>
  <c r="AD223" i="8"/>
  <c r="AE223" i="8"/>
  <c r="AF223" i="8"/>
  <c r="L210" i="8"/>
  <c r="M210" i="8"/>
  <c r="N210" i="8"/>
  <c r="O210" i="8"/>
  <c r="Q210" i="8"/>
  <c r="P210" i="8" s="1"/>
  <c r="R210" i="8"/>
  <c r="S210" i="8"/>
  <c r="T210" i="8"/>
  <c r="W210" i="8"/>
  <c r="X210" i="8"/>
  <c r="Y210" i="8"/>
  <c r="Z210" i="8"/>
  <c r="AA210" i="8"/>
  <c r="AC210" i="8"/>
  <c r="AB210" i="8" s="1"/>
  <c r="AD210" i="8"/>
  <c r="AE210" i="8"/>
  <c r="AF210" i="8"/>
  <c r="L195" i="8"/>
  <c r="M195" i="8"/>
  <c r="N195" i="8"/>
  <c r="O195" i="8"/>
  <c r="Q195" i="8"/>
  <c r="P195" i="8" s="1"/>
  <c r="R195" i="8"/>
  <c r="S195" i="8"/>
  <c r="T195" i="8"/>
  <c r="W195" i="8"/>
  <c r="X195" i="8"/>
  <c r="Y195" i="8"/>
  <c r="Z195" i="8"/>
  <c r="AA195" i="8"/>
  <c r="AC195" i="8"/>
  <c r="AD195" i="8"/>
  <c r="AE195" i="8"/>
  <c r="AF195" i="8"/>
  <c r="L174" i="8"/>
  <c r="M174" i="8"/>
  <c r="N174" i="8"/>
  <c r="O174" i="8"/>
  <c r="Q174" i="8"/>
  <c r="P174" i="8" s="1"/>
  <c r="R174" i="8"/>
  <c r="S174" i="8"/>
  <c r="T174" i="8"/>
  <c r="W174" i="8"/>
  <c r="V174" i="8" s="1"/>
  <c r="X174" i="8"/>
  <c r="Y174" i="8"/>
  <c r="Z174" i="8"/>
  <c r="AA174" i="8"/>
  <c r="AC174" i="8"/>
  <c r="AD174" i="8"/>
  <c r="AE174" i="8"/>
  <c r="AF174" i="8"/>
  <c r="L165" i="8"/>
  <c r="M165" i="8"/>
  <c r="N165" i="8"/>
  <c r="O165" i="8"/>
  <c r="Q165" i="8"/>
  <c r="R165" i="8"/>
  <c r="S165" i="8"/>
  <c r="T165" i="8"/>
  <c r="W165" i="8"/>
  <c r="X165" i="8"/>
  <c r="Y165" i="8"/>
  <c r="Z165" i="8"/>
  <c r="AA165" i="8"/>
  <c r="AC165" i="8"/>
  <c r="AD165" i="8"/>
  <c r="AE165" i="8"/>
  <c r="AF165" i="8"/>
  <c r="L159" i="8"/>
  <c r="M159" i="8"/>
  <c r="N159" i="8"/>
  <c r="O159" i="8"/>
  <c r="Q159" i="8"/>
  <c r="R159" i="8"/>
  <c r="S159" i="8"/>
  <c r="T159" i="8"/>
  <c r="W159" i="8"/>
  <c r="X159" i="8"/>
  <c r="Y159" i="8"/>
  <c r="Z159" i="8"/>
  <c r="AA159" i="8"/>
  <c r="AC159" i="8"/>
  <c r="AD159" i="8"/>
  <c r="AE159" i="8"/>
  <c r="AF159" i="8"/>
  <c r="L150" i="8"/>
  <c r="M150" i="8"/>
  <c r="N150" i="8"/>
  <c r="O150" i="8"/>
  <c r="Q150" i="8"/>
  <c r="R150" i="8"/>
  <c r="S150" i="8"/>
  <c r="T150" i="8"/>
  <c r="W150" i="8"/>
  <c r="X150" i="8"/>
  <c r="Y150" i="8"/>
  <c r="Z150" i="8"/>
  <c r="AA150" i="8"/>
  <c r="AC150" i="8"/>
  <c r="AB150" i="8" s="1"/>
  <c r="AD150" i="8"/>
  <c r="AE150" i="8"/>
  <c r="AF150" i="8"/>
  <c r="L119" i="8"/>
  <c r="M119" i="8"/>
  <c r="N119" i="8"/>
  <c r="O119" i="8"/>
  <c r="Q119" i="8"/>
  <c r="P119" i="8" s="1"/>
  <c r="R119" i="8"/>
  <c r="S119" i="8"/>
  <c r="T119" i="8"/>
  <c r="W119" i="8"/>
  <c r="X119" i="8"/>
  <c r="Y119" i="8"/>
  <c r="Z119" i="8"/>
  <c r="AA119" i="8"/>
  <c r="AC119" i="8"/>
  <c r="AD119" i="8"/>
  <c r="AE119" i="8"/>
  <c r="AF119" i="8"/>
  <c r="L110" i="8"/>
  <c r="M110" i="8"/>
  <c r="N110" i="8"/>
  <c r="O110" i="8"/>
  <c r="Q110" i="8"/>
  <c r="R110" i="8"/>
  <c r="S110" i="8"/>
  <c r="T110" i="8"/>
  <c r="W110" i="8"/>
  <c r="X110" i="8"/>
  <c r="Y110" i="8"/>
  <c r="Z110" i="8"/>
  <c r="AA110" i="8"/>
  <c r="AC110" i="8"/>
  <c r="AD110" i="8"/>
  <c r="AE110" i="8"/>
  <c r="AF110" i="8"/>
  <c r="L102" i="8"/>
  <c r="M102" i="8"/>
  <c r="N102" i="8"/>
  <c r="O102" i="8"/>
  <c r="Q102" i="8"/>
  <c r="R102" i="8"/>
  <c r="S102" i="8"/>
  <c r="T102" i="8"/>
  <c r="W102" i="8"/>
  <c r="X102" i="8"/>
  <c r="Y102" i="8"/>
  <c r="Z102" i="8"/>
  <c r="AA102" i="8"/>
  <c r="AC102" i="8"/>
  <c r="AB102" i="8" s="1"/>
  <c r="AD102" i="8"/>
  <c r="AE102" i="8"/>
  <c r="AF102" i="8"/>
  <c r="L88" i="8"/>
  <c r="M88" i="8"/>
  <c r="N88" i="8"/>
  <c r="O88" i="8"/>
  <c r="Q88" i="8"/>
  <c r="P88" i="8" s="1"/>
  <c r="R88" i="8"/>
  <c r="S88" i="8"/>
  <c r="T88" i="8"/>
  <c r="W88" i="8"/>
  <c r="X88" i="8"/>
  <c r="Y88" i="8"/>
  <c r="Z88" i="8"/>
  <c r="AA88" i="8"/>
  <c r="AC88" i="8"/>
  <c r="AD88" i="8"/>
  <c r="AE88" i="8"/>
  <c r="AF88" i="8"/>
  <c r="L76" i="8"/>
  <c r="M76" i="8"/>
  <c r="N76" i="8"/>
  <c r="O76" i="8"/>
  <c r="Q76" i="8"/>
  <c r="R76" i="8"/>
  <c r="S76" i="8"/>
  <c r="T76" i="8"/>
  <c r="W76" i="8"/>
  <c r="V76" i="8" s="1"/>
  <c r="X76" i="8"/>
  <c r="Y76" i="8"/>
  <c r="Z76" i="8"/>
  <c r="AA76" i="8"/>
  <c r="AC76" i="8"/>
  <c r="AD76" i="8"/>
  <c r="AE76" i="8"/>
  <c r="AF76" i="8"/>
  <c r="L70" i="8"/>
  <c r="M70" i="8"/>
  <c r="N70" i="8"/>
  <c r="O70" i="8"/>
  <c r="Q70" i="8"/>
  <c r="R70" i="8"/>
  <c r="S70" i="8"/>
  <c r="T70" i="8"/>
  <c r="W70" i="8"/>
  <c r="X70" i="8"/>
  <c r="Y70" i="8"/>
  <c r="Z70" i="8"/>
  <c r="AA70" i="8"/>
  <c r="AC70" i="8"/>
  <c r="AD70" i="8"/>
  <c r="AE70" i="8"/>
  <c r="AF70" i="8"/>
  <c r="L64" i="8"/>
  <c r="M64" i="8"/>
  <c r="N64" i="8"/>
  <c r="O64" i="8"/>
  <c r="Q64" i="8"/>
  <c r="R64" i="8"/>
  <c r="S64" i="8"/>
  <c r="T64" i="8"/>
  <c r="W64" i="8"/>
  <c r="X64" i="8"/>
  <c r="Y64" i="8"/>
  <c r="Z64" i="8"/>
  <c r="AA64" i="8"/>
  <c r="AC64" i="8"/>
  <c r="AD64" i="8"/>
  <c r="AE64" i="8"/>
  <c r="AF64" i="8"/>
  <c r="L53" i="8"/>
  <c r="M53" i="8"/>
  <c r="N53" i="8"/>
  <c r="O53" i="8"/>
  <c r="Q53" i="8"/>
  <c r="R53" i="8"/>
  <c r="S53" i="8"/>
  <c r="T53" i="8"/>
  <c r="W53" i="8"/>
  <c r="V53" i="8" s="1"/>
  <c r="X53" i="8"/>
  <c r="Y53" i="8"/>
  <c r="Z53" i="8"/>
  <c r="AA53" i="8"/>
  <c r="AC53" i="8"/>
  <c r="AB53" i="8" s="1"/>
  <c r="AD53" i="8"/>
  <c r="AE53" i="8"/>
  <c r="AF53" i="8"/>
  <c r="L45" i="8"/>
  <c r="M45" i="8"/>
  <c r="N45" i="8"/>
  <c r="O45" i="8"/>
  <c r="Q45" i="8"/>
  <c r="P45" i="8" s="1"/>
  <c r="R45" i="8"/>
  <c r="S45" i="8"/>
  <c r="T45" i="8"/>
  <c r="W45" i="8"/>
  <c r="X45" i="8"/>
  <c r="Y45" i="8"/>
  <c r="Z45" i="8"/>
  <c r="AA45" i="8"/>
  <c r="AC45" i="8"/>
  <c r="AD45" i="8"/>
  <c r="AE45" i="8"/>
  <c r="AF45" i="8"/>
  <c r="L34" i="8"/>
  <c r="M34" i="8"/>
  <c r="N34" i="8"/>
  <c r="O34" i="8"/>
  <c r="Q34" i="8"/>
  <c r="R34" i="8"/>
  <c r="S34" i="8"/>
  <c r="T34" i="8"/>
  <c r="W34" i="8"/>
  <c r="X34" i="8"/>
  <c r="Y34" i="8"/>
  <c r="Z34" i="8"/>
  <c r="AA34" i="8"/>
  <c r="AC34" i="8"/>
  <c r="AD34" i="8"/>
  <c r="AE34" i="8"/>
  <c r="AF34" i="8"/>
  <c r="L26" i="8"/>
  <c r="M26" i="8"/>
  <c r="N26" i="8"/>
  <c r="O26" i="8"/>
  <c r="Q26" i="8"/>
  <c r="R26" i="8"/>
  <c r="S26" i="8"/>
  <c r="T26" i="8"/>
  <c r="W26" i="8"/>
  <c r="X26" i="8"/>
  <c r="Y26" i="8"/>
  <c r="Z26" i="8"/>
  <c r="AA26" i="8"/>
  <c r="AC26" i="8"/>
  <c r="AB26" i="8" s="1"/>
  <c r="AD26" i="8"/>
  <c r="AE26" i="8"/>
  <c r="AF26" i="8"/>
  <c r="L17" i="8"/>
  <c r="M17" i="8"/>
  <c r="N17" i="8"/>
  <c r="O17" i="8"/>
  <c r="Q17" i="8"/>
  <c r="P17" i="8" s="1"/>
  <c r="R17" i="8"/>
  <c r="S17" i="8"/>
  <c r="T17" i="8"/>
  <c r="W17" i="8"/>
  <c r="X17" i="8"/>
  <c r="Y17" i="8"/>
  <c r="Z17" i="8"/>
  <c r="AA17" i="8"/>
  <c r="AC17" i="8"/>
  <c r="AD17" i="8"/>
  <c r="AE17" i="8"/>
  <c r="AF17" i="8"/>
  <c r="K310" i="8"/>
  <c r="K304" i="8"/>
  <c r="K295" i="8"/>
  <c r="K287" i="8"/>
  <c r="K278" i="8"/>
  <c r="K250" i="8"/>
  <c r="K243" i="8"/>
  <c r="K233" i="8"/>
  <c r="K223" i="8"/>
  <c r="K210" i="8"/>
  <c r="K195" i="8"/>
  <c r="K174" i="8"/>
  <c r="K165" i="8"/>
  <c r="K159" i="8"/>
  <c r="K150" i="8"/>
  <c r="K119" i="8"/>
  <c r="K110" i="8"/>
  <c r="K102" i="8"/>
  <c r="K88" i="8"/>
  <c r="K76" i="8"/>
  <c r="K70" i="8"/>
  <c r="K64" i="8"/>
  <c r="K53" i="8"/>
  <c r="K45" i="8"/>
  <c r="K34" i="8"/>
  <c r="K26" i="8"/>
  <c r="K17" i="8"/>
  <c r="AB11" i="8"/>
  <c r="V11" i="8"/>
  <c r="P11" i="8"/>
  <c r="J12" i="8"/>
  <c r="J13" i="8"/>
  <c r="J15" i="8"/>
  <c r="J16" i="8"/>
  <c r="J18" i="8"/>
  <c r="J19" i="8"/>
  <c r="J20" i="8"/>
  <c r="I20" i="8" s="1"/>
  <c r="J21" i="8"/>
  <c r="J22" i="8"/>
  <c r="J23" i="8"/>
  <c r="J24" i="8"/>
  <c r="J25" i="8"/>
  <c r="J27" i="8"/>
  <c r="J28" i="8"/>
  <c r="J29" i="8"/>
  <c r="I29" i="8" s="1"/>
  <c r="J30" i="8"/>
  <c r="J31" i="8"/>
  <c r="J32" i="8"/>
  <c r="J33" i="8"/>
  <c r="J35" i="8"/>
  <c r="J36" i="8"/>
  <c r="J37" i="8"/>
  <c r="J38" i="8"/>
  <c r="I38" i="8" s="1"/>
  <c r="J39" i="8"/>
  <c r="J40" i="8"/>
  <c r="J41" i="8"/>
  <c r="J42" i="8"/>
  <c r="J43" i="8"/>
  <c r="J44" i="8"/>
  <c r="J46" i="8"/>
  <c r="J47" i="8"/>
  <c r="I47" i="8" s="1"/>
  <c r="J48" i="8"/>
  <c r="J49" i="8"/>
  <c r="J50" i="8"/>
  <c r="J51" i="8"/>
  <c r="J52" i="8"/>
  <c r="J54" i="8"/>
  <c r="J55" i="8"/>
  <c r="J56" i="8"/>
  <c r="I56" i="8" s="1"/>
  <c r="J57" i="8"/>
  <c r="J58" i="8"/>
  <c r="J59" i="8"/>
  <c r="J60" i="8"/>
  <c r="J61" i="8"/>
  <c r="J62" i="8"/>
  <c r="J63" i="8"/>
  <c r="J65" i="8"/>
  <c r="I65" i="8" s="1"/>
  <c r="J66" i="8"/>
  <c r="J67" i="8"/>
  <c r="J68" i="8"/>
  <c r="J69" i="8"/>
  <c r="J71" i="8"/>
  <c r="J72" i="8"/>
  <c r="J73" i="8"/>
  <c r="J74" i="8"/>
  <c r="I74" i="8" s="1"/>
  <c r="J75" i="8"/>
  <c r="J77" i="8"/>
  <c r="J78" i="8"/>
  <c r="I78" i="8" s="1"/>
  <c r="J79" i="8"/>
  <c r="J80" i="8"/>
  <c r="J81" i="8"/>
  <c r="J82" i="8"/>
  <c r="J83" i="8"/>
  <c r="J84" i="8"/>
  <c r="J85" i="8"/>
  <c r="J86" i="8"/>
  <c r="J87" i="8"/>
  <c r="J89" i="8"/>
  <c r="J90" i="8"/>
  <c r="J91" i="8"/>
  <c r="J92" i="8"/>
  <c r="I92" i="8" s="1"/>
  <c r="J93" i="8"/>
  <c r="J94" i="8"/>
  <c r="J95" i="8"/>
  <c r="J96" i="8"/>
  <c r="J97" i="8"/>
  <c r="J98" i="8"/>
  <c r="J99" i="8"/>
  <c r="J100" i="8"/>
  <c r="I100" i="8" s="1"/>
  <c r="J101" i="8"/>
  <c r="J103" i="8"/>
  <c r="J104" i="8"/>
  <c r="J105" i="8"/>
  <c r="J106" i="8"/>
  <c r="J107" i="8"/>
  <c r="J108" i="8"/>
  <c r="J109" i="8"/>
  <c r="I109" i="8" s="1"/>
  <c r="J111" i="8"/>
  <c r="J112" i="8"/>
  <c r="J113" i="8"/>
  <c r="J114" i="8"/>
  <c r="J115" i="8"/>
  <c r="J116" i="8"/>
  <c r="J117" i="8"/>
  <c r="J118" i="8"/>
  <c r="I118" i="8" s="1"/>
  <c r="J120" i="8"/>
  <c r="J121" i="8"/>
  <c r="J122" i="8"/>
  <c r="J123" i="8"/>
  <c r="J124" i="8"/>
  <c r="J125" i="8"/>
  <c r="J126" i="8"/>
  <c r="J127" i="8"/>
  <c r="I127" i="8" s="1"/>
  <c r="J128" i="8"/>
  <c r="J129" i="8"/>
  <c r="J131" i="8"/>
  <c r="J132" i="8"/>
  <c r="J133" i="8"/>
  <c r="J134" i="8"/>
  <c r="J135" i="8"/>
  <c r="J136" i="8"/>
  <c r="I136" i="8" s="1"/>
  <c r="J137" i="8"/>
  <c r="J138" i="8"/>
  <c r="J139" i="8"/>
  <c r="J140" i="8"/>
  <c r="J141" i="8"/>
  <c r="J142" i="8"/>
  <c r="J143" i="8"/>
  <c r="J144" i="8"/>
  <c r="I144" i="8" s="1"/>
  <c r="J145" i="8"/>
  <c r="J146" i="8"/>
  <c r="J147" i="8"/>
  <c r="J148" i="8"/>
  <c r="J149" i="8"/>
  <c r="J151" i="8"/>
  <c r="J152" i="8"/>
  <c r="J153" i="8"/>
  <c r="I153" i="8" s="1"/>
  <c r="J154" i="8"/>
  <c r="J155" i="8"/>
  <c r="J156" i="8"/>
  <c r="J157" i="8"/>
  <c r="J158" i="8"/>
  <c r="J160" i="8"/>
  <c r="J161" i="8"/>
  <c r="J162" i="8"/>
  <c r="I162" i="8" s="1"/>
  <c r="J163" i="8"/>
  <c r="J164" i="8"/>
  <c r="J166" i="8"/>
  <c r="J167" i="8"/>
  <c r="J168" i="8"/>
  <c r="J169" i="8"/>
  <c r="J170" i="8"/>
  <c r="J171" i="8"/>
  <c r="I171" i="8" s="1"/>
  <c r="J172" i="8"/>
  <c r="J173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6" i="8"/>
  <c r="J197" i="8"/>
  <c r="I197" i="8" s="1"/>
  <c r="J198" i="8"/>
  <c r="J199" i="8"/>
  <c r="J200" i="8"/>
  <c r="J201" i="8"/>
  <c r="J202" i="8"/>
  <c r="J203" i="8"/>
  <c r="J204" i="8"/>
  <c r="J205" i="8"/>
  <c r="I205" i="8" s="1"/>
  <c r="J206" i="8"/>
  <c r="J207" i="8"/>
  <c r="J208" i="8"/>
  <c r="J209" i="8"/>
  <c r="J211" i="8"/>
  <c r="J212" i="8"/>
  <c r="J213" i="8"/>
  <c r="J214" i="8"/>
  <c r="I214" i="8" s="1"/>
  <c r="J215" i="8"/>
  <c r="J216" i="8"/>
  <c r="J217" i="8"/>
  <c r="J218" i="8"/>
  <c r="J219" i="8"/>
  <c r="J220" i="8"/>
  <c r="J221" i="8"/>
  <c r="J222" i="8"/>
  <c r="I222" i="8" s="1"/>
  <c r="J224" i="8"/>
  <c r="J225" i="8"/>
  <c r="J226" i="8"/>
  <c r="J227" i="8"/>
  <c r="J228" i="8"/>
  <c r="J229" i="8"/>
  <c r="J230" i="8"/>
  <c r="J231" i="8"/>
  <c r="I231" i="8" s="1"/>
  <c r="J232" i="8"/>
  <c r="J234" i="8"/>
  <c r="J235" i="8"/>
  <c r="J236" i="8"/>
  <c r="J237" i="8"/>
  <c r="J238" i="8"/>
  <c r="J239" i="8"/>
  <c r="J240" i="8"/>
  <c r="I240" i="8" s="1"/>
  <c r="J241" i="8"/>
  <c r="J242" i="8"/>
  <c r="J244" i="8"/>
  <c r="J245" i="8"/>
  <c r="J246" i="8"/>
  <c r="J247" i="8"/>
  <c r="J248" i="8"/>
  <c r="J249" i="8"/>
  <c r="I249" i="8" s="1"/>
  <c r="J251" i="8"/>
  <c r="J252" i="8"/>
  <c r="J253" i="8"/>
  <c r="J254" i="8"/>
  <c r="J255" i="8"/>
  <c r="J256" i="8"/>
  <c r="J257" i="8"/>
  <c r="J258" i="8"/>
  <c r="I258" i="8" s="1"/>
  <c r="J259" i="8"/>
  <c r="J260" i="8"/>
  <c r="J261" i="8"/>
  <c r="J262" i="8"/>
  <c r="J263" i="8"/>
  <c r="J264" i="8"/>
  <c r="J265" i="8"/>
  <c r="J266" i="8"/>
  <c r="I266" i="8" s="1"/>
  <c r="J268" i="8"/>
  <c r="J269" i="8"/>
  <c r="J270" i="8"/>
  <c r="J272" i="8"/>
  <c r="J273" i="8"/>
  <c r="J274" i="8"/>
  <c r="J275" i="8"/>
  <c r="J277" i="8"/>
  <c r="I277" i="8" s="1"/>
  <c r="J279" i="8"/>
  <c r="J280" i="8"/>
  <c r="J281" i="8"/>
  <c r="J282" i="8"/>
  <c r="J283" i="8"/>
  <c r="J284" i="8"/>
  <c r="J285" i="8"/>
  <c r="J286" i="8"/>
  <c r="J288" i="8"/>
  <c r="J289" i="8"/>
  <c r="J290" i="8"/>
  <c r="J291" i="8"/>
  <c r="J292" i="8"/>
  <c r="J293" i="8"/>
  <c r="J294" i="8"/>
  <c r="J296" i="8"/>
  <c r="I296" i="8" s="1"/>
  <c r="J297" i="8"/>
  <c r="J298" i="8"/>
  <c r="J299" i="8"/>
  <c r="J300" i="8"/>
  <c r="J301" i="8"/>
  <c r="J302" i="8"/>
  <c r="J303" i="8"/>
  <c r="J305" i="8"/>
  <c r="I305" i="8" s="1"/>
  <c r="J306" i="8"/>
  <c r="J307" i="8"/>
  <c r="J308" i="8"/>
  <c r="J309" i="8"/>
  <c r="J311" i="8"/>
  <c r="J313" i="8"/>
  <c r="J314" i="8"/>
  <c r="J316" i="8"/>
  <c r="I316" i="8" s="1"/>
  <c r="J317" i="8"/>
  <c r="J318" i="8"/>
  <c r="J319" i="8"/>
  <c r="I319" i="8" s="1"/>
  <c r="J320" i="8"/>
  <c r="J321" i="8"/>
  <c r="J322" i="8"/>
  <c r="I185" i="8"/>
  <c r="I202" i="8"/>
  <c r="J11" i="8"/>
  <c r="I311" i="6"/>
  <c r="I315" i="6"/>
  <c r="AH12" i="6"/>
  <c r="AH13" i="6"/>
  <c r="AH14" i="6"/>
  <c r="AH15" i="6"/>
  <c r="AH16" i="6"/>
  <c r="AH18" i="6"/>
  <c r="AH19" i="6"/>
  <c r="AH20" i="6"/>
  <c r="AH21" i="6"/>
  <c r="AH22" i="6"/>
  <c r="AH23" i="6"/>
  <c r="AH24" i="6"/>
  <c r="AH25" i="6"/>
  <c r="AH27" i="6"/>
  <c r="AH28" i="6"/>
  <c r="AH29" i="6"/>
  <c r="AH30" i="6"/>
  <c r="AH31" i="6"/>
  <c r="AH32" i="6"/>
  <c r="AH33" i="6"/>
  <c r="AH35" i="6"/>
  <c r="AH36" i="6"/>
  <c r="AH37" i="6"/>
  <c r="AH38" i="6"/>
  <c r="AH39" i="6"/>
  <c r="AH40" i="6"/>
  <c r="AH41" i="6"/>
  <c r="AH42" i="6"/>
  <c r="AH43" i="6"/>
  <c r="AH44" i="6"/>
  <c r="AH46" i="6"/>
  <c r="AH47" i="6"/>
  <c r="AH48" i="6"/>
  <c r="AH49" i="6"/>
  <c r="AH50" i="6"/>
  <c r="AH51" i="6"/>
  <c r="AH52" i="6"/>
  <c r="AH54" i="6"/>
  <c r="AH55" i="6"/>
  <c r="AH56" i="6"/>
  <c r="AH57" i="6"/>
  <c r="AH58" i="6"/>
  <c r="AH59" i="6"/>
  <c r="AH60" i="6"/>
  <c r="AH61" i="6"/>
  <c r="AH62" i="6"/>
  <c r="AH63" i="6"/>
  <c r="AH65" i="6"/>
  <c r="AH66" i="6"/>
  <c r="AH67" i="6"/>
  <c r="AH68" i="6"/>
  <c r="AH69" i="6"/>
  <c r="AH71" i="6"/>
  <c r="AH72" i="6"/>
  <c r="AH73" i="6"/>
  <c r="AH74" i="6"/>
  <c r="AH75" i="6"/>
  <c r="AH77" i="6"/>
  <c r="AH78" i="6"/>
  <c r="AH79" i="6"/>
  <c r="AH80" i="6"/>
  <c r="AH81" i="6"/>
  <c r="AH82" i="6"/>
  <c r="AH83" i="6"/>
  <c r="AH84" i="6"/>
  <c r="AH85" i="6"/>
  <c r="AH86" i="6"/>
  <c r="AH87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3" i="6"/>
  <c r="AH104" i="6"/>
  <c r="AH105" i="6"/>
  <c r="AH106" i="6"/>
  <c r="AH107" i="6"/>
  <c r="AH108" i="6"/>
  <c r="AH109" i="6"/>
  <c r="AH111" i="6"/>
  <c r="AH112" i="6"/>
  <c r="AH113" i="6"/>
  <c r="AH114" i="6"/>
  <c r="AH115" i="6"/>
  <c r="AH116" i="6"/>
  <c r="AH117" i="6"/>
  <c r="AH118" i="6"/>
  <c r="AH120" i="6"/>
  <c r="AH121" i="6"/>
  <c r="AH122" i="6"/>
  <c r="AH123" i="6"/>
  <c r="AH124" i="6"/>
  <c r="AH125" i="6"/>
  <c r="AH126" i="6"/>
  <c r="AH127" i="6"/>
  <c r="AH128" i="6"/>
  <c r="AH129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1" i="6"/>
  <c r="AH152" i="6"/>
  <c r="AH153" i="6"/>
  <c r="AH154" i="6"/>
  <c r="AH155" i="6"/>
  <c r="AH156" i="6"/>
  <c r="AH157" i="6"/>
  <c r="AH158" i="6"/>
  <c r="AH160" i="6"/>
  <c r="AH161" i="6"/>
  <c r="AH162" i="6"/>
  <c r="AH163" i="6"/>
  <c r="AH164" i="6"/>
  <c r="AH166" i="6"/>
  <c r="AH167" i="6"/>
  <c r="AH168" i="6"/>
  <c r="AH169" i="6"/>
  <c r="AH170" i="6"/>
  <c r="AH171" i="6"/>
  <c r="AH172" i="6"/>
  <c r="AH173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6" i="6"/>
  <c r="AH197" i="6"/>
  <c r="AH198" i="6"/>
  <c r="AM198" i="6" s="1"/>
  <c r="AH199" i="6"/>
  <c r="AH200" i="6"/>
  <c r="AH201" i="6"/>
  <c r="AH202" i="6"/>
  <c r="AH203" i="6"/>
  <c r="AH204" i="6"/>
  <c r="AH205" i="6"/>
  <c r="AH206" i="6"/>
  <c r="AH207" i="6"/>
  <c r="AH208" i="6"/>
  <c r="AH209" i="6"/>
  <c r="AH211" i="6"/>
  <c r="AH212" i="6"/>
  <c r="AH213" i="6"/>
  <c r="AH214" i="6"/>
  <c r="AH215" i="6"/>
  <c r="AM215" i="6" s="1"/>
  <c r="AH216" i="6"/>
  <c r="AH217" i="6"/>
  <c r="AH218" i="6"/>
  <c r="AH219" i="6"/>
  <c r="AH220" i="6"/>
  <c r="AH221" i="6"/>
  <c r="AH222" i="6"/>
  <c r="AH224" i="6"/>
  <c r="AH225" i="6"/>
  <c r="AH226" i="6"/>
  <c r="AH227" i="6"/>
  <c r="AH228" i="6"/>
  <c r="AH229" i="6"/>
  <c r="AH230" i="6"/>
  <c r="AH231" i="6"/>
  <c r="AH232" i="6"/>
  <c r="AH234" i="6"/>
  <c r="AH235" i="6"/>
  <c r="AH236" i="6"/>
  <c r="AH237" i="6"/>
  <c r="AH238" i="6"/>
  <c r="AH239" i="6"/>
  <c r="AH240" i="6"/>
  <c r="AH241" i="6"/>
  <c r="AH242" i="6"/>
  <c r="AH244" i="6"/>
  <c r="AH245" i="6"/>
  <c r="AH246" i="6"/>
  <c r="AH247" i="6"/>
  <c r="AH248" i="6"/>
  <c r="AH249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8" i="6"/>
  <c r="AH269" i="6"/>
  <c r="AH270" i="6"/>
  <c r="AH272" i="6"/>
  <c r="AH273" i="6"/>
  <c r="AH274" i="6"/>
  <c r="AH275" i="6"/>
  <c r="AH277" i="6"/>
  <c r="AH279" i="6"/>
  <c r="AH280" i="6"/>
  <c r="AH281" i="6"/>
  <c r="AH282" i="6"/>
  <c r="AH283" i="6"/>
  <c r="AH284" i="6"/>
  <c r="AH285" i="6"/>
  <c r="AH286" i="6"/>
  <c r="AH288" i="6"/>
  <c r="AH289" i="6"/>
  <c r="AH290" i="6"/>
  <c r="AH291" i="6"/>
  <c r="AH292" i="6"/>
  <c r="AH293" i="6"/>
  <c r="AH294" i="6"/>
  <c r="AH296" i="6"/>
  <c r="AH297" i="6"/>
  <c r="AH298" i="6"/>
  <c r="AH299" i="6"/>
  <c r="AH300" i="6"/>
  <c r="AH301" i="6"/>
  <c r="AH302" i="6"/>
  <c r="AH303" i="6"/>
  <c r="AH305" i="6"/>
  <c r="AH306" i="6"/>
  <c r="AH307" i="6"/>
  <c r="AH308" i="6"/>
  <c r="AH309" i="6"/>
  <c r="AH311" i="6"/>
  <c r="AH312" i="6"/>
  <c r="AH313" i="6"/>
  <c r="AH314" i="6"/>
  <c r="AH315" i="6"/>
  <c r="AM315" i="6" s="1"/>
  <c r="AH316" i="6"/>
  <c r="AH317" i="6"/>
  <c r="AH318" i="6"/>
  <c r="AH319" i="6"/>
  <c r="AH320" i="6"/>
  <c r="AH321" i="6"/>
  <c r="AH322" i="6"/>
  <c r="AH11" i="6"/>
  <c r="AC12" i="6"/>
  <c r="AC13" i="6"/>
  <c r="AM13" i="6" s="1"/>
  <c r="AC14" i="6"/>
  <c r="AC15" i="6"/>
  <c r="AC16" i="6"/>
  <c r="AC18" i="6"/>
  <c r="AC19" i="6"/>
  <c r="AC20" i="6"/>
  <c r="AM20" i="6" s="1"/>
  <c r="AC21" i="6"/>
  <c r="AC22" i="6"/>
  <c r="AM22" i="6" s="1"/>
  <c r="AC23" i="6"/>
  <c r="AC24" i="6"/>
  <c r="AC25" i="6"/>
  <c r="AC27" i="6"/>
  <c r="AC28" i="6"/>
  <c r="AC29" i="6"/>
  <c r="AM29" i="6" s="1"/>
  <c r="AC30" i="6"/>
  <c r="AC31" i="6"/>
  <c r="AC32" i="6"/>
  <c r="AC33" i="6"/>
  <c r="AC35" i="6"/>
  <c r="AC36" i="6"/>
  <c r="AC37" i="6"/>
  <c r="AC38" i="6"/>
  <c r="AM38" i="6" s="1"/>
  <c r="AC39" i="6"/>
  <c r="AC40" i="6"/>
  <c r="AM40" i="6" s="1"/>
  <c r="AC41" i="6"/>
  <c r="AC42" i="6"/>
  <c r="AC43" i="6"/>
  <c r="AC44" i="6"/>
  <c r="AC46" i="6"/>
  <c r="AC47" i="6"/>
  <c r="AC48" i="6"/>
  <c r="AC49" i="6"/>
  <c r="AC50" i="6"/>
  <c r="AC51" i="6"/>
  <c r="AC52" i="6"/>
  <c r="AC54" i="6"/>
  <c r="AC55" i="6"/>
  <c r="AC56" i="6"/>
  <c r="AM56" i="6" s="1"/>
  <c r="AC57" i="6"/>
  <c r="AC58" i="6"/>
  <c r="AM58" i="6" s="1"/>
  <c r="AC59" i="6"/>
  <c r="AC60" i="6"/>
  <c r="AC61" i="6"/>
  <c r="AC62" i="6"/>
  <c r="AC63" i="6"/>
  <c r="AC65" i="6"/>
  <c r="AC66" i="6"/>
  <c r="AC67" i="6"/>
  <c r="AC68" i="6"/>
  <c r="AC69" i="6"/>
  <c r="AC71" i="6"/>
  <c r="AC72" i="6"/>
  <c r="AC73" i="6"/>
  <c r="AC74" i="6"/>
  <c r="AM74" i="6" s="1"/>
  <c r="AC75" i="6"/>
  <c r="AC77" i="6"/>
  <c r="AM77" i="6" s="1"/>
  <c r="AC78" i="6"/>
  <c r="AC79" i="6"/>
  <c r="AC80" i="6"/>
  <c r="AC81" i="6"/>
  <c r="AC82" i="6"/>
  <c r="AC83" i="6"/>
  <c r="AC84" i="6"/>
  <c r="AC85" i="6"/>
  <c r="AM85" i="6" s="1"/>
  <c r="AC86" i="6"/>
  <c r="AC87" i="6"/>
  <c r="AC89" i="6"/>
  <c r="AC90" i="6"/>
  <c r="AC91" i="6"/>
  <c r="AC92" i="6"/>
  <c r="AM92" i="6" s="1"/>
  <c r="AC93" i="6"/>
  <c r="AC94" i="6"/>
  <c r="AM94" i="6" s="1"/>
  <c r="AC95" i="6"/>
  <c r="AC96" i="6"/>
  <c r="AC97" i="6"/>
  <c r="AC98" i="6"/>
  <c r="AC99" i="6"/>
  <c r="AC100" i="6"/>
  <c r="AM100" i="6" s="1"/>
  <c r="AC101" i="6"/>
  <c r="AC103" i="6"/>
  <c r="AM103" i="6" s="1"/>
  <c r="AC104" i="6"/>
  <c r="AC105" i="6"/>
  <c r="AC106" i="6"/>
  <c r="AC107" i="6"/>
  <c r="AC108" i="6"/>
  <c r="AC109" i="6"/>
  <c r="AM109" i="6" s="1"/>
  <c r="AC111" i="6"/>
  <c r="AC112" i="6"/>
  <c r="AM112" i="6" s="1"/>
  <c r="AC113" i="6"/>
  <c r="AC114" i="6"/>
  <c r="AC115" i="6"/>
  <c r="AC116" i="6"/>
  <c r="AC117" i="6"/>
  <c r="AC118" i="6"/>
  <c r="AM118" i="6" s="1"/>
  <c r="AC120" i="6"/>
  <c r="AC121" i="6"/>
  <c r="AC122" i="6"/>
  <c r="AC123" i="6"/>
  <c r="AC124" i="6"/>
  <c r="AC125" i="6"/>
  <c r="AC126" i="6"/>
  <c r="AC127" i="6"/>
  <c r="AC128" i="6"/>
  <c r="AC129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1" i="6"/>
  <c r="AC152" i="6"/>
  <c r="AC153" i="6"/>
  <c r="AM153" i="6" s="1"/>
  <c r="AC154" i="6"/>
  <c r="AC155" i="6"/>
  <c r="AM155" i="6" s="1"/>
  <c r="AC156" i="6"/>
  <c r="AC157" i="6"/>
  <c r="AC158" i="6"/>
  <c r="AC160" i="6"/>
  <c r="AC161" i="6"/>
  <c r="AC162" i="6"/>
  <c r="AC163" i="6"/>
  <c r="AC164" i="6"/>
  <c r="AC166" i="6"/>
  <c r="AC167" i="6"/>
  <c r="AC168" i="6"/>
  <c r="AC169" i="6"/>
  <c r="AC170" i="6"/>
  <c r="AC171" i="6"/>
  <c r="AM171" i="6" s="1"/>
  <c r="AC172" i="6"/>
  <c r="AC173" i="6"/>
  <c r="AM173" i="6" s="1"/>
  <c r="AC175" i="6"/>
  <c r="AC176" i="6"/>
  <c r="AC177" i="6"/>
  <c r="AC178" i="6"/>
  <c r="AC179" i="6"/>
  <c r="AC180" i="6"/>
  <c r="AC181" i="6"/>
  <c r="AC182" i="6"/>
  <c r="AM182" i="6" s="1"/>
  <c r="AC183" i="6"/>
  <c r="AC184" i="6"/>
  <c r="AC185" i="6"/>
  <c r="AC186" i="6"/>
  <c r="AC187" i="6"/>
  <c r="AC188" i="6"/>
  <c r="AC189" i="6"/>
  <c r="AC190" i="6"/>
  <c r="AM190" i="6" s="1"/>
  <c r="AC191" i="6"/>
  <c r="AC192" i="6"/>
  <c r="AC193" i="6"/>
  <c r="AC194" i="6"/>
  <c r="AC196" i="6"/>
  <c r="AC197" i="6"/>
  <c r="AM197" i="6" s="1"/>
  <c r="AC198" i="6"/>
  <c r="AC199" i="6"/>
  <c r="AM199" i="6" s="1"/>
  <c r="AC200" i="6"/>
  <c r="AC201" i="6"/>
  <c r="AC202" i="6"/>
  <c r="AC203" i="6"/>
  <c r="AC204" i="6"/>
  <c r="AC205" i="6"/>
  <c r="AM205" i="6" s="1"/>
  <c r="AC206" i="6"/>
  <c r="AC207" i="6"/>
  <c r="AM207" i="6" s="1"/>
  <c r="AC208" i="6"/>
  <c r="AC209" i="6"/>
  <c r="AC211" i="6"/>
  <c r="AC212" i="6"/>
  <c r="AC213" i="6"/>
  <c r="AC214" i="6"/>
  <c r="AM214" i="6" s="1"/>
  <c r="AC215" i="6"/>
  <c r="AC216" i="6"/>
  <c r="AC217" i="6"/>
  <c r="AC218" i="6"/>
  <c r="AC219" i="6"/>
  <c r="AC220" i="6"/>
  <c r="AC221" i="6"/>
  <c r="AC222" i="6"/>
  <c r="AM222" i="6" s="1"/>
  <c r="AC224" i="6"/>
  <c r="AC225" i="6"/>
  <c r="AM225" i="6" s="1"/>
  <c r="AC226" i="6"/>
  <c r="AC227" i="6"/>
  <c r="AC228" i="6"/>
  <c r="AC229" i="6"/>
  <c r="AC230" i="6"/>
  <c r="AC231" i="6"/>
  <c r="AM231" i="6" s="1"/>
  <c r="AC232" i="6"/>
  <c r="AC234" i="6"/>
  <c r="AM234" i="6" s="1"/>
  <c r="AC235" i="6"/>
  <c r="AC236" i="6"/>
  <c r="AC237" i="6"/>
  <c r="AC238" i="6"/>
  <c r="AC239" i="6"/>
  <c r="AC240" i="6"/>
  <c r="AC241" i="6"/>
  <c r="AC242" i="6"/>
  <c r="AM242" i="6" s="1"/>
  <c r="AC244" i="6"/>
  <c r="AC245" i="6"/>
  <c r="AC246" i="6"/>
  <c r="AC247" i="6"/>
  <c r="AC248" i="6"/>
  <c r="AC249" i="6"/>
  <c r="AM249" i="6" s="1"/>
  <c r="AC251" i="6"/>
  <c r="AC252" i="6"/>
  <c r="AC253" i="6"/>
  <c r="AC254" i="6"/>
  <c r="AC255" i="6"/>
  <c r="AC256" i="6"/>
  <c r="AC257" i="6"/>
  <c r="AC258" i="6"/>
  <c r="AC259" i="6"/>
  <c r="AC260" i="6"/>
  <c r="AC261" i="6"/>
  <c r="AC262" i="6"/>
  <c r="AC263" i="6"/>
  <c r="AC264" i="6"/>
  <c r="AC265" i="6"/>
  <c r="AC266" i="6"/>
  <c r="AM266" i="6" s="1"/>
  <c r="AC268" i="6"/>
  <c r="AC269" i="6"/>
  <c r="AC270" i="6"/>
  <c r="AC272" i="6"/>
  <c r="AC273" i="6"/>
  <c r="AC274" i="6"/>
  <c r="AC275" i="6"/>
  <c r="AC277" i="6"/>
  <c r="AM277" i="6" s="1"/>
  <c r="AC279" i="6"/>
  <c r="AC280" i="6"/>
  <c r="AC281" i="6"/>
  <c r="AC282" i="6"/>
  <c r="AC283" i="6"/>
  <c r="AC284" i="6"/>
  <c r="AC285" i="6"/>
  <c r="AC286" i="6"/>
  <c r="AC288" i="6"/>
  <c r="AC289" i="6"/>
  <c r="AC290" i="6"/>
  <c r="AC291" i="6"/>
  <c r="AC292" i="6"/>
  <c r="AC293" i="6"/>
  <c r="AC294" i="6"/>
  <c r="AC296" i="6"/>
  <c r="AM296" i="6" s="1"/>
  <c r="AC297" i="6"/>
  <c r="AC298" i="6"/>
  <c r="AC299" i="6"/>
  <c r="AC300" i="6"/>
  <c r="AC301" i="6"/>
  <c r="AC302" i="6"/>
  <c r="AC303" i="6"/>
  <c r="AC305" i="6"/>
  <c r="AM305" i="6" s="1"/>
  <c r="AC306" i="6"/>
  <c r="AC307" i="6"/>
  <c r="AC308" i="6"/>
  <c r="AC309" i="6"/>
  <c r="AC311" i="6"/>
  <c r="AC312" i="6"/>
  <c r="AC313" i="6"/>
  <c r="AC314" i="6"/>
  <c r="AM314" i="6" s="1"/>
  <c r="AC315" i="6"/>
  <c r="AC316" i="6"/>
  <c r="AC317" i="6"/>
  <c r="AC318" i="6"/>
  <c r="AC319" i="6"/>
  <c r="AC320" i="6"/>
  <c r="AC321" i="6"/>
  <c r="AC322" i="6"/>
  <c r="AC11" i="6"/>
  <c r="I12" i="6"/>
  <c r="I13" i="6"/>
  <c r="I14" i="6"/>
  <c r="I15" i="6"/>
  <c r="I16" i="6"/>
  <c r="I18" i="6"/>
  <c r="I19" i="6"/>
  <c r="I20" i="6"/>
  <c r="I21" i="6"/>
  <c r="I22" i="6"/>
  <c r="I23" i="6"/>
  <c r="I24" i="6"/>
  <c r="I25" i="6"/>
  <c r="I27" i="6"/>
  <c r="I28" i="6"/>
  <c r="I29" i="6"/>
  <c r="I30" i="6"/>
  <c r="I31" i="6"/>
  <c r="I32" i="6"/>
  <c r="I33" i="6"/>
  <c r="I35" i="6"/>
  <c r="I36" i="6"/>
  <c r="I37" i="6"/>
  <c r="I38" i="6"/>
  <c r="I39" i="6"/>
  <c r="I40" i="6"/>
  <c r="I41" i="6"/>
  <c r="I42" i="6"/>
  <c r="I43" i="6"/>
  <c r="I44" i="6"/>
  <c r="I46" i="6"/>
  <c r="I47" i="6"/>
  <c r="I48" i="6"/>
  <c r="I49" i="6"/>
  <c r="I50" i="6"/>
  <c r="I51" i="6"/>
  <c r="I52" i="6"/>
  <c r="I54" i="6"/>
  <c r="I55" i="6"/>
  <c r="I56" i="6"/>
  <c r="I57" i="6"/>
  <c r="I58" i="6"/>
  <c r="I59" i="6"/>
  <c r="I60" i="6"/>
  <c r="I61" i="6"/>
  <c r="I62" i="6"/>
  <c r="I63" i="6"/>
  <c r="I65" i="6"/>
  <c r="I66" i="6"/>
  <c r="I67" i="6"/>
  <c r="I68" i="6"/>
  <c r="I69" i="6"/>
  <c r="I71" i="6"/>
  <c r="I72" i="6"/>
  <c r="I73" i="6"/>
  <c r="I74" i="6"/>
  <c r="I75" i="6"/>
  <c r="I77" i="6"/>
  <c r="I78" i="6"/>
  <c r="I79" i="6"/>
  <c r="I80" i="6"/>
  <c r="I81" i="6"/>
  <c r="I82" i="6"/>
  <c r="I83" i="6"/>
  <c r="I84" i="6"/>
  <c r="I85" i="6"/>
  <c r="I86" i="6"/>
  <c r="I87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3" i="6"/>
  <c r="I104" i="6"/>
  <c r="I105" i="6"/>
  <c r="I106" i="6"/>
  <c r="I107" i="6"/>
  <c r="I108" i="6"/>
  <c r="I109" i="6"/>
  <c r="I111" i="6"/>
  <c r="I112" i="6"/>
  <c r="I113" i="6"/>
  <c r="I114" i="6"/>
  <c r="I115" i="6"/>
  <c r="I116" i="6"/>
  <c r="I117" i="6"/>
  <c r="I118" i="6"/>
  <c r="I120" i="6"/>
  <c r="I121" i="6"/>
  <c r="I122" i="6"/>
  <c r="I123" i="6"/>
  <c r="I124" i="6"/>
  <c r="I125" i="6"/>
  <c r="I126" i="6"/>
  <c r="I127" i="6"/>
  <c r="I128" i="6"/>
  <c r="I129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1" i="6"/>
  <c r="I152" i="6"/>
  <c r="I153" i="6"/>
  <c r="I154" i="6"/>
  <c r="I155" i="6"/>
  <c r="I156" i="6"/>
  <c r="I157" i="6"/>
  <c r="I158" i="6"/>
  <c r="I160" i="6"/>
  <c r="I161" i="6"/>
  <c r="I162" i="6"/>
  <c r="I163" i="6"/>
  <c r="I164" i="6"/>
  <c r="I166" i="6"/>
  <c r="I167" i="6"/>
  <c r="I168" i="6"/>
  <c r="I169" i="6"/>
  <c r="I170" i="6"/>
  <c r="I171" i="6"/>
  <c r="I172" i="6"/>
  <c r="I173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4" i="6"/>
  <c r="I225" i="6"/>
  <c r="I226" i="6"/>
  <c r="I227" i="6"/>
  <c r="I228" i="6"/>
  <c r="I229" i="6"/>
  <c r="I230" i="6"/>
  <c r="I231" i="6"/>
  <c r="I232" i="6"/>
  <c r="I234" i="6"/>
  <c r="I235" i="6"/>
  <c r="I236" i="6"/>
  <c r="I237" i="6"/>
  <c r="I238" i="6"/>
  <c r="I239" i="6"/>
  <c r="I240" i="6"/>
  <c r="I241" i="6"/>
  <c r="I242" i="6"/>
  <c r="I244" i="6"/>
  <c r="I245" i="6"/>
  <c r="I246" i="6"/>
  <c r="I247" i="6"/>
  <c r="I248" i="6"/>
  <c r="I249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8" i="6"/>
  <c r="I269" i="6"/>
  <c r="I270" i="6"/>
  <c r="I272" i="6"/>
  <c r="I273" i="6"/>
  <c r="I274" i="6"/>
  <c r="I275" i="6"/>
  <c r="I277" i="6"/>
  <c r="I279" i="6"/>
  <c r="I280" i="6"/>
  <c r="I281" i="6"/>
  <c r="I282" i="6"/>
  <c r="I283" i="6"/>
  <c r="I284" i="6"/>
  <c r="I285" i="6"/>
  <c r="I286" i="6"/>
  <c r="I288" i="6"/>
  <c r="I289" i="6"/>
  <c r="I290" i="6"/>
  <c r="I291" i="6"/>
  <c r="I292" i="6"/>
  <c r="I293" i="6"/>
  <c r="I294" i="6"/>
  <c r="I296" i="6"/>
  <c r="I297" i="6"/>
  <c r="I298" i="6"/>
  <c r="I299" i="6"/>
  <c r="I300" i="6"/>
  <c r="I301" i="6"/>
  <c r="I302" i="6"/>
  <c r="I303" i="6"/>
  <c r="I305" i="6"/>
  <c r="I306" i="6"/>
  <c r="I307" i="6"/>
  <c r="I308" i="6"/>
  <c r="I309" i="6"/>
  <c r="I312" i="6"/>
  <c r="I313" i="6"/>
  <c r="I314" i="6"/>
  <c r="I316" i="6"/>
  <c r="I317" i="6"/>
  <c r="I318" i="6"/>
  <c r="I319" i="6"/>
  <c r="I320" i="6"/>
  <c r="I321" i="6"/>
  <c r="I322" i="6"/>
  <c r="I11" i="6"/>
  <c r="AL310" i="6"/>
  <c r="AK310" i="6"/>
  <c r="AJ310" i="6"/>
  <c r="AI310" i="6"/>
  <c r="AG310" i="6"/>
  <c r="AF310" i="6"/>
  <c r="AE310" i="6"/>
  <c r="AD310" i="6"/>
  <c r="AL304" i="6"/>
  <c r="AK304" i="6"/>
  <c r="AJ304" i="6"/>
  <c r="AI304" i="6"/>
  <c r="AG304" i="6"/>
  <c r="AF304" i="6"/>
  <c r="AE304" i="6"/>
  <c r="AD304" i="6"/>
  <c r="AL295" i="6"/>
  <c r="AK295" i="6"/>
  <c r="AJ295" i="6"/>
  <c r="AI295" i="6"/>
  <c r="AG295" i="6"/>
  <c r="AF295" i="6"/>
  <c r="AE295" i="6"/>
  <c r="AD295" i="6"/>
  <c r="AL287" i="6"/>
  <c r="AK287" i="6"/>
  <c r="AJ287" i="6"/>
  <c r="AI287" i="6"/>
  <c r="AG287" i="6"/>
  <c r="AF287" i="6"/>
  <c r="AE287" i="6"/>
  <c r="AD287" i="6"/>
  <c r="AL278" i="6"/>
  <c r="AK278" i="6"/>
  <c r="AJ278" i="6"/>
  <c r="AI278" i="6"/>
  <c r="AG278" i="6"/>
  <c r="AF278" i="6"/>
  <c r="AE278" i="6"/>
  <c r="AD278" i="6"/>
  <c r="AL250" i="6"/>
  <c r="AK250" i="6"/>
  <c r="AJ250" i="6"/>
  <c r="AI250" i="6"/>
  <c r="AG250" i="6"/>
  <c r="AF250" i="6"/>
  <c r="AE250" i="6"/>
  <c r="AD250" i="6"/>
  <c r="AL243" i="6"/>
  <c r="AK243" i="6"/>
  <c r="AJ243" i="6"/>
  <c r="AI243" i="6"/>
  <c r="AG243" i="6"/>
  <c r="AF243" i="6"/>
  <c r="AE243" i="6"/>
  <c r="AD243" i="6"/>
  <c r="AL233" i="6"/>
  <c r="AK233" i="6"/>
  <c r="AJ233" i="6"/>
  <c r="AI233" i="6"/>
  <c r="AG233" i="6"/>
  <c r="AF233" i="6"/>
  <c r="AE233" i="6"/>
  <c r="AD233" i="6"/>
  <c r="AL223" i="6"/>
  <c r="AK223" i="6"/>
  <c r="AJ223" i="6"/>
  <c r="AI223" i="6"/>
  <c r="AG223" i="6"/>
  <c r="AF223" i="6"/>
  <c r="AE223" i="6"/>
  <c r="AD223" i="6"/>
  <c r="AL210" i="6"/>
  <c r="AK210" i="6"/>
  <c r="AJ210" i="6"/>
  <c r="AI210" i="6"/>
  <c r="AG210" i="6"/>
  <c r="AF210" i="6"/>
  <c r="AE210" i="6"/>
  <c r="AD210" i="6"/>
  <c r="AL195" i="6"/>
  <c r="AK195" i="6"/>
  <c r="AJ195" i="6"/>
  <c r="AI195" i="6"/>
  <c r="AG195" i="6"/>
  <c r="AF195" i="6"/>
  <c r="AE195" i="6"/>
  <c r="AD195" i="6"/>
  <c r="AL174" i="6"/>
  <c r="AK174" i="6"/>
  <c r="AJ174" i="6"/>
  <c r="AI174" i="6"/>
  <c r="AG174" i="6"/>
  <c r="AF174" i="6"/>
  <c r="AE174" i="6"/>
  <c r="AD174" i="6"/>
  <c r="AL165" i="6"/>
  <c r="AK165" i="6"/>
  <c r="AJ165" i="6"/>
  <c r="AI165" i="6"/>
  <c r="AG165" i="6"/>
  <c r="AF165" i="6"/>
  <c r="AE165" i="6"/>
  <c r="AD165" i="6"/>
  <c r="AL159" i="6"/>
  <c r="AK159" i="6"/>
  <c r="AJ159" i="6"/>
  <c r="AI159" i="6"/>
  <c r="AG159" i="6"/>
  <c r="AF159" i="6"/>
  <c r="AE159" i="6"/>
  <c r="AD159" i="6"/>
  <c r="AL150" i="6"/>
  <c r="AK150" i="6"/>
  <c r="AJ150" i="6"/>
  <c r="AI150" i="6"/>
  <c r="AG150" i="6"/>
  <c r="AF150" i="6"/>
  <c r="AE150" i="6"/>
  <c r="AD150" i="6"/>
  <c r="AL119" i="6"/>
  <c r="AK119" i="6"/>
  <c r="AJ119" i="6"/>
  <c r="AI119" i="6"/>
  <c r="AG119" i="6"/>
  <c r="AF119" i="6"/>
  <c r="AE119" i="6"/>
  <c r="AD119" i="6"/>
  <c r="AL110" i="6"/>
  <c r="AK110" i="6"/>
  <c r="AJ110" i="6"/>
  <c r="AI110" i="6"/>
  <c r="AG110" i="6"/>
  <c r="AF110" i="6"/>
  <c r="AE110" i="6"/>
  <c r="AD110" i="6"/>
  <c r="AL102" i="6"/>
  <c r="AK102" i="6"/>
  <c r="AJ102" i="6"/>
  <c r="AI102" i="6"/>
  <c r="AG102" i="6"/>
  <c r="AF102" i="6"/>
  <c r="AE102" i="6"/>
  <c r="AD102" i="6"/>
  <c r="AL88" i="6"/>
  <c r="AK88" i="6"/>
  <c r="AJ88" i="6"/>
  <c r="AI88" i="6"/>
  <c r="AG88" i="6"/>
  <c r="AF88" i="6"/>
  <c r="AE88" i="6"/>
  <c r="AD88" i="6"/>
  <c r="AL76" i="6"/>
  <c r="AK76" i="6"/>
  <c r="AJ76" i="6"/>
  <c r="AI76" i="6"/>
  <c r="AG76" i="6"/>
  <c r="AF76" i="6"/>
  <c r="AE76" i="6"/>
  <c r="AD76" i="6"/>
  <c r="AL70" i="6"/>
  <c r="AK70" i="6"/>
  <c r="AJ70" i="6"/>
  <c r="AI70" i="6"/>
  <c r="AG70" i="6"/>
  <c r="AF70" i="6"/>
  <c r="AE70" i="6"/>
  <c r="AD70" i="6"/>
  <c r="AL64" i="6"/>
  <c r="AK64" i="6"/>
  <c r="AJ64" i="6"/>
  <c r="AI64" i="6"/>
  <c r="AG64" i="6"/>
  <c r="AF64" i="6"/>
  <c r="AE64" i="6"/>
  <c r="AD64" i="6"/>
  <c r="AL53" i="6"/>
  <c r="AK53" i="6"/>
  <c r="AJ53" i="6"/>
  <c r="AI53" i="6"/>
  <c r="AG53" i="6"/>
  <c r="AF53" i="6"/>
  <c r="AE53" i="6"/>
  <c r="AD53" i="6"/>
  <c r="AL45" i="6"/>
  <c r="AK45" i="6"/>
  <c r="AJ45" i="6"/>
  <c r="AI45" i="6"/>
  <c r="AG45" i="6"/>
  <c r="AF45" i="6"/>
  <c r="AE45" i="6"/>
  <c r="AD45" i="6"/>
  <c r="AL34" i="6"/>
  <c r="AK34" i="6"/>
  <c r="AJ34" i="6"/>
  <c r="AI34" i="6"/>
  <c r="AG34" i="6"/>
  <c r="AF34" i="6"/>
  <c r="AE34" i="6"/>
  <c r="AD34" i="6"/>
  <c r="AL26" i="6"/>
  <c r="AK26" i="6"/>
  <c r="AJ26" i="6"/>
  <c r="AI26" i="6"/>
  <c r="AG26" i="6"/>
  <c r="AF26" i="6"/>
  <c r="AE26" i="6"/>
  <c r="AD26" i="6"/>
  <c r="AL17" i="6"/>
  <c r="AL323" i="6" s="1"/>
  <c r="AK17" i="6"/>
  <c r="AJ17" i="6"/>
  <c r="AI17" i="6"/>
  <c r="AG17" i="6"/>
  <c r="AF17" i="6"/>
  <c r="AE17" i="6"/>
  <c r="AD17" i="6"/>
  <c r="AD323" i="6" s="1"/>
  <c r="J17" i="6"/>
  <c r="K17" i="6"/>
  <c r="L17" i="6"/>
  <c r="J26" i="6"/>
  <c r="K26" i="6"/>
  <c r="L26" i="6"/>
  <c r="J34" i="6"/>
  <c r="K34" i="6"/>
  <c r="L34" i="6"/>
  <c r="J45" i="6"/>
  <c r="K45" i="6"/>
  <c r="L45" i="6"/>
  <c r="J53" i="6"/>
  <c r="K53" i="6"/>
  <c r="L53" i="6"/>
  <c r="J64" i="6"/>
  <c r="K64" i="6"/>
  <c r="L64" i="6"/>
  <c r="J70" i="6"/>
  <c r="K70" i="6"/>
  <c r="L70" i="6"/>
  <c r="J76" i="6"/>
  <c r="K76" i="6"/>
  <c r="L76" i="6"/>
  <c r="J88" i="6"/>
  <c r="K88" i="6"/>
  <c r="L88" i="6"/>
  <c r="J102" i="6"/>
  <c r="K102" i="6"/>
  <c r="L102" i="6"/>
  <c r="J110" i="6"/>
  <c r="K110" i="6"/>
  <c r="L110" i="6"/>
  <c r="J119" i="6"/>
  <c r="K119" i="6"/>
  <c r="L119" i="6"/>
  <c r="J150" i="6"/>
  <c r="K150" i="6"/>
  <c r="L150" i="6"/>
  <c r="J159" i="6"/>
  <c r="K159" i="6"/>
  <c r="L159" i="6"/>
  <c r="J165" i="6"/>
  <c r="K165" i="6"/>
  <c r="L165" i="6"/>
  <c r="J174" i="6"/>
  <c r="K174" i="6"/>
  <c r="L174" i="6"/>
  <c r="J195" i="6"/>
  <c r="K195" i="6"/>
  <c r="L195" i="6"/>
  <c r="J210" i="6"/>
  <c r="K210" i="6"/>
  <c r="L210" i="6"/>
  <c r="J223" i="6"/>
  <c r="K223" i="6"/>
  <c r="L223" i="6"/>
  <c r="J233" i="6"/>
  <c r="K233" i="6"/>
  <c r="L233" i="6"/>
  <c r="J243" i="6"/>
  <c r="K243" i="6"/>
  <c r="L243" i="6"/>
  <c r="J250" i="6"/>
  <c r="K250" i="6"/>
  <c r="L250" i="6"/>
  <c r="J278" i="6"/>
  <c r="K278" i="6"/>
  <c r="L278" i="6"/>
  <c r="J287" i="6"/>
  <c r="K287" i="6"/>
  <c r="L287" i="6"/>
  <c r="J295" i="6"/>
  <c r="K295" i="6"/>
  <c r="L295" i="6"/>
  <c r="J304" i="6"/>
  <c r="K304" i="6"/>
  <c r="L304" i="6"/>
  <c r="J310" i="6"/>
  <c r="K310" i="6"/>
  <c r="L310" i="6"/>
  <c r="M304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AB88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AB150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AB159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Z165" i="6"/>
  <c r="AA165" i="6"/>
  <c r="AB165" i="6"/>
  <c r="N174" i="6"/>
  <c r="O174" i="6"/>
  <c r="P174" i="6"/>
  <c r="Q174" i="6"/>
  <c r="R174" i="6"/>
  <c r="S174" i="6"/>
  <c r="T174" i="6"/>
  <c r="U174" i="6"/>
  <c r="V174" i="6"/>
  <c r="W174" i="6"/>
  <c r="X174" i="6"/>
  <c r="Y174" i="6"/>
  <c r="Z174" i="6"/>
  <c r="AA174" i="6"/>
  <c r="AB174" i="6"/>
  <c r="N195" i="6"/>
  <c r="O195" i="6"/>
  <c r="P195" i="6"/>
  <c r="Q195" i="6"/>
  <c r="R195" i="6"/>
  <c r="S195" i="6"/>
  <c r="T195" i="6"/>
  <c r="U195" i="6"/>
  <c r="V195" i="6"/>
  <c r="W195" i="6"/>
  <c r="X195" i="6"/>
  <c r="Y195" i="6"/>
  <c r="Z195" i="6"/>
  <c r="AA195" i="6"/>
  <c r="AB195" i="6"/>
  <c r="N210" i="6"/>
  <c r="O210" i="6"/>
  <c r="P210" i="6"/>
  <c r="Q210" i="6"/>
  <c r="R210" i="6"/>
  <c r="S210" i="6"/>
  <c r="T210" i="6"/>
  <c r="U210" i="6"/>
  <c r="V210" i="6"/>
  <c r="W210" i="6"/>
  <c r="X210" i="6"/>
  <c r="Y210" i="6"/>
  <c r="Z210" i="6"/>
  <c r="AA210" i="6"/>
  <c r="AB210" i="6"/>
  <c r="N223" i="6"/>
  <c r="O223" i="6"/>
  <c r="P223" i="6"/>
  <c r="Q223" i="6"/>
  <c r="R223" i="6"/>
  <c r="S223" i="6"/>
  <c r="T223" i="6"/>
  <c r="U223" i="6"/>
  <c r="V223" i="6"/>
  <c r="W223" i="6"/>
  <c r="X223" i="6"/>
  <c r="Y223" i="6"/>
  <c r="Z223" i="6"/>
  <c r="AA223" i="6"/>
  <c r="AB223" i="6"/>
  <c r="N233" i="6"/>
  <c r="O233" i="6"/>
  <c r="P233" i="6"/>
  <c r="Q233" i="6"/>
  <c r="R233" i="6"/>
  <c r="S233" i="6"/>
  <c r="T233" i="6"/>
  <c r="U233" i="6"/>
  <c r="V233" i="6"/>
  <c r="W233" i="6"/>
  <c r="X233" i="6"/>
  <c r="Y233" i="6"/>
  <c r="Z233" i="6"/>
  <c r="AA233" i="6"/>
  <c r="AB233" i="6"/>
  <c r="N243" i="6"/>
  <c r="O243" i="6"/>
  <c r="P243" i="6"/>
  <c r="Q243" i="6"/>
  <c r="R243" i="6"/>
  <c r="S243" i="6"/>
  <c r="T243" i="6"/>
  <c r="U243" i="6"/>
  <c r="V243" i="6"/>
  <c r="W243" i="6"/>
  <c r="X243" i="6"/>
  <c r="Y243" i="6"/>
  <c r="Z243" i="6"/>
  <c r="AA243" i="6"/>
  <c r="AB243" i="6"/>
  <c r="N250" i="6"/>
  <c r="O250" i="6"/>
  <c r="P250" i="6"/>
  <c r="Q250" i="6"/>
  <c r="R250" i="6"/>
  <c r="S250" i="6"/>
  <c r="T250" i="6"/>
  <c r="U250" i="6"/>
  <c r="V250" i="6"/>
  <c r="W250" i="6"/>
  <c r="X250" i="6"/>
  <c r="Y250" i="6"/>
  <c r="Z250" i="6"/>
  <c r="AA250" i="6"/>
  <c r="AB250" i="6"/>
  <c r="N278" i="6"/>
  <c r="O278" i="6"/>
  <c r="P278" i="6"/>
  <c r="Q278" i="6"/>
  <c r="R278" i="6"/>
  <c r="S278" i="6"/>
  <c r="T278" i="6"/>
  <c r="U278" i="6"/>
  <c r="V278" i="6"/>
  <c r="W278" i="6"/>
  <c r="X278" i="6"/>
  <c r="Y278" i="6"/>
  <c r="Z278" i="6"/>
  <c r="AA278" i="6"/>
  <c r="AB278" i="6"/>
  <c r="N287" i="6"/>
  <c r="O287" i="6"/>
  <c r="P287" i="6"/>
  <c r="Q287" i="6"/>
  <c r="R287" i="6"/>
  <c r="S287" i="6"/>
  <c r="T287" i="6"/>
  <c r="U287" i="6"/>
  <c r="V287" i="6"/>
  <c r="W287" i="6"/>
  <c r="X287" i="6"/>
  <c r="Y287" i="6"/>
  <c r="Z287" i="6"/>
  <c r="AA287" i="6"/>
  <c r="AB287" i="6"/>
  <c r="N295" i="6"/>
  <c r="O295" i="6"/>
  <c r="P295" i="6"/>
  <c r="Q295" i="6"/>
  <c r="R295" i="6"/>
  <c r="S295" i="6"/>
  <c r="T295" i="6"/>
  <c r="U295" i="6"/>
  <c r="V295" i="6"/>
  <c r="W295" i="6"/>
  <c r="X295" i="6"/>
  <c r="Y295" i="6"/>
  <c r="Z295" i="6"/>
  <c r="AA295" i="6"/>
  <c r="AB295" i="6"/>
  <c r="N304" i="6"/>
  <c r="O304" i="6"/>
  <c r="P304" i="6"/>
  <c r="Q304" i="6"/>
  <c r="R304" i="6"/>
  <c r="S304" i="6"/>
  <c r="T304" i="6"/>
  <c r="U304" i="6"/>
  <c r="V304" i="6"/>
  <c r="W304" i="6"/>
  <c r="X304" i="6"/>
  <c r="Y304" i="6"/>
  <c r="Z304" i="6"/>
  <c r="AA304" i="6"/>
  <c r="AB304" i="6"/>
  <c r="N310" i="6"/>
  <c r="O310" i="6"/>
  <c r="P310" i="6"/>
  <c r="Q310" i="6"/>
  <c r="R310" i="6"/>
  <c r="S310" i="6"/>
  <c r="T310" i="6"/>
  <c r="U310" i="6"/>
  <c r="V310" i="6"/>
  <c r="W310" i="6"/>
  <c r="X310" i="6"/>
  <c r="Y310" i="6"/>
  <c r="Z310" i="6"/>
  <c r="AA310" i="6"/>
  <c r="AB310" i="6"/>
  <c r="M310" i="6"/>
  <c r="M295" i="6"/>
  <c r="M287" i="6"/>
  <c r="M278" i="6"/>
  <c r="M250" i="6"/>
  <c r="M243" i="6"/>
  <c r="M233" i="6"/>
  <c r="M223" i="6"/>
  <c r="M210" i="6"/>
  <c r="M195" i="6"/>
  <c r="M174" i="6"/>
  <c r="M165" i="6"/>
  <c r="M159" i="6"/>
  <c r="M150" i="6"/>
  <c r="M119" i="6"/>
  <c r="M110" i="6"/>
  <c r="M102" i="6"/>
  <c r="M88" i="6"/>
  <c r="M76" i="6"/>
  <c r="M70" i="6"/>
  <c r="M64" i="6"/>
  <c r="M53" i="6"/>
  <c r="M45" i="6"/>
  <c r="M34" i="6"/>
  <c r="M26" i="6"/>
  <c r="M17" i="6"/>
  <c r="Y41" i="16" l="1"/>
  <c r="Y47" i="16"/>
  <c r="X48" i="16"/>
  <c r="I36" i="16"/>
  <c r="AR323" i="12"/>
  <c r="AS323" i="12"/>
  <c r="V323" i="11"/>
  <c r="P17" i="10"/>
  <c r="V17" i="8"/>
  <c r="P53" i="8"/>
  <c r="AB64" i="8"/>
  <c r="V88" i="8"/>
  <c r="P150" i="8"/>
  <c r="AB159" i="8"/>
  <c r="V195" i="8"/>
  <c r="U195" i="8" s="1"/>
  <c r="P243" i="8"/>
  <c r="AB250" i="8"/>
  <c r="V295" i="8"/>
  <c r="V26" i="8"/>
  <c r="U26" i="8" s="1"/>
  <c r="P64" i="8"/>
  <c r="AB70" i="8"/>
  <c r="V102" i="8"/>
  <c r="U102" i="8" s="1"/>
  <c r="P159" i="8"/>
  <c r="AB165" i="8"/>
  <c r="V210" i="8"/>
  <c r="U210" i="8" s="1"/>
  <c r="P250" i="8"/>
  <c r="AB278" i="8"/>
  <c r="V304" i="8"/>
  <c r="U76" i="8"/>
  <c r="V34" i="8"/>
  <c r="U34" i="8" s="1"/>
  <c r="P70" i="8"/>
  <c r="AB76" i="8"/>
  <c r="V110" i="8"/>
  <c r="P165" i="8"/>
  <c r="AB174" i="8"/>
  <c r="U174" i="8" s="1"/>
  <c r="V223" i="8"/>
  <c r="P278" i="8"/>
  <c r="AB287" i="8"/>
  <c r="U287" i="8" s="1"/>
  <c r="V310" i="8"/>
  <c r="AB17" i="8"/>
  <c r="V45" i="8"/>
  <c r="P76" i="8"/>
  <c r="AB88" i="8"/>
  <c r="V119" i="8"/>
  <c r="AB195" i="8"/>
  <c r="V233" i="8"/>
  <c r="U233" i="8" s="1"/>
  <c r="P287" i="8"/>
  <c r="AB295" i="8"/>
  <c r="U53" i="8"/>
  <c r="V150" i="8"/>
  <c r="U150" i="8" s="1"/>
  <c r="V243" i="8"/>
  <c r="U243" i="8" s="1"/>
  <c r="P295" i="8"/>
  <c r="AB304" i="8"/>
  <c r="K323" i="8"/>
  <c r="P26" i="8"/>
  <c r="AB34" i="8"/>
  <c r="V64" i="8"/>
  <c r="U64" i="8" s="1"/>
  <c r="P102" i="8"/>
  <c r="AB110" i="8"/>
  <c r="V159" i="8"/>
  <c r="AB223" i="8"/>
  <c r="V250" i="8"/>
  <c r="U250" i="8" s="1"/>
  <c r="AB310" i="8"/>
  <c r="P34" i="8"/>
  <c r="AB45" i="8"/>
  <c r="V70" i="8"/>
  <c r="U70" i="8" s="1"/>
  <c r="P110" i="8"/>
  <c r="AB119" i="8"/>
  <c r="V165" i="8"/>
  <c r="U165" i="8" s="1"/>
  <c r="P223" i="8"/>
  <c r="I223" i="8" s="1"/>
  <c r="AB233" i="8"/>
  <c r="V278" i="8"/>
  <c r="U278" i="8" s="1"/>
  <c r="P310" i="8"/>
  <c r="AM285" i="6"/>
  <c r="AM11" i="6"/>
  <c r="AM297" i="6"/>
  <c r="AM288" i="6"/>
  <c r="AM279" i="6"/>
  <c r="AM268" i="6"/>
  <c r="AM259" i="6"/>
  <c r="AM251" i="6"/>
  <c r="AM241" i="6"/>
  <c r="AM224" i="6"/>
  <c r="AM206" i="6"/>
  <c r="AM189" i="6"/>
  <c r="AM181" i="6"/>
  <c r="AM163" i="6"/>
  <c r="AM145" i="6"/>
  <c r="AM137" i="6"/>
  <c r="AM128" i="6"/>
  <c r="AM120" i="6"/>
  <c r="AM111" i="6"/>
  <c r="AM101" i="6"/>
  <c r="AM93" i="6"/>
  <c r="AM84" i="6"/>
  <c r="AM66" i="6"/>
  <c r="AM48" i="6"/>
  <c r="AM30" i="6"/>
  <c r="AM21" i="6"/>
  <c r="AM12" i="6"/>
  <c r="K11" i="3"/>
  <c r="I307" i="11"/>
  <c r="I280" i="11"/>
  <c r="I269" i="11"/>
  <c r="I242" i="11"/>
  <c r="AS242" i="11" s="1"/>
  <c r="I225" i="11"/>
  <c r="I216" i="11"/>
  <c r="I173" i="11"/>
  <c r="AS173" i="11" s="1"/>
  <c r="I138" i="11"/>
  <c r="AS138" i="11" s="1"/>
  <c r="I112" i="11"/>
  <c r="I103" i="11"/>
  <c r="I49" i="11"/>
  <c r="I31" i="11"/>
  <c r="AS31" i="11" s="1"/>
  <c r="I315" i="8"/>
  <c r="Y40" i="16"/>
  <c r="N48" i="16"/>
  <c r="Y35" i="16"/>
  <c r="L5" i="15"/>
  <c r="T36" i="16"/>
  <c r="S307" i="10"/>
  <c r="S298" i="10"/>
  <c r="S289" i="10"/>
  <c r="S280" i="10"/>
  <c r="S242" i="10"/>
  <c r="S234" i="10"/>
  <c r="S225" i="10"/>
  <c r="S216" i="10"/>
  <c r="S207" i="10"/>
  <c r="S199" i="10"/>
  <c r="S190" i="10"/>
  <c r="S182" i="10"/>
  <c r="S155" i="10"/>
  <c r="S146" i="10"/>
  <c r="S138" i="10"/>
  <c r="S129" i="10"/>
  <c r="S121" i="10"/>
  <c r="S112" i="10"/>
  <c r="S103" i="10"/>
  <c r="S94" i="10"/>
  <c r="S85" i="10"/>
  <c r="S77" i="10"/>
  <c r="S67" i="10"/>
  <c r="S40" i="10"/>
  <c r="S31" i="10"/>
  <c r="S22" i="10"/>
  <c r="S13" i="10"/>
  <c r="J34" i="12"/>
  <c r="J110" i="12"/>
  <c r="J223" i="12"/>
  <c r="J26" i="12"/>
  <c r="J53" i="12"/>
  <c r="J150" i="12"/>
  <c r="J243" i="12"/>
  <c r="J64" i="12"/>
  <c r="J159" i="12"/>
  <c r="J250" i="12"/>
  <c r="J17" i="12"/>
  <c r="J88" i="12"/>
  <c r="J304" i="12"/>
  <c r="I308" i="12"/>
  <c r="BM308" i="12" s="1"/>
  <c r="K304" i="12"/>
  <c r="L295" i="12"/>
  <c r="N278" i="12"/>
  <c r="K223" i="12"/>
  <c r="L210" i="12"/>
  <c r="M195" i="12"/>
  <c r="N174" i="12"/>
  <c r="K110" i="12"/>
  <c r="L102" i="12"/>
  <c r="M88" i="12"/>
  <c r="N76" i="12"/>
  <c r="K34" i="12"/>
  <c r="L26" i="12"/>
  <c r="M17" i="12"/>
  <c r="K76" i="12"/>
  <c r="L70" i="12"/>
  <c r="M64" i="12"/>
  <c r="N53" i="12"/>
  <c r="I275" i="11"/>
  <c r="AS275" i="11" s="1"/>
  <c r="I221" i="11"/>
  <c r="I28" i="11"/>
  <c r="AS28" i="11" s="1"/>
  <c r="I294" i="11"/>
  <c r="I63" i="10"/>
  <c r="I55" i="10"/>
  <c r="I46" i="10"/>
  <c r="I19" i="10"/>
  <c r="M34" i="10"/>
  <c r="Z34" i="10"/>
  <c r="P53" i="10"/>
  <c r="T70" i="10"/>
  <c r="W88" i="10"/>
  <c r="M110" i="10"/>
  <c r="Z110" i="10"/>
  <c r="P150" i="10"/>
  <c r="T165" i="10"/>
  <c r="W195" i="10"/>
  <c r="M223" i="10"/>
  <c r="Z223" i="10"/>
  <c r="P243" i="10"/>
  <c r="T271" i="10"/>
  <c r="S315" i="10"/>
  <c r="S306" i="10"/>
  <c r="S297" i="10"/>
  <c r="S288" i="10"/>
  <c r="S268" i="10"/>
  <c r="S259" i="10"/>
  <c r="S251" i="10"/>
  <c r="S241" i="10"/>
  <c r="S232" i="10"/>
  <c r="S224" i="10"/>
  <c r="S215" i="10"/>
  <c r="S206" i="10"/>
  <c r="S198" i="10"/>
  <c r="S163" i="10"/>
  <c r="S154" i="10"/>
  <c r="S145" i="10"/>
  <c r="S137" i="10"/>
  <c r="S128" i="10"/>
  <c r="S120" i="10"/>
  <c r="S111" i="10"/>
  <c r="S101" i="10"/>
  <c r="S93" i="10"/>
  <c r="I322" i="8"/>
  <c r="AG322" i="8" s="1"/>
  <c r="I314" i="8"/>
  <c r="J34" i="8"/>
  <c r="J223" i="8"/>
  <c r="J304" i="8"/>
  <c r="I313" i="8"/>
  <c r="I219" i="8"/>
  <c r="I124" i="8"/>
  <c r="I80" i="8"/>
  <c r="I61" i="8"/>
  <c r="I291" i="8"/>
  <c r="I282" i="8"/>
  <c r="I245" i="8"/>
  <c r="I192" i="8"/>
  <c r="I167" i="8"/>
  <c r="I157" i="8"/>
  <c r="I79" i="8"/>
  <c r="Y17" i="16"/>
  <c r="I321" i="8"/>
  <c r="AG321" i="8" s="1"/>
  <c r="I201" i="8"/>
  <c r="Y23" i="16"/>
  <c r="Y19" i="16"/>
  <c r="I24" i="8"/>
  <c r="R48" i="16"/>
  <c r="O29" i="16"/>
  <c r="T21" i="16"/>
  <c r="O8" i="16"/>
  <c r="N24" i="15"/>
  <c r="O12" i="16"/>
  <c r="K5" i="15"/>
  <c r="N22" i="15"/>
  <c r="N18" i="15"/>
  <c r="N19" i="15"/>
  <c r="N23" i="15"/>
  <c r="Y11" i="16"/>
  <c r="I8" i="16"/>
  <c r="I302" i="11"/>
  <c r="AS302" i="11" s="1"/>
  <c r="I284" i="11"/>
  <c r="AS284" i="11" s="1"/>
  <c r="I264" i="11"/>
  <c r="AS264" i="11" s="1"/>
  <c r="I169" i="11"/>
  <c r="I116" i="11"/>
  <c r="J70" i="12"/>
  <c r="J165" i="12"/>
  <c r="J271" i="12"/>
  <c r="K295" i="12"/>
  <c r="L287" i="12"/>
  <c r="M278" i="12"/>
  <c r="N271" i="12"/>
  <c r="K210" i="12"/>
  <c r="L195" i="12"/>
  <c r="M174" i="12"/>
  <c r="N165" i="12"/>
  <c r="K102" i="12"/>
  <c r="L88" i="12"/>
  <c r="M76" i="12"/>
  <c r="N70" i="12"/>
  <c r="K26" i="12"/>
  <c r="L17" i="12"/>
  <c r="AK323" i="6"/>
  <c r="J76" i="12"/>
  <c r="J174" i="12"/>
  <c r="J278" i="12"/>
  <c r="K287" i="12"/>
  <c r="L278" i="12"/>
  <c r="M271" i="12"/>
  <c r="N250" i="12"/>
  <c r="K195" i="12"/>
  <c r="L174" i="12"/>
  <c r="M165" i="12"/>
  <c r="N159" i="12"/>
  <c r="K88" i="12"/>
  <c r="L76" i="12"/>
  <c r="M70" i="12"/>
  <c r="N64" i="12"/>
  <c r="K17" i="12"/>
  <c r="J45" i="10"/>
  <c r="J119" i="10"/>
  <c r="J233" i="10"/>
  <c r="J310" i="10"/>
  <c r="P210" i="10"/>
  <c r="W287" i="10"/>
  <c r="M304" i="10"/>
  <c r="Z304" i="10"/>
  <c r="I320" i="10"/>
  <c r="I312" i="10"/>
  <c r="I302" i="10"/>
  <c r="I274" i="10"/>
  <c r="I264" i="10"/>
  <c r="I256" i="10"/>
  <c r="I247" i="10"/>
  <c r="J195" i="12"/>
  <c r="J287" i="12"/>
  <c r="M287" i="12"/>
  <c r="K278" i="12"/>
  <c r="L271" i="12"/>
  <c r="M250" i="12"/>
  <c r="N243" i="12"/>
  <c r="K174" i="12"/>
  <c r="L165" i="12"/>
  <c r="M159" i="12"/>
  <c r="N150" i="12"/>
  <c r="J102" i="12"/>
  <c r="J210" i="12"/>
  <c r="J295" i="12"/>
  <c r="N310" i="12"/>
  <c r="K271" i="12"/>
  <c r="M243" i="12"/>
  <c r="N233" i="12"/>
  <c r="K165" i="12"/>
  <c r="L159" i="12"/>
  <c r="M150" i="12"/>
  <c r="N119" i="12"/>
  <c r="K70" i="12"/>
  <c r="L64" i="12"/>
  <c r="M53" i="12"/>
  <c r="N45" i="12"/>
  <c r="Y43" i="16"/>
  <c r="Y25" i="16"/>
  <c r="L310" i="11"/>
  <c r="N295" i="11"/>
  <c r="M250" i="11"/>
  <c r="K195" i="11"/>
  <c r="AR323" i="11"/>
  <c r="AJ323" i="11"/>
  <c r="M53" i="11"/>
  <c r="K17" i="11"/>
  <c r="AS307" i="11"/>
  <c r="M310" i="12"/>
  <c r="N304" i="12"/>
  <c r="K250" i="12"/>
  <c r="L243" i="12"/>
  <c r="M233" i="12"/>
  <c r="N223" i="12"/>
  <c r="K159" i="12"/>
  <c r="L150" i="12"/>
  <c r="M119" i="12"/>
  <c r="N110" i="12"/>
  <c r="K64" i="12"/>
  <c r="L53" i="12"/>
  <c r="M45" i="12"/>
  <c r="N34" i="12"/>
  <c r="AM291" i="6"/>
  <c r="AM272" i="6"/>
  <c r="AM262" i="6"/>
  <c r="AM254" i="6"/>
  <c r="AM209" i="6"/>
  <c r="AM201" i="6"/>
  <c r="AM184" i="6"/>
  <c r="AM167" i="6"/>
  <c r="AM96" i="6"/>
  <c r="AM69" i="6"/>
  <c r="AM24" i="6"/>
  <c r="I311" i="8"/>
  <c r="I301" i="8"/>
  <c r="I283" i="8"/>
  <c r="I211" i="8"/>
  <c r="I177" i="8"/>
  <c r="I25" i="8"/>
  <c r="I16" i="8"/>
  <c r="W26" i="10"/>
  <c r="M45" i="10"/>
  <c r="T76" i="10"/>
  <c r="W102" i="10"/>
  <c r="M119" i="10"/>
  <c r="Z119" i="10"/>
  <c r="P159" i="10"/>
  <c r="T174" i="10"/>
  <c r="W210" i="10"/>
  <c r="M233" i="10"/>
  <c r="P250" i="10"/>
  <c r="T278" i="10"/>
  <c r="W295" i="10"/>
  <c r="M310" i="10"/>
  <c r="I244" i="10"/>
  <c r="J45" i="12"/>
  <c r="J119" i="12"/>
  <c r="J233" i="12"/>
  <c r="J310" i="12"/>
  <c r="L310" i="12"/>
  <c r="M304" i="12"/>
  <c r="N295" i="12"/>
  <c r="K243" i="12"/>
  <c r="L233" i="12"/>
  <c r="M223" i="12"/>
  <c r="N210" i="12"/>
  <c r="K150" i="12"/>
  <c r="L119" i="12"/>
  <c r="M110" i="12"/>
  <c r="N102" i="12"/>
  <c r="K53" i="12"/>
  <c r="L45" i="12"/>
  <c r="M34" i="12"/>
  <c r="N26" i="12"/>
  <c r="K310" i="12"/>
  <c r="L304" i="12"/>
  <c r="M295" i="12"/>
  <c r="N287" i="12"/>
  <c r="L250" i="12"/>
  <c r="K233" i="12"/>
  <c r="L223" i="12"/>
  <c r="M210" i="12"/>
  <c r="N195" i="12"/>
  <c r="K119" i="12"/>
  <c r="L110" i="12"/>
  <c r="M102" i="12"/>
  <c r="N88" i="12"/>
  <c r="K45" i="12"/>
  <c r="L34" i="12"/>
  <c r="M26" i="12"/>
  <c r="N17" i="12"/>
  <c r="S323" i="12"/>
  <c r="L48" i="16"/>
  <c r="AS216" i="11"/>
  <c r="AS103" i="11"/>
  <c r="AS49" i="11"/>
  <c r="Y45" i="16"/>
  <c r="Y37" i="16"/>
  <c r="Y27" i="16"/>
  <c r="Y18" i="16"/>
  <c r="I217" i="10"/>
  <c r="AC217" i="10" s="1"/>
  <c r="I208" i="10"/>
  <c r="I200" i="10"/>
  <c r="AC200" i="10" s="1"/>
  <c r="I191" i="10"/>
  <c r="I183" i="10"/>
  <c r="I175" i="10"/>
  <c r="AC175" i="10" s="1"/>
  <c r="I156" i="10"/>
  <c r="I104" i="10"/>
  <c r="I95" i="10"/>
  <c r="I86" i="10"/>
  <c r="I78" i="10"/>
  <c r="AC78" i="10" s="1"/>
  <c r="I59" i="10"/>
  <c r="I32" i="10"/>
  <c r="I23" i="10"/>
  <c r="AC23" i="10" s="1"/>
  <c r="I14" i="10"/>
  <c r="AC14" i="10" s="1"/>
  <c r="I191" i="11"/>
  <c r="I183" i="11"/>
  <c r="I175" i="11"/>
  <c r="AS175" i="11" s="1"/>
  <c r="S48" i="16"/>
  <c r="Y44" i="16"/>
  <c r="J304" i="11"/>
  <c r="Y39" i="16"/>
  <c r="I282" i="12"/>
  <c r="BM282" i="12" s="1"/>
  <c r="I315" i="11"/>
  <c r="I241" i="11"/>
  <c r="I232" i="11"/>
  <c r="AS232" i="11" s="1"/>
  <c r="I189" i="11"/>
  <c r="AS189" i="11" s="1"/>
  <c r="I181" i="11"/>
  <c r="AS181" i="11" s="1"/>
  <c r="I145" i="11"/>
  <c r="I137" i="11"/>
  <c r="AS137" i="11" s="1"/>
  <c r="I128" i="11"/>
  <c r="AS128" i="11" s="1"/>
  <c r="I111" i="11"/>
  <c r="I12" i="11"/>
  <c r="I220" i="10"/>
  <c r="I212" i="10"/>
  <c r="I169" i="10"/>
  <c r="I160" i="10"/>
  <c r="I151" i="10"/>
  <c r="I116" i="10"/>
  <c r="I107" i="10"/>
  <c r="I72" i="10"/>
  <c r="I62" i="10"/>
  <c r="I54" i="10"/>
  <c r="I44" i="10"/>
  <c r="I36" i="10"/>
  <c r="I27" i="10"/>
  <c r="S48" i="10"/>
  <c r="S39" i="10"/>
  <c r="S30" i="10"/>
  <c r="S21" i="10"/>
  <c r="S12" i="10"/>
  <c r="I209" i="11"/>
  <c r="AS209" i="11" s="1"/>
  <c r="I105" i="11"/>
  <c r="AS105" i="11" s="1"/>
  <c r="I96" i="11"/>
  <c r="AS96" i="11" s="1"/>
  <c r="I87" i="11"/>
  <c r="AS87" i="11" s="1"/>
  <c r="I79" i="11"/>
  <c r="I24" i="11"/>
  <c r="W48" i="16"/>
  <c r="AM235" i="6"/>
  <c r="AM226" i="6"/>
  <c r="AM217" i="6"/>
  <c r="AM191" i="6"/>
  <c r="AM183" i="6"/>
  <c r="AM175" i="6"/>
  <c r="AM166" i="6"/>
  <c r="AM147" i="6"/>
  <c r="AM139" i="6"/>
  <c r="AM131" i="6"/>
  <c r="AM122" i="6"/>
  <c r="AM113" i="6"/>
  <c r="AM104" i="6"/>
  <c r="AM86" i="6"/>
  <c r="AM78" i="6"/>
  <c r="AM68" i="6"/>
  <c r="AM50" i="6"/>
  <c r="AM32" i="6"/>
  <c r="AM14" i="6"/>
  <c r="AM307" i="6"/>
  <c r="AM316" i="6"/>
  <c r="AM289" i="6"/>
  <c r="AM280" i="6"/>
  <c r="AM319" i="6"/>
  <c r="AM311" i="6"/>
  <c r="AM301" i="6"/>
  <c r="AM283" i="6"/>
  <c r="AM273" i="6"/>
  <c r="AM263" i="6"/>
  <c r="AM255" i="6"/>
  <c r="AM246" i="6"/>
  <c r="AM237" i="6"/>
  <c r="AM219" i="6"/>
  <c r="AM211" i="6"/>
  <c r="AM193" i="6"/>
  <c r="AM106" i="6"/>
  <c r="AM80" i="6"/>
  <c r="AM61" i="6"/>
  <c r="AM52" i="6"/>
  <c r="AM16" i="6"/>
  <c r="I247" i="11"/>
  <c r="AS247" i="11" s="1"/>
  <c r="I277" i="11"/>
  <c r="AS277" i="11" s="1"/>
  <c r="I272" i="11"/>
  <c r="AS272" i="11" s="1"/>
  <c r="I239" i="11"/>
  <c r="AS239" i="11" s="1"/>
  <c r="I231" i="11"/>
  <c r="AS231" i="11" s="1"/>
  <c r="I215" i="11"/>
  <c r="I151" i="11"/>
  <c r="AS151" i="11" s="1"/>
  <c r="I143" i="11"/>
  <c r="AS143" i="11" s="1"/>
  <c r="I135" i="11"/>
  <c r="AS135" i="11" s="1"/>
  <c r="I47" i="11"/>
  <c r="AS47" i="11" s="1"/>
  <c r="I44" i="11"/>
  <c r="AS44" i="11" s="1"/>
  <c r="I19" i="11"/>
  <c r="AS19" i="11" s="1"/>
  <c r="AN323" i="11"/>
  <c r="I185" i="11"/>
  <c r="AS185" i="11" s="1"/>
  <c r="I141" i="11"/>
  <c r="AS141" i="11" s="1"/>
  <c r="I71" i="11"/>
  <c r="AS71" i="11" s="1"/>
  <c r="L295" i="11"/>
  <c r="N278" i="11"/>
  <c r="L26" i="11"/>
  <c r="I293" i="11"/>
  <c r="I286" i="11"/>
  <c r="AS286" i="11" s="1"/>
  <c r="I249" i="11"/>
  <c r="I240" i="11"/>
  <c r="AS240" i="11" s="1"/>
  <c r="I205" i="11"/>
  <c r="AS205" i="11" s="1"/>
  <c r="I197" i="11"/>
  <c r="AS197" i="11" s="1"/>
  <c r="I153" i="11"/>
  <c r="AS153" i="11" s="1"/>
  <c r="I144" i="11"/>
  <c r="AS144" i="11" s="1"/>
  <c r="I136" i="11"/>
  <c r="AS136" i="11" s="1"/>
  <c r="I127" i="11"/>
  <c r="AS127" i="11" s="1"/>
  <c r="I100" i="11"/>
  <c r="AS100" i="11" s="1"/>
  <c r="I13" i="11"/>
  <c r="AS13" i="11" s="1"/>
  <c r="AD323" i="11"/>
  <c r="AS191" i="11"/>
  <c r="I149" i="11"/>
  <c r="AS149" i="11" s="1"/>
  <c r="I124" i="11"/>
  <c r="AS124" i="11" s="1"/>
  <c r="I35" i="11"/>
  <c r="AS35" i="11" s="1"/>
  <c r="J64" i="11"/>
  <c r="J159" i="11"/>
  <c r="J250" i="11"/>
  <c r="L150" i="11"/>
  <c r="I270" i="11"/>
  <c r="AS270" i="11" s="1"/>
  <c r="I261" i="11"/>
  <c r="AS261" i="11" s="1"/>
  <c r="I253" i="11"/>
  <c r="AS253" i="11" s="1"/>
  <c r="I217" i="11"/>
  <c r="AS217" i="11" s="1"/>
  <c r="AS215" i="11"/>
  <c r="I208" i="11"/>
  <c r="AS208" i="11" s="1"/>
  <c r="I200" i="11"/>
  <c r="AS200" i="11" s="1"/>
  <c r="I104" i="11"/>
  <c r="AS104" i="11" s="1"/>
  <c r="I95" i="11"/>
  <c r="AS95" i="11" s="1"/>
  <c r="I54" i="11"/>
  <c r="AS54" i="11" s="1"/>
  <c r="I36" i="11"/>
  <c r="AS36" i="11" s="1"/>
  <c r="I32" i="11"/>
  <c r="AS32" i="11" s="1"/>
  <c r="I16" i="11"/>
  <c r="AS16" i="11" s="1"/>
  <c r="X323" i="11"/>
  <c r="K310" i="11"/>
  <c r="I292" i="11"/>
  <c r="AS292" i="11" s="1"/>
  <c r="I237" i="11"/>
  <c r="AS237" i="11" s="1"/>
  <c r="I133" i="11"/>
  <c r="AS133" i="11" s="1"/>
  <c r="AB323" i="11"/>
  <c r="L278" i="11"/>
  <c r="L174" i="11"/>
  <c r="I256" i="11"/>
  <c r="AS256" i="11" s="1"/>
  <c r="I229" i="11"/>
  <c r="AS229" i="11" s="1"/>
  <c r="I167" i="11"/>
  <c r="AS167" i="11" s="1"/>
  <c r="I160" i="11"/>
  <c r="AS160" i="11" s="1"/>
  <c r="AS116" i="11"/>
  <c r="I72" i="11"/>
  <c r="AS72" i="11" s="1"/>
  <c r="AF323" i="11"/>
  <c r="M295" i="11"/>
  <c r="I193" i="11"/>
  <c r="AS193" i="11" s="1"/>
  <c r="I80" i="11"/>
  <c r="AS80" i="11" s="1"/>
  <c r="J278" i="11"/>
  <c r="L304" i="11"/>
  <c r="N287" i="11"/>
  <c r="K278" i="11"/>
  <c r="M64" i="11"/>
  <c r="AS315" i="11"/>
  <c r="I285" i="11"/>
  <c r="I224" i="11"/>
  <c r="AS224" i="11" s="1"/>
  <c r="I120" i="11"/>
  <c r="AS120" i="11" s="1"/>
  <c r="AS111" i="11"/>
  <c r="I39" i="11"/>
  <c r="AS39" i="11" s="1"/>
  <c r="I18" i="11"/>
  <c r="AS18" i="11" s="1"/>
  <c r="J310" i="11"/>
  <c r="I177" i="11"/>
  <c r="AS177" i="11" s="1"/>
  <c r="I89" i="11"/>
  <c r="AS89" i="11" s="1"/>
  <c r="N310" i="11"/>
  <c r="K304" i="11"/>
  <c r="M287" i="11"/>
  <c r="M88" i="11"/>
  <c r="I318" i="11"/>
  <c r="AS318" i="11" s="1"/>
  <c r="I300" i="11"/>
  <c r="AS300" i="11" s="1"/>
  <c r="I245" i="11"/>
  <c r="AS245" i="11" s="1"/>
  <c r="I207" i="11"/>
  <c r="AS207" i="11" s="1"/>
  <c r="I201" i="11"/>
  <c r="AS201" i="11" s="1"/>
  <c r="I199" i="11"/>
  <c r="AS199" i="11" s="1"/>
  <c r="I192" i="11"/>
  <c r="AS192" i="11" s="1"/>
  <c r="I184" i="11"/>
  <c r="AS184" i="11" s="1"/>
  <c r="I176" i="11"/>
  <c r="AS176" i="11" s="1"/>
  <c r="I157" i="11"/>
  <c r="AS157" i="11" s="1"/>
  <c r="AS79" i="11"/>
  <c r="I51" i="11"/>
  <c r="AS51" i="11" s="1"/>
  <c r="AL323" i="11"/>
  <c r="J119" i="11"/>
  <c r="AS183" i="11"/>
  <c r="I168" i="11"/>
  <c r="AS168" i="11" s="1"/>
  <c r="I22" i="11"/>
  <c r="AS22" i="11" s="1"/>
  <c r="M310" i="11"/>
  <c r="M304" i="11"/>
  <c r="K295" i="11"/>
  <c r="J295" i="11"/>
  <c r="K287" i="11"/>
  <c r="J287" i="11"/>
  <c r="L287" i="11"/>
  <c r="M271" i="11"/>
  <c r="L271" i="11"/>
  <c r="N271" i="11"/>
  <c r="K250" i="11"/>
  <c r="K243" i="11"/>
  <c r="M233" i="11"/>
  <c r="L195" i="11"/>
  <c r="N165" i="11"/>
  <c r="K159" i="11"/>
  <c r="M119" i="11"/>
  <c r="L88" i="11"/>
  <c r="AQ323" i="11"/>
  <c r="AI323" i="11"/>
  <c r="AA323" i="11"/>
  <c r="N70" i="11"/>
  <c r="K64" i="11"/>
  <c r="AK323" i="11"/>
  <c r="AC323" i="11"/>
  <c r="AP323" i="11"/>
  <c r="AH323" i="11"/>
  <c r="Z323" i="11"/>
  <c r="M45" i="11"/>
  <c r="AM323" i="11"/>
  <c r="AE323" i="11"/>
  <c r="AO323" i="11"/>
  <c r="AG323" i="11"/>
  <c r="Y323" i="11"/>
  <c r="L17" i="11"/>
  <c r="I301" i="11"/>
  <c r="AS301" i="11" s="1"/>
  <c r="I265" i="11"/>
  <c r="AS265" i="11" s="1"/>
  <c r="I257" i="11"/>
  <c r="AS257" i="11" s="1"/>
  <c r="I255" i="11"/>
  <c r="AS255" i="11" s="1"/>
  <c r="I248" i="11"/>
  <c r="AS248" i="11" s="1"/>
  <c r="AS221" i="11"/>
  <c r="I213" i="11"/>
  <c r="AS213" i="11" s="1"/>
  <c r="I161" i="11"/>
  <c r="AS161" i="11" s="1"/>
  <c r="I152" i="11"/>
  <c r="AS152" i="11" s="1"/>
  <c r="I63" i="11"/>
  <c r="AS63" i="11" s="1"/>
  <c r="I58" i="11"/>
  <c r="AS58" i="11" s="1"/>
  <c r="I55" i="11"/>
  <c r="AS55" i="11" s="1"/>
  <c r="I15" i="11"/>
  <c r="AS15" i="11" s="1"/>
  <c r="M70" i="11"/>
  <c r="AS293" i="11"/>
  <c r="I273" i="11"/>
  <c r="AS273" i="11" s="1"/>
  <c r="J76" i="11"/>
  <c r="J174" i="11"/>
  <c r="N243" i="11"/>
  <c r="K233" i="11"/>
  <c r="M210" i="11"/>
  <c r="L165" i="11"/>
  <c r="N150" i="11"/>
  <c r="K119" i="11"/>
  <c r="M102" i="11"/>
  <c r="T323" i="11"/>
  <c r="Q323" i="11"/>
  <c r="L70" i="11"/>
  <c r="N53" i="11"/>
  <c r="P323" i="11"/>
  <c r="K45" i="11"/>
  <c r="U323" i="11"/>
  <c r="R323" i="11"/>
  <c r="M26" i="11"/>
  <c r="W323" i="11"/>
  <c r="I319" i="11"/>
  <c r="AS319" i="11" s="1"/>
  <c r="I317" i="11"/>
  <c r="AS317" i="11" s="1"/>
  <c r="I311" i="11"/>
  <c r="AS311" i="11" s="1"/>
  <c r="I309" i="11"/>
  <c r="AS309" i="11" s="1"/>
  <c r="I298" i="11"/>
  <c r="AS298" i="11" s="1"/>
  <c r="I290" i="11"/>
  <c r="AS290" i="11" s="1"/>
  <c r="I282" i="11"/>
  <c r="AS282" i="11" s="1"/>
  <c r="I263" i="11"/>
  <c r="AS263" i="11" s="1"/>
  <c r="AS241" i="11"/>
  <c r="AS112" i="11"/>
  <c r="I20" i="11"/>
  <c r="AS20" i="11" s="1"/>
  <c r="L45" i="11"/>
  <c r="J17" i="11"/>
  <c r="J323" i="11" s="1"/>
  <c r="J88" i="11"/>
  <c r="J195" i="11"/>
  <c r="N304" i="11"/>
  <c r="K271" i="11"/>
  <c r="M243" i="11"/>
  <c r="L210" i="11"/>
  <c r="N174" i="11"/>
  <c r="K165" i="11"/>
  <c r="M150" i="11"/>
  <c r="L102" i="11"/>
  <c r="N76" i="11"/>
  <c r="K70" i="11"/>
  <c r="I322" i="11"/>
  <c r="AS322" i="11" s="1"/>
  <c r="I314" i="11"/>
  <c r="AS314" i="11" s="1"/>
  <c r="I306" i="11"/>
  <c r="AS306" i="11" s="1"/>
  <c r="AS269" i="11"/>
  <c r="L119" i="11"/>
  <c r="N26" i="11"/>
  <c r="I303" i="11"/>
  <c r="AS303" i="11" s="1"/>
  <c r="J26" i="11"/>
  <c r="J102" i="11"/>
  <c r="J210" i="11"/>
  <c r="M278" i="11"/>
  <c r="L243" i="11"/>
  <c r="N223" i="11"/>
  <c r="K210" i="11"/>
  <c r="M174" i="11"/>
  <c r="N110" i="11"/>
  <c r="K102" i="11"/>
  <c r="M76" i="11"/>
  <c r="L53" i="11"/>
  <c r="N34" i="11"/>
  <c r="K26" i="11"/>
  <c r="I296" i="11"/>
  <c r="AS296" i="11" s="1"/>
  <c r="I288" i="11"/>
  <c r="AS288" i="11" s="1"/>
  <c r="AS280" i="11"/>
  <c r="I274" i="11"/>
  <c r="AS274" i="11" s="1"/>
  <c r="AS169" i="11"/>
  <c r="J271" i="11"/>
  <c r="M165" i="11"/>
  <c r="N102" i="11"/>
  <c r="I316" i="11"/>
  <c r="AS316" i="11" s="1"/>
  <c r="I279" i="11"/>
  <c r="AS279" i="11" s="1"/>
  <c r="J34" i="11"/>
  <c r="J110" i="11"/>
  <c r="J223" i="11"/>
  <c r="S323" i="11"/>
  <c r="N250" i="11"/>
  <c r="M223" i="11"/>
  <c r="N159" i="11"/>
  <c r="K150" i="11"/>
  <c r="M110" i="11"/>
  <c r="L76" i="11"/>
  <c r="N64" i="11"/>
  <c r="K53" i="11"/>
  <c r="M34" i="11"/>
  <c r="I320" i="11"/>
  <c r="AS320" i="11" s="1"/>
  <c r="I312" i="11"/>
  <c r="AS312" i="11" s="1"/>
  <c r="I299" i="11"/>
  <c r="AS299" i="11" s="1"/>
  <c r="I297" i="11"/>
  <c r="AS297" i="11" s="1"/>
  <c r="I291" i="11"/>
  <c r="AS291" i="11" s="1"/>
  <c r="I289" i="11"/>
  <c r="AS289" i="11" s="1"/>
  <c r="I283" i="11"/>
  <c r="AS283" i="11" s="1"/>
  <c r="I281" i="11"/>
  <c r="AS281" i="11" s="1"/>
  <c r="I266" i="11"/>
  <c r="AS266" i="11" s="1"/>
  <c r="L233" i="11"/>
  <c r="K88" i="11"/>
  <c r="J45" i="11"/>
  <c r="J233" i="11"/>
  <c r="L223" i="11"/>
  <c r="N195" i="11"/>
  <c r="K174" i="11"/>
  <c r="M159" i="11"/>
  <c r="L110" i="11"/>
  <c r="N88" i="11"/>
  <c r="K76" i="11"/>
  <c r="L34" i="11"/>
  <c r="N17" i="11"/>
  <c r="I321" i="11"/>
  <c r="AS321" i="11" s="1"/>
  <c r="I313" i="11"/>
  <c r="AS313" i="11" s="1"/>
  <c r="I305" i="11"/>
  <c r="AS305" i="11" s="1"/>
  <c r="AS294" i="11"/>
  <c r="I268" i="11"/>
  <c r="AS268" i="11" s="1"/>
  <c r="I259" i="11"/>
  <c r="AS259" i="11" s="1"/>
  <c r="AS249" i="11"/>
  <c r="AS225" i="11"/>
  <c r="AS145" i="11"/>
  <c r="AS24" i="11"/>
  <c r="J70" i="11"/>
  <c r="J165" i="11"/>
  <c r="N210" i="11"/>
  <c r="I308" i="11"/>
  <c r="AS308" i="11" s="1"/>
  <c r="AS285" i="11"/>
  <c r="J53" i="11"/>
  <c r="J150" i="11"/>
  <c r="J243" i="11"/>
  <c r="O323" i="11"/>
  <c r="L250" i="11"/>
  <c r="N233" i="11"/>
  <c r="K223" i="11"/>
  <c r="M195" i="11"/>
  <c r="L159" i="11"/>
  <c r="I159" i="11" s="1"/>
  <c r="N119" i="11"/>
  <c r="K110" i="11"/>
  <c r="L64" i="11"/>
  <c r="N45" i="11"/>
  <c r="K34" i="11"/>
  <c r="M17" i="11"/>
  <c r="I122" i="11"/>
  <c r="AS122" i="11" s="1"/>
  <c r="I114" i="11"/>
  <c r="AS114" i="11" s="1"/>
  <c r="I106" i="11"/>
  <c r="AS106" i="11" s="1"/>
  <c r="I98" i="11"/>
  <c r="AS98" i="11" s="1"/>
  <c r="I90" i="11"/>
  <c r="AS90" i="11" s="1"/>
  <c r="I82" i="11"/>
  <c r="AS82" i="11" s="1"/>
  <c r="I74" i="11"/>
  <c r="AS74" i="11" s="1"/>
  <c r="I66" i="11"/>
  <c r="AS66" i="11" s="1"/>
  <c r="I38" i="11"/>
  <c r="AS38" i="11" s="1"/>
  <c r="I23" i="11"/>
  <c r="AS23" i="11" s="1"/>
  <c r="I14" i="11"/>
  <c r="AS14" i="11" s="1"/>
  <c r="I262" i="11"/>
  <c r="AS262" i="11" s="1"/>
  <c r="I254" i="11"/>
  <c r="AS254" i="11" s="1"/>
  <c r="I246" i="11"/>
  <c r="AS246" i="11" s="1"/>
  <c r="I238" i="11"/>
  <c r="AS238" i="11" s="1"/>
  <c r="I230" i="11"/>
  <c r="AS230" i="11" s="1"/>
  <c r="I222" i="11"/>
  <c r="AS222" i="11" s="1"/>
  <c r="I214" i="11"/>
  <c r="AS214" i="11" s="1"/>
  <c r="I206" i="11"/>
  <c r="AS206" i="11" s="1"/>
  <c r="I198" i="11"/>
  <c r="AS198" i="11" s="1"/>
  <c r="I190" i="11"/>
  <c r="AS190" i="11" s="1"/>
  <c r="I182" i="11"/>
  <c r="AS182" i="11" s="1"/>
  <c r="I166" i="11"/>
  <c r="AS166" i="11" s="1"/>
  <c r="I158" i="11"/>
  <c r="AS158" i="11" s="1"/>
  <c r="I142" i="11"/>
  <c r="AS142" i="11" s="1"/>
  <c r="I134" i="11"/>
  <c r="AS134" i="11" s="1"/>
  <c r="I125" i="11"/>
  <c r="AS125" i="11" s="1"/>
  <c r="I117" i="11"/>
  <c r="AS117" i="11" s="1"/>
  <c r="I109" i="11"/>
  <c r="AS109" i="11" s="1"/>
  <c r="I101" i="11"/>
  <c r="AS101" i="11" s="1"/>
  <c r="I93" i="11"/>
  <c r="AS93" i="11" s="1"/>
  <c r="I85" i="11"/>
  <c r="AS85" i="11" s="1"/>
  <c r="I77" i="11"/>
  <c r="AS77" i="11" s="1"/>
  <c r="I69" i="11"/>
  <c r="AS69" i="11" s="1"/>
  <c r="I61" i="11"/>
  <c r="AS61" i="11" s="1"/>
  <c r="I56" i="11"/>
  <c r="AS56" i="11" s="1"/>
  <c r="I50" i="11"/>
  <c r="AS50" i="11" s="1"/>
  <c r="I41" i="11"/>
  <c r="AS41" i="11" s="1"/>
  <c r="I29" i="11"/>
  <c r="AS29" i="11" s="1"/>
  <c r="I260" i="11"/>
  <c r="AS260" i="11" s="1"/>
  <c r="I252" i="11"/>
  <c r="AS252" i="11" s="1"/>
  <c r="I244" i="11"/>
  <c r="AS244" i="11" s="1"/>
  <c r="I236" i="11"/>
  <c r="AS236" i="11" s="1"/>
  <c r="I228" i="11"/>
  <c r="AS228" i="11" s="1"/>
  <c r="I220" i="11"/>
  <c r="AS220" i="11" s="1"/>
  <c r="I212" i="11"/>
  <c r="AS212" i="11" s="1"/>
  <c r="I204" i="11"/>
  <c r="AS204" i="11" s="1"/>
  <c r="I196" i="11"/>
  <c r="AS196" i="11" s="1"/>
  <c r="I188" i="11"/>
  <c r="AS188" i="11" s="1"/>
  <c r="I180" i="11"/>
  <c r="AS180" i="11" s="1"/>
  <c r="I172" i="11"/>
  <c r="AS172" i="11" s="1"/>
  <c r="I164" i="11"/>
  <c r="AS164" i="11" s="1"/>
  <c r="I156" i="11"/>
  <c r="AS156" i="11" s="1"/>
  <c r="I148" i="11"/>
  <c r="AS148" i="11" s="1"/>
  <c r="I140" i="11"/>
  <c r="AS140" i="11" s="1"/>
  <c r="I132" i="11"/>
  <c r="AS132" i="11" s="1"/>
  <c r="I123" i="11"/>
  <c r="AS123" i="11" s="1"/>
  <c r="I115" i="11"/>
  <c r="AS115" i="11" s="1"/>
  <c r="I107" i="11"/>
  <c r="AS107" i="11" s="1"/>
  <c r="I99" i="11"/>
  <c r="AS99" i="11" s="1"/>
  <c r="I91" i="11"/>
  <c r="AS91" i="11" s="1"/>
  <c r="I83" i="11"/>
  <c r="AS83" i="11" s="1"/>
  <c r="I75" i="11"/>
  <c r="AS75" i="11" s="1"/>
  <c r="I67" i="11"/>
  <c r="AS67" i="11" s="1"/>
  <c r="I59" i="11"/>
  <c r="AS59" i="11" s="1"/>
  <c r="I48" i="11"/>
  <c r="AS48" i="11" s="1"/>
  <c r="I42" i="11"/>
  <c r="AS42" i="11" s="1"/>
  <c r="I33" i="11"/>
  <c r="AS33" i="11" s="1"/>
  <c r="I30" i="11"/>
  <c r="AS30" i="11" s="1"/>
  <c r="I27" i="11"/>
  <c r="AS27" i="11" s="1"/>
  <c r="I21" i="11"/>
  <c r="AS21" i="11" s="1"/>
  <c r="I126" i="11"/>
  <c r="AS126" i="11" s="1"/>
  <c r="I118" i="11"/>
  <c r="AS118" i="11" s="1"/>
  <c r="I94" i="11"/>
  <c r="AS94" i="11" s="1"/>
  <c r="I86" i="11"/>
  <c r="AS86" i="11" s="1"/>
  <c r="I78" i="11"/>
  <c r="AS78" i="11" s="1"/>
  <c r="I62" i="11"/>
  <c r="AS62" i="11" s="1"/>
  <c r="I258" i="11"/>
  <c r="AS258" i="11" s="1"/>
  <c r="I234" i="11"/>
  <c r="AS234" i="11" s="1"/>
  <c r="I226" i="11"/>
  <c r="AS226" i="11" s="1"/>
  <c r="I218" i="11"/>
  <c r="AS218" i="11" s="1"/>
  <c r="I202" i="11"/>
  <c r="AS202" i="11" s="1"/>
  <c r="I194" i="11"/>
  <c r="AS194" i="11" s="1"/>
  <c r="I186" i="11"/>
  <c r="AS186" i="11" s="1"/>
  <c r="I178" i="11"/>
  <c r="AS178" i="11" s="1"/>
  <c r="I170" i="11"/>
  <c r="AS170" i="11" s="1"/>
  <c r="I162" i="11"/>
  <c r="AS162" i="11" s="1"/>
  <c r="I154" i="11"/>
  <c r="AS154" i="11" s="1"/>
  <c r="I146" i="11"/>
  <c r="AS146" i="11" s="1"/>
  <c r="I129" i="11"/>
  <c r="AS129" i="11" s="1"/>
  <c r="I121" i="11"/>
  <c r="AS121" i="11" s="1"/>
  <c r="I113" i="11"/>
  <c r="AS113" i="11" s="1"/>
  <c r="I97" i="11"/>
  <c r="AS97" i="11" s="1"/>
  <c r="I81" i="11"/>
  <c r="AS81" i="11" s="1"/>
  <c r="I73" i="11"/>
  <c r="AS73" i="11" s="1"/>
  <c r="I65" i="11"/>
  <c r="AS65" i="11" s="1"/>
  <c r="I57" i="11"/>
  <c r="AS57" i="11" s="1"/>
  <c r="I40" i="11"/>
  <c r="AS40" i="11" s="1"/>
  <c r="I251" i="11"/>
  <c r="AS251" i="11" s="1"/>
  <c r="I235" i="11"/>
  <c r="AS235" i="11" s="1"/>
  <c r="I227" i="11"/>
  <c r="AS227" i="11" s="1"/>
  <c r="I219" i="11"/>
  <c r="AS219" i="11" s="1"/>
  <c r="I211" i="11"/>
  <c r="AS211" i="11" s="1"/>
  <c r="I203" i="11"/>
  <c r="AS203" i="11" s="1"/>
  <c r="I187" i="11"/>
  <c r="AS187" i="11" s="1"/>
  <c r="I179" i="11"/>
  <c r="AS179" i="11" s="1"/>
  <c r="I171" i="11"/>
  <c r="AS171" i="11" s="1"/>
  <c r="I163" i="11"/>
  <c r="AS163" i="11" s="1"/>
  <c r="I155" i="11"/>
  <c r="AS155" i="11" s="1"/>
  <c r="I147" i="11"/>
  <c r="AS147" i="11" s="1"/>
  <c r="I139" i="11"/>
  <c r="AS139" i="11" s="1"/>
  <c r="I131" i="11"/>
  <c r="AS131" i="11" s="1"/>
  <c r="I108" i="11"/>
  <c r="AS108" i="11" s="1"/>
  <c r="I92" i="11"/>
  <c r="AS92" i="11" s="1"/>
  <c r="I84" i="11"/>
  <c r="AS84" i="11" s="1"/>
  <c r="I68" i="11"/>
  <c r="AS68" i="11" s="1"/>
  <c r="I60" i="11"/>
  <c r="AS60" i="11" s="1"/>
  <c r="I52" i="11"/>
  <c r="AS52" i="11" s="1"/>
  <c r="I46" i="11"/>
  <c r="AS46" i="11" s="1"/>
  <c r="I43" i="11"/>
  <c r="AS43" i="11" s="1"/>
  <c r="I37" i="11"/>
  <c r="AS37" i="11" s="1"/>
  <c r="I25" i="11"/>
  <c r="AS25" i="11" s="1"/>
  <c r="AS12" i="11"/>
  <c r="I182" i="12"/>
  <c r="BM182" i="12" s="1"/>
  <c r="I60" i="12"/>
  <c r="BM60" i="12" s="1"/>
  <c r="I115" i="12"/>
  <c r="BM115" i="12" s="1"/>
  <c r="I167" i="12"/>
  <c r="BM167" i="12" s="1"/>
  <c r="I205" i="12"/>
  <c r="BM205" i="12" s="1"/>
  <c r="I234" i="12"/>
  <c r="BM234" i="12" s="1"/>
  <c r="I255" i="12"/>
  <c r="BM255" i="12" s="1"/>
  <c r="I263" i="12"/>
  <c r="BM263" i="12" s="1"/>
  <c r="I294" i="12"/>
  <c r="BM294" i="12" s="1"/>
  <c r="I320" i="12"/>
  <c r="BM320" i="12" s="1"/>
  <c r="I125" i="12"/>
  <c r="BM125" i="12" s="1"/>
  <c r="I139" i="12"/>
  <c r="BM139" i="12" s="1"/>
  <c r="I147" i="12"/>
  <c r="BM147" i="12" s="1"/>
  <c r="I153" i="12"/>
  <c r="BM153" i="12" s="1"/>
  <c r="I21" i="12"/>
  <c r="BM21" i="12" s="1"/>
  <c r="I256" i="12"/>
  <c r="BM256" i="12" s="1"/>
  <c r="I268" i="12"/>
  <c r="BM268" i="12" s="1"/>
  <c r="I61" i="12"/>
  <c r="BM61" i="12" s="1"/>
  <c r="I128" i="12"/>
  <c r="BM128" i="12" s="1"/>
  <c r="I193" i="12"/>
  <c r="BM193" i="12" s="1"/>
  <c r="I289" i="12"/>
  <c r="BM289" i="12" s="1"/>
  <c r="I315" i="12"/>
  <c r="BM315" i="12" s="1"/>
  <c r="I83" i="12"/>
  <c r="BM83" i="12" s="1"/>
  <c r="I90" i="12"/>
  <c r="BM90" i="12" s="1"/>
  <c r="I121" i="12"/>
  <c r="BM121" i="12" s="1"/>
  <c r="I129" i="12"/>
  <c r="BM129" i="12" s="1"/>
  <c r="I138" i="12"/>
  <c r="BM138" i="12" s="1"/>
  <c r="I224" i="12"/>
  <c r="BM224" i="12" s="1"/>
  <c r="I245" i="12"/>
  <c r="BM245" i="12" s="1"/>
  <c r="I98" i="12"/>
  <c r="BM98" i="12" s="1"/>
  <c r="I30" i="12"/>
  <c r="I166" i="12"/>
  <c r="BM166" i="12" s="1"/>
  <c r="I204" i="12"/>
  <c r="BM204" i="12" s="1"/>
  <c r="I275" i="12"/>
  <c r="BM275" i="12" s="1"/>
  <c r="I286" i="12"/>
  <c r="BM286" i="12" s="1"/>
  <c r="AQ323" i="12"/>
  <c r="I36" i="12"/>
  <c r="BM36" i="12" s="1"/>
  <c r="I79" i="12"/>
  <c r="BM79" i="12" s="1"/>
  <c r="I221" i="12"/>
  <c r="BM221" i="12" s="1"/>
  <c r="I22" i="12"/>
  <c r="BM22" i="12" s="1"/>
  <c r="I25" i="12"/>
  <c r="BM25" i="12" s="1"/>
  <c r="I89" i="12"/>
  <c r="BM89" i="12" s="1"/>
  <c r="I94" i="12"/>
  <c r="BM94" i="12" s="1"/>
  <c r="I97" i="12"/>
  <c r="BM97" i="12" s="1"/>
  <c r="I109" i="12"/>
  <c r="BM109" i="12" s="1"/>
  <c r="I213" i="12"/>
  <c r="BM213" i="12" s="1"/>
  <c r="I228" i="12"/>
  <c r="BM228" i="12" s="1"/>
  <c r="I230" i="12"/>
  <c r="BM230" i="12" s="1"/>
  <c r="I242" i="12"/>
  <c r="BM242" i="12" s="1"/>
  <c r="I249" i="12"/>
  <c r="BM249" i="12" s="1"/>
  <c r="I285" i="12"/>
  <c r="BM285" i="12" s="1"/>
  <c r="AY323" i="12"/>
  <c r="AA323" i="12"/>
  <c r="I50" i="12"/>
  <c r="BM50" i="12" s="1"/>
  <c r="I67" i="12"/>
  <c r="BM67" i="12" s="1"/>
  <c r="I27" i="12"/>
  <c r="BM27" i="12" s="1"/>
  <c r="I62" i="12"/>
  <c r="BM62" i="12" s="1"/>
  <c r="I84" i="12"/>
  <c r="BM84" i="12" s="1"/>
  <c r="I151" i="12"/>
  <c r="BM151" i="12" s="1"/>
  <c r="I180" i="12"/>
  <c r="BM180" i="12" s="1"/>
  <c r="I188" i="12"/>
  <c r="BM188" i="12" s="1"/>
  <c r="I203" i="12"/>
  <c r="BM203" i="12" s="1"/>
  <c r="BG323" i="12"/>
  <c r="AI323" i="12"/>
  <c r="I16" i="12"/>
  <c r="BM16" i="12" s="1"/>
  <c r="I15" i="12"/>
  <c r="BM15" i="12" s="1"/>
  <c r="I32" i="12"/>
  <c r="BM32" i="12" s="1"/>
  <c r="I39" i="12"/>
  <c r="BM39" i="12" s="1"/>
  <c r="I49" i="12"/>
  <c r="BM49" i="12" s="1"/>
  <c r="I66" i="12"/>
  <c r="BM66" i="12" s="1"/>
  <c r="I127" i="12"/>
  <c r="BM127" i="12" s="1"/>
  <c r="I12" i="12"/>
  <c r="BM12" i="12" s="1"/>
  <c r="I46" i="12"/>
  <c r="BM46" i="12" s="1"/>
  <c r="O323" i="12"/>
  <c r="I56" i="12"/>
  <c r="BM56" i="12" s="1"/>
  <c r="I58" i="12"/>
  <c r="BM58" i="12" s="1"/>
  <c r="I73" i="12"/>
  <c r="BM73" i="12" s="1"/>
  <c r="I75" i="12"/>
  <c r="BM75" i="12" s="1"/>
  <c r="I80" i="12"/>
  <c r="BM80" i="12" s="1"/>
  <c r="I18" i="12"/>
  <c r="BM18" i="12" s="1"/>
  <c r="I28" i="12"/>
  <c r="BM28" i="12" s="1"/>
  <c r="I35" i="12"/>
  <c r="BM35" i="12" s="1"/>
  <c r="I43" i="12"/>
  <c r="BM43" i="12" s="1"/>
  <c r="I104" i="12"/>
  <c r="BM104" i="12" s="1"/>
  <c r="I118" i="12"/>
  <c r="BM118" i="12" s="1"/>
  <c r="I134" i="12"/>
  <c r="BM134" i="12" s="1"/>
  <c r="I142" i="12"/>
  <c r="BM142" i="12" s="1"/>
  <c r="I157" i="12"/>
  <c r="BM157" i="12" s="1"/>
  <c r="I176" i="12"/>
  <c r="BM176" i="12" s="1"/>
  <c r="I178" i="12"/>
  <c r="BM178" i="12" s="1"/>
  <c r="I189" i="12"/>
  <c r="BM189" i="12" s="1"/>
  <c r="I199" i="12"/>
  <c r="BM199" i="12" s="1"/>
  <c r="I201" i="12"/>
  <c r="BM201" i="12" s="1"/>
  <c r="I217" i="12"/>
  <c r="BM217" i="12" s="1"/>
  <c r="I252" i="12"/>
  <c r="BM252" i="12" s="1"/>
  <c r="I279" i="12"/>
  <c r="BM279" i="12" s="1"/>
  <c r="I293" i="12"/>
  <c r="BM293" i="12" s="1"/>
  <c r="I300" i="12"/>
  <c r="BM300" i="12" s="1"/>
  <c r="I87" i="12"/>
  <c r="BM87" i="12" s="1"/>
  <c r="I154" i="12"/>
  <c r="BM154" i="12" s="1"/>
  <c r="I161" i="12"/>
  <c r="BM161" i="12" s="1"/>
  <c r="I175" i="12"/>
  <c r="BM175" i="12" s="1"/>
  <c r="I232" i="12"/>
  <c r="BM232" i="12" s="1"/>
  <c r="I277" i="12"/>
  <c r="BM277" i="12" s="1"/>
  <c r="I297" i="12"/>
  <c r="BM297" i="12" s="1"/>
  <c r="I273" i="12"/>
  <c r="BM273" i="12" s="1"/>
  <c r="I292" i="12"/>
  <c r="BM292" i="12" s="1"/>
  <c r="I111" i="12"/>
  <c r="BM111" i="12" s="1"/>
  <c r="I124" i="12"/>
  <c r="BM124" i="12" s="1"/>
  <c r="I163" i="12"/>
  <c r="BM163" i="12" s="1"/>
  <c r="I170" i="12"/>
  <c r="BM170" i="12" s="1"/>
  <c r="I208" i="12"/>
  <c r="BM208" i="12" s="1"/>
  <c r="I251" i="12"/>
  <c r="BM251" i="12" s="1"/>
  <c r="I259" i="12"/>
  <c r="BM259" i="12" s="1"/>
  <c r="I299" i="12"/>
  <c r="BM299" i="12" s="1"/>
  <c r="I314" i="12"/>
  <c r="BM314" i="12" s="1"/>
  <c r="BL323" i="12"/>
  <c r="BD323" i="12"/>
  <c r="AV323" i="12"/>
  <c r="AN323" i="12"/>
  <c r="X323" i="12"/>
  <c r="BE323" i="12"/>
  <c r="AW323" i="12"/>
  <c r="AG323" i="12"/>
  <c r="Y323" i="12"/>
  <c r="BF323" i="12"/>
  <c r="AX323" i="12"/>
  <c r="AP323" i="12"/>
  <c r="R323" i="12"/>
  <c r="BH323" i="12"/>
  <c r="AZ323" i="12"/>
  <c r="AJ323" i="12"/>
  <c r="AB323" i="12"/>
  <c r="T323" i="12"/>
  <c r="BI323" i="12"/>
  <c r="BA323" i="12"/>
  <c r="AK323" i="12"/>
  <c r="AC323" i="12"/>
  <c r="U323" i="12"/>
  <c r="BJ323" i="12"/>
  <c r="BB323" i="12"/>
  <c r="AT323" i="12"/>
  <c r="AL323" i="12"/>
  <c r="AD323" i="12"/>
  <c r="V323" i="12"/>
  <c r="BK323" i="12"/>
  <c r="BC323" i="12"/>
  <c r="AU323" i="12"/>
  <c r="AM323" i="12"/>
  <c r="AE323" i="12"/>
  <c r="W323" i="12"/>
  <c r="I146" i="12"/>
  <c r="BM146" i="12" s="1"/>
  <c r="I158" i="12"/>
  <c r="BM158" i="12" s="1"/>
  <c r="I179" i="12"/>
  <c r="BM179" i="12" s="1"/>
  <c r="I253" i="12"/>
  <c r="BM253" i="12" s="1"/>
  <c r="I272" i="12"/>
  <c r="BM272" i="12" s="1"/>
  <c r="I280" i="12"/>
  <c r="BM280" i="12" s="1"/>
  <c r="I283" i="12"/>
  <c r="BM283" i="12" s="1"/>
  <c r="I288" i="12"/>
  <c r="BM288" i="12" s="1"/>
  <c r="I291" i="12"/>
  <c r="BM291" i="12" s="1"/>
  <c r="I93" i="12"/>
  <c r="BM93" i="12" s="1"/>
  <c r="I108" i="12"/>
  <c r="BM108" i="12" s="1"/>
  <c r="I132" i="12"/>
  <c r="BM132" i="12" s="1"/>
  <c r="I143" i="12"/>
  <c r="BM143" i="12" s="1"/>
  <c r="I155" i="12"/>
  <c r="BM155" i="12" s="1"/>
  <c r="I184" i="12"/>
  <c r="BM184" i="12" s="1"/>
  <c r="I192" i="12"/>
  <c r="BM192" i="12" s="1"/>
  <c r="I207" i="12"/>
  <c r="BM207" i="12" s="1"/>
  <c r="I238" i="12"/>
  <c r="BM238" i="12" s="1"/>
  <c r="I311" i="12"/>
  <c r="BM311" i="12" s="1"/>
  <c r="I316" i="12"/>
  <c r="BM316" i="12" s="1"/>
  <c r="I16" i="15"/>
  <c r="N16" i="15" s="1"/>
  <c r="M5" i="15"/>
  <c r="I12" i="15"/>
  <c r="N12" i="15" s="1"/>
  <c r="I21" i="15"/>
  <c r="J5" i="15"/>
  <c r="T8" i="16"/>
  <c r="T12" i="16"/>
  <c r="Y15" i="16"/>
  <c r="Y16" i="16"/>
  <c r="V48" i="16"/>
  <c r="T29" i="16"/>
  <c r="Y33" i="16"/>
  <c r="Y31" i="16"/>
  <c r="O36" i="16"/>
  <c r="Y36" i="16" s="1"/>
  <c r="Q48" i="16"/>
  <c r="Y28" i="16"/>
  <c r="Y10" i="16"/>
  <c r="O21" i="16"/>
  <c r="Y26" i="16"/>
  <c r="Y13" i="16"/>
  <c r="Y20" i="16"/>
  <c r="M48" i="16"/>
  <c r="K48" i="16"/>
  <c r="Y9" i="16"/>
  <c r="Y7" i="16"/>
  <c r="I29" i="16"/>
  <c r="Y22" i="16"/>
  <c r="P48" i="16"/>
  <c r="Y34" i="16"/>
  <c r="Y42" i="16"/>
  <c r="U48" i="16"/>
  <c r="I12" i="16"/>
  <c r="Y6" i="16"/>
  <c r="Y38" i="16"/>
  <c r="Y30" i="16"/>
  <c r="Y14" i="16"/>
  <c r="Y46" i="16"/>
  <c r="X21" i="14"/>
  <c r="X15" i="14"/>
  <c r="I11" i="12"/>
  <c r="BM11" i="12" s="1"/>
  <c r="I14" i="12"/>
  <c r="BM14" i="12" s="1"/>
  <c r="I20" i="12"/>
  <c r="BM20" i="12" s="1"/>
  <c r="I23" i="12"/>
  <c r="BM23" i="12" s="1"/>
  <c r="I29" i="12"/>
  <c r="BM29" i="12" s="1"/>
  <c r="I38" i="12"/>
  <c r="BM38" i="12" s="1"/>
  <c r="I52" i="12"/>
  <c r="BM52" i="12" s="1"/>
  <c r="I69" i="12"/>
  <c r="BM69" i="12" s="1"/>
  <c r="I86" i="12"/>
  <c r="BM86" i="12" s="1"/>
  <c r="I92" i="12"/>
  <c r="BM92" i="12" s="1"/>
  <c r="I95" i="12"/>
  <c r="BM95" i="12" s="1"/>
  <c r="I131" i="12"/>
  <c r="BM131" i="12" s="1"/>
  <c r="I145" i="12"/>
  <c r="BM145" i="12" s="1"/>
  <c r="I148" i="12"/>
  <c r="BM148" i="12" s="1"/>
  <c r="I160" i="12"/>
  <c r="BM160" i="12" s="1"/>
  <c r="I169" i="12"/>
  <c r="BM169" i="12" s="1"/>
  <c r="I181" i="12"/>
  <c r="BM181" i="12" s="1"/>
  <c r="I212" i="12"/>
  <c r="BM212" i="12" s="1"/>
  <c r="I215" i="12"/>
  <c r="BM215" i="12" s="1"/>
  <c r="I218" i="12"/>
  <c r="BM218" i="12" s="1"/>
  <c r="I236" i="12"/>
  <c r="BM236" i="12" s="1"/>
  <c r="I239" i="12"/>
  <c r="BM239" i="12" s="1"/>
  <c r="I248" i="12"/>
  <c r="BM248" i="12" s="1"/>
  <c r="I266" i="12"/>
  <c r="BM266" i="12" s="1"/>
  <c r="I270" i="12"/>
  <c r="BM270" i="12" s="1"/>
  <c r="I306" i="12"/>
  <c r="BM306" i="12" s="1"/>
  <c r="I309" i="12"/>
  <c r="BM309" i="12" s="1"/>
  <c r="I318" i="12"/>
  <c r="BM318" i="12" s="1"/>
  <c r="I321" i="12"/>
  <c r="BM321" i="12" s="1"/>
  <c r="AH323" i="12"/>
  <c r="Z323" i="12"/>
  <c r="I31" i="12"/>
  <c r="BM31" i="12" s="1"/>
  <c r="I37" i="12"/>
  <c r="BM37" i="12" s="1"/>
  <c r="I40" i="12"/>
  <c r="BM40" i="12" s="1"/>
  <c r="I55" i="12"/>
  <c r="BM55" i="12" s="1"/>
  <c r="I72" i="12"/>
  <c r="BM72" i="12" s="1"/>
  <c r="I77" i="12"/>
  <c r="BM77" i="12" s="1"/>
  <c r="I101" i="12"/>
  <c r="BM101" i="12" s="1"/>
  <c r="I103" i="12"/>
  <c r="BM103" i="12" s="1"/>
  <c r="I106" i="12"/>
  <c r="BM106" i="12" s="1"/>
  <c r="I112" i="12"/>
  <c r="BM112" i="12" s="1"/>
  <c r="I133" i="12"/>
  <c r="BM133" i="12" s="1"/>
  <c r="I136" i="12"/>
  <c r="BM136" i="12" s="1"/>
  <c r="I162" i="12"/>
  <c r="BM162" i="12" s="1"/>
  <c r="I168" i="12"/>
  <c r="BM168" i="12" s="1"/>
  <c r="I171" i="12"/>
  <c r="BM171" i="12" s="1"/>
  <c r="I183" i="12"/>
  <c r="BM183" i="12" s="1"/>
  <c r="I186" i="12"/>
  <c r="BM186" i="12" s="1"/>
  <c r="I198" i="12"/>
  <c r="BM198" i="12" s="1"/>
  <c r="I209" i="12"/>
  <c r="BM209" i="12" s="1"/>
  <c r="I227" i="12"/>
  <c r="BM227" i="12" s="1"/>
  <c r="I254" i="12"/>
  <c r="BM254" i="12" s="1"/>
  <c r="I257" i="12"/>
  <c r="BM257" i="12" s="1"/>
  <c r="I260" i="12"/>
  <c r="BM260" i="12" s="1"/>
  <c r="I303" i="12"/>
  <c r="BM303" i="12" s="1"/>
  <c r="I312" i="12"/>
  <c r="BM312" i="12" s="1"/>
  <c r="AO323" i="12"/>
  <c r="Q323" i="12"/>
  <c r="I54" i="12"/>
  <c r="BM54" i="12" s="1"/>
  <c r="I57" i="12"/>
  <c r="BM57" i="12" s="1"/>
  <c r="I71" i="12"/>
  <c r="BM71" i="12" s="1"/>
  <c r="I74" i="12"/>
  <c r="BM74" i="12" s="1"/>
  <c r="I100" i="12"/>
  <c r="BM100" i="12" s="1"/>
  <c r="I120" i="12"/>
  <c r="BM120" i="12" s="1"/>
  <c r="I123" i="12"/>
  <c r="BM123" i="12" s="1"/>
  <c r="I197" i="12"/>
  <c r="BM197" i="12" s="1"/>
  <c r="I200" i="12"/>
  <c r="BM200" i="12" s="1"/>
  <c r="I220" i="12"/>
  <c r="BM220" i="12" s="1"/>
  <c r="I226" i="12"/>
  <c r="BM226" i="12" s="1"/>
  <c r="I229" i="12"/>
  <c r="BM229" i="12" s="1"/>
  <c r="I241" i="12"/>
  <c r="BM241" i="12" s="1"/>
  <c r="AF323" i="12"/>
  <c r="P323" i="12"/>
  <c r="I13" i="12"/>
  <c r="BM13" i="12" s="1"/>
  <c r="I19" i="12"/>
  <c r="BM19" i="12" s="1"/>
  <c r="I48" i="12"/>
  <c r="BM48" i="12" s="1"/>
  <c r="I51" i="12"/>
  <c r="BM51" i="12" s="1"/>
  <c r="I63" i="12"/>
  <c r="BM63" i="12" s="1"/>
  <c r="I65" i="12"/>
  <c r="BM65" i="12" s="1"/>
  <c r="I68" i="12"/>
  <c r="BM68" i="12" s="1"/>
  <c r="I82" i="12"/>
  <c r="BM82" i="12" s="1"/>
  <c r="I85" i="12"/>
  <c r="BM85" i="12" s="1"/>
  <c r="I91" i="12"/>
  <c r="BM91" i="12" s="1"/>
  <c r="I117" i="12"/>
  <c r="BM117" i="12" s="1"/>
  <c r="I126" i="12"/>
  <c r="BM126" i="12" s="1"/>
  <c r="I141" i="12"/>
  <c r="BM141" i="12" s="1"/>
  <c r="I144" i="12"/>
  <c r="BM144" i="12" s="1"/>
  <c r="I156" i="12"/>
  <c r="BM156" i="12" s="1"/>
  <c r="I177" i="12"/>
  <c r="BM177" i="12" s="1"/>
  <c r="I191" i="12"/>
  <c r="BM191" i="12" s="1"/>
  <c r="I194" i="12"/>
  <c r="BM194" i="12" s="1"/>
  <c r="I206" i="12"/>
  <c r="BM206" i="12" s="1"/>
  <c r="I211" i="12"/>
  <c r="BM211" i="12" s="1"/>
  <c r="I214" i="12"/>
  <c r="BM214" i="12" s="1"/>
  <c r="I235" i="12"/>
  <c r="BM235" i="12" s="1"/>
  <c r="I244" i="12"/>
  <c r="BM244" i="12" s="1"/>
  <c r="I247" i="12"/>
  <c r="BM247" i="12" s="1"/>
  <c r="I262" i="12"/>
  <c r="BM262" i="12" s="1"/>
  <c r="I265" i="12"/>
  <c r="BM265" i="12" s="1"/>
  <c r="I305" i="12"/>
  <c r="BM305" i="12" s="1"/>
  <c r="I317" i="12"/>
  <c r="BM317" i="12" s="1"/>
  <c r="BM30" i="12"/>
  <c r="I269" i="12"/>
  <c r="BM269" i="12" s="1"/>
  <c r="I274" i="12"/>
  <c r="BM274" i="12" s="1"/>
  <c r="I281" i="12"/>
  <c r="BM281" i="12" s="1"/>
  <c r="I284" i="12"/>
  <c r="BM284" i="12" s="1"/>
  <c r="I296" i="12"/>
  <c r="BM296" i="12" s="1"/>
  <c r="I302" i="12"/>
  <c r="BM302" i="12" s="1"/>
  <c r="I24" i="12"/>
  <c r="BM24" i="12" s="1"/>
  <c r="I33" i="12"/>
  <c r="BM33" i="12" s="1"/>
  <c r="I42" i="12"/>
  <c r="BM42" i="12" s="1"/>
  <c r="I96" i="12"/>
  <c r="BM96" i="12" s="1"/>
  <c r="I99" i="12"/>
  <c r="BM99" i="12" s="1"/>
  <c r="I105" i="12"/>
  <c r="BM105" i="12" s="1"/>
  <c r="I114" i="12"/>
  <c r="BM114" i="12" s="1"/>
  <c r="I135" i="12"/>
  <c r="BM135" i="12" s="1"/>
  <c r="I149" i="12"/>
  <c r="BM149" i="12" s="1"/>
  <c r="I164" i="12"/>
  <c r="BM164" i="12" s="1"/>
  <c r="I173" i="12"/>
  <c r="BM173" i="12" s="1"/>
  <c r="I185" i="12"/>
  <c r="BM185" i="12" s="1"/>
  <c r="I196" i="12"/>
  <c r="BM196" i="12" s="1"/>
  <c r="I216" i="12"/>
  <c r="BM216" i="12" s="1"/>
  <c r="I219" i="12"/>
  <c r="BM219" i="12" s="1"/>
  <c r="I222" i="12"/>
  <c r="BM222" i="12" s="1"/>
  <c r="I225" i="12"/>
  <c r="BM225" i="12" s="1"/>
  <c r="I231" i="12"/>
  <c r="BM231" i="12" s="1"/>
  <c r="I237" i="12"/>
  <c r="BM237" i="12" s="1"/>
  <c r="I240" i="12"/>
  <c r="BM240" i="12" s="1"/>
  <c r="I290" i="12"/>
  <c r="BM290" i="12" s="1"/>
  <c r="I307" i="12"/>
  <c r="BM307" i="12" s="1"/>
  <c r="I313" i="12"/>
  <c r="BM313" i="12" s="1"/>
  <c r="I322" i="12"/>
  <c r="I41" i="12"/>
  <c r="BM41" i="12" s="1"/>
  <c r="I44" i="12"/>
  <c r="BM44" i="12" s="1"/>
  <c r="I47" i="12"/>
  <c r="BM47" i="12" s="1"/>
  <c r="I59" i="12"/>
  <c r="BM59" i="12" s="1"/>
  <c r="I78" i="12"/>
  <c r="BM78" i="12" s="1"/>
  <c r="I81" i="12"/>
  <c r="BM81" i="12" s="1"/>
  <c r="I107" i="12"/>
  <c r="BM107" i="12" s="1"/>
  <c r="I113" i="12"/>
  <c r="BM113" i="12" s="1"/>
  <c r="I116" i="12"/>
  <c r="BM116" i="12" s="1"/>
  <c r="I122" i="12"/>
  <c r="BM122" i="12" s="1"/>
  <c r="I137" i="12"/>
  <c r="BM137" i="12" s="1"/>
  <c r="I140" i="12"/>
  <c r="BM140" i="12" s="1"/>
  <c r="I152" i="12"/>
  <c r="BM152" i="12" s="1"/>
  <c r="I172" i="12"/>
  <c r="BM172" i="12" s="1"/>
  <c r="I187" i="12"/>
  <c r="BM187" i="12" s="1"/>
  <c r="I190" i="12"/>
  <c r="BM190" i="12" s="1"/>
  <c r="I202" i="12"/>
  <c r="BM202" i="12" s="1"/>
  <c r="I246" i="12"/>
  <c r="BM246" i="12" s="1"/>
  <c r="I258" i="12"/>
  <c r="BM258" i="12" s="1"/>
  <c r="I261" i="12"/>
  <c r="BM261" i="12" s="1"/>
  <c r="I264" i="12"/>
  <c r="BM264" i="12" s="1"/>
  <c r="I298" i="12"/>
  <c r="BM298" i="12" s="1"/>
  <c r="I301" i="12"/>
  <c r="BM301" i="12" s="1"/>
  <c r="I319" i="12"/>
  <c r="BM319" i="12" s="1"/>
  <c r="I11" i="11"/>
  <c r="S316" i="10"/>
  <c r="T110" i="10"/>
  <c r="M165" i="10"/>
  <c r="P195" i="10"/>
  <c r="T223" i="10"/>
  <c r="M271" i="10"/>
  <c r="J210" i="10"/>
  <c r="J295" i="10"/>
  <c r="J26" i="10"/>
  <c r="J102" i="10"/>
  <c r="J70" i="10"/>
  <c r="J278" i="10"/>
  <c r="T26" i="10"/>
  <c r="W45" i="10"/>
  <c r="M64" i="10"/>
  <c r="Z64" i="10"/>
  <c r="P76" i="10"/>
  <c r="W119" i="10"/>
  <c r="M159" i="10"/>
  <c r="P174" i="10"/>
  <c r="T210" i="10"/>
  <c r="W233" i="10"/>
  <c r="M250" i="10"/>
  <c r="P278" i="10"/>
  <c r="T295" i="10"/>
  <c r="J88" i="10"/>
  <c r="W278" i="10"/>
  <c r="M295" i="10"/>
  <c r="I311" i="10"/>
  <c r="I283" i="10"/>
  <c r="I273" i="10"/>
  <c r="I263" i="10"/>
  <c r="I255" i="10"/>
  <c r="I228" i="10"/>
  <c r="I193" i="10"/>
  <c r="I185" i="10"/>
  <c r="I177" i="10"/>
  <c r="I168" i="10"/>
  <c r="I149" i="10"/>
  <c r="I141" i="10"/>
  <c r="I133" i="10"/>
  <c r="I115" i="10"/>
  <c r="I80" i="10"/>
  <c r="I71" i="10"/>
  <c r="I52" i="10"/>
  <c r="I43" i="10"/>
  <c r="I35" i="10"/>
  <c r="I16" i="10"/>
  <c r="S322" i="10"/>
  <c r="S314" i="10"/>
  <c r="S305" i="10"/>
  <c r="S277" i="10"/>
  <c r="S266" i="10"/>
  <c r="S258" i="10"/>
  <c r="S249" i="10"/>
  <c r="S240" i="10"/>
  <c r="S231" i="10"/>
  <c r="S222" i="10"/>
  <c r="S214" i="10"/>
  <c r="S171" i="10"/>
  <c r="S162" i="10"/>
  <c r="S153" i="10"/>
  <c r="S144" i="10"/>
  <c r="S136" i="10"/>
  <c r="S127" i="10"/>
  <c r="S118" i="10"/>
  <c r="S109" i="10"/>
  <c r="S56" i="10"/>
  <c r="S47" i="10"/>
  <c r="S38" i="10"/>
  <c r="S29" i="10"/>
  <c r="S20" i="10"/>
  <c r="P34" i="10"/>
  <c r="I34" i="10" s="1"/>
  <c r="T53" i="10"/>
  <c r="W70" i="10"/>
  <c r="M88" i="10"/>
  <c r="Z88" i="10"/>
  <c r="P110" i="10"/>
  <c r="I110" i="10" s="1"/>
  <c r="T150" i="10"/>
  <c r="W165" i="10"/>
  <c r="M195" i="10"/>
  <c r="Z195" i="10"/>
  <c r="P223" i="10"/>
  <c r="T243" i="10"/>
  <c r="W271" i="10"/>
  <c r="M287" i="10"/>
  <c r="Z287" i="10"/>
  <c r="P304" i="10"/>
  <c r="I318" i="10"/>
  <c r="I291" i="10"/>
  <c r="I282" i="10"/>
  <c r="I272" i="10"/>
  <c r="W34" i="10"/>
  <c r="M53" i="10"/>
  <c r="Z53" i="10"/>
  <c r="P70" i="10"/>
  <c r="T88" i="10"/>
  <c r="W110" i="10"/>
  <c r="S110" i="10" s="1"/>
  <c r="M150" i="10"/>
  <c r="Z150" i="10"/>
  <c r="P165" i="10"/>
  <c r="T195" i="10"/>
  <c r="W223" i="10"/>
  <c r="M243" i="10"/>
  <c r="Z243" i="10"/>
  <c r="P271" i="10"/>
  <c r="T287" i="10"/>
  <c r="W304" i="10"/>
  <c r="I197" i="10"/>
  <c r="J64" i="10"/>
  <c r="J243" i="10"/>
  <c r="I245" i="10"/>
  <c r="I236" i="10"/>
  <c r="I209" i="10"/>
  <c r="I201" i="10"/>
  <c r="I192" i="10"/>
  <c r="I184" i="10"/>
  <c r="AC184" i="10" s="1"/>
  <c r="I176" i="10"/>
  <c r="I167" i="10"/>
  <c r="I157" i="10"/>
  <c r="I148" i="10"/>
  <c r="I140" i="10"/>
  <c r="I132" i="10"/>
  <c r="I123" i="10"/>
  <c r="I96" i="10"/>
  <c r="I87" i="10"/>
  <c r="I79" i="10"/>
  <c r="I51" i="10"/>
  <c r="I24" i="10"/>
  <c r="I15" i="10"/>
  <c r="I299" i="10"/>
  <c r="AC299" i="10" s="1"/>
  <c r="I290" i="10"/>
  <c r="I281" i="10"/>
  <c r="AC281" i="10" s="1"/>
  <c r="S321" i="10"/>
  <c r="S313" i="10"/>
  <c r="S285" i="10"/>
  <c r="S275" i="10"/>
  <c r="S265" i="10"/>
  <c r="S257" i="10"/>
  <c r="S248" i="10"/>
  <c r="S239" i="10"/>
  <c r="S230" i="10"/>
  <c r="S187" i="10"/>
  <c r="S179" i="10"/>
  <c r="S170" i="10"/>
  <c r="S161" i="10"/>
  <c r="S152" i="10"/>
  <c r="S143" i="10"/>
  <c r="S135" i="10"/>
  <c r="S126" i="10"/>
  <c r="I307" i="10"/>
  <c r="AC307" i="10" s="1"/>
  <c r="I298" i="10"/>
  <c r="AC298" i="10" s="1"/>
  <c r="I289" i="10"/>
  <c r="AC289" i="10" s="1"/>
  <c r="I269" i="10"/>
  <c r="I260" i="10"/>
  <c r="I252" i="10"/>
  <c r="S186" i="10"/>
  <c r="S178" i="10"/>
  <c r="J159" i="10"/>
  <c r="T102" i="10"/>
  <c r="W310" i="10"/>
  <c r="AC104" i="10"/>
  <c r="I319" i="10"/>
  <c r="I124" i="10"/>
  <c r="S49" i="10"/>
  <c r="I225" i="10"/>
  <c r="I216" i="10"/>
  <c r="AC216" i="10" s="1"/>
  <c r="I207" i="10"/>
  <c r="AC207" i="10" s="1"/>
  <c r="I199" i="10"/>
  <c r="AC199" i="10" s="1"/>
  <c r="I173" i="10"/>
  <c r="I164" i="10"/>
  <c r="I112" i="10"/>
  <c r="AC112" i="10" s="1"/>
  <c r="I103" i="10"/>
  <c r="AC103" i="10" s="1"/>
  <c r="I94" i="10"/>
  <c r="AC94" i="10" s="1"/>
  <c r="AC59" i="10"/>
  <c r="AC32" i="10"/>
  <c r="I60" i="10"/>
  <c r="S117" i="10"/>
  <c r="S82" i="10"/>
  <c r="S73" i="10"/>
  <c r="S63" i="10"/>
  <c r="AC63" i="10" s="1"/>
  <c r="S55" i="10"/>
  <c r="S46" i="10"/>
  <c r="AC46" i="10" s="1"/>
  <c r="S37" i="10"/>
  <c r="S28" i="10"/>
  <c r="S19" i="10"/>
  <c r="S57" i="10"/>
  <c r="J195" i="10"/>
  <c r="J287" i="10"/>
  <c r="I315" i="10"/>
  <c r="AC315" i="10" s="1"/>
  <c r="I306" i="10"/>
  <c r="I297" i="10"/>
  <c r="AC297" i="10" s="1"/>
  <c r="I279" i="10"/>
  <c r="I241" i="10"/>
  <c r="I232" i="10"/>
  <c r="AC232" i="10" s="1"/>
  <c r="I224" i="10"/>
  <c r="I215" i="10"/>
  <c r="AC215" i="10" s="1"/>
  <c r="I181" i="10"/>
  <c r="I172" i="10"/>
  <c r="I145" i="10"/>
  <c r="I137" i="10"/>
  <c r="AC137" i="10" s="1"/>
  <c r="I128" i="10"/>
  <c r="AC128" i="10" s="1"/>
  <c r="I120" i="10"/>
  <c r="AC120" i="10" s="1"/>
  <c r="I111" i="10"/>
  <c r="I67" i="10"/>
  <c r="AC67" i="10" s="1"/>
  <c r="I40" i="10"/>
  <c r="AC40" i="10" s="1"/>
  <c r="I31" i="10"/>
  <c r="AC31" i="10" s="1"/>
  <c r="I22" i="10"/>
  <c r="AC22" i="10" s="1"/>
  <c r="I261" i="10"/>
  <c r="I253" i="10"/>
  <c r="I68" i="10"/>
  <c r="AC68" i="10" s="1"/>
  <c r="S293" i="10"/>
  <c r="S284" i="10"/>
  <c r="S274" i="10"/>
  <c r="S264" i="10"/>
  <c r="S256" i="10"/>
  <c r="AC256" i="10" s="1"/>
  <c r="S247" i="10"/>
  <c r="S238" i="10"/>
  <c r="S203" i="10"/>
  <c r="S194" i="10"/>
  <c r="S169" i="10"/>
  <c r="AC169" i="10" s="1"/>
  <c r="S160" i="10"/>
  <c r="S151" i="10"/>
  <c r="S142" i="10"/>
  <c r="S134" i="10"/>
  <c r="S125" i="10"/>
  <c r="S98" i="10"/>
  <c r="S90" i="10"/>
  <c r="S81" i="10"/>
  <c r="S72" i="10"/>
  <c r="AC72" i="10" s="1"/>
  <c r="S62" i="10"/>
  <c r="S54" i="10"/>
  <c r="S44" i="10"/>
  <c r="AC44" i="10" s="1"/>
  <c r="S36" i="10"/>
  <c r="S27" i="10"/>
  <c r="T159" i="10"/>
  <c r="I322" i="10"/>
  <c r="I314" i="10"/>
  <c r="I305" i="10"/>
  <c r="I286" i="10"/>
  <c r="I249" i="10"/>
  <c r="I240" i="10"/>
  <c r="I231" i="10"/>
  <c r="I205" i="10"/>
  <c r="I188" i="10"/>
  <c r="I180" i="10"/>
  <c r="I153" i="10"/>
  <c r="I144" i="10"/>
  <c r="I136" i="10"/>
  <c r="I127" i="10"/>
  <c r="I118" i="10"/>
  <c r="I84" i="10"/>
  <c r="I75" i="10"/>
  <c r="I48" i="10"/>
  <c r="I39" i="10"/>
  <c r="I30" i="10"/>
  <c r="AC30" i="10" s="1"/>
  <c r="S301" i="10"/>
  <c r="S292" i="10"/>
  <c r="S283" i="10"/>
  <c r="S273" i="10"/>
  <c r="S263" i="10"/>
  <c r="S255" i="10"/>
  <c r="S246" i="10"/>
  <c r="S219" i="10"/>
  <c r="S211" i="10"/>
  <c r="S202" i="10"/>
  <c r="S193" i="10"/>
  <c r="S185" i="10"/>
  <c r="S177" i="10"/>
  <c r="AC177" i="10" s="1"/>
  <c r="S168" i="10"/>
  <c r="S158" i="10"/>
  <c r="S106" i="10"/>
  <c r="S97" i="10"/>
  <c r="S89" i="10"/>
  <c r="S80" i="10"/>
  <c r="S71" i="10"/>
  <c r="S61" i="10"/>
  <c r="S52" i="10"/>
  <c r="S43" i="10"/>
  <c r="S35" i="10"/>
  <c r="S25" i="10"/>
  <c r="P26" i="10"/>
  <c r="M76" i="10"/>
  <c r="T119" i="10"/>
  <c r="M174" i="10"/>
  <c r="I321" i="10"/>
  <c r="I313" i="10"/>
  <c r="I303" i="10"/>
  <c r="I294" i="10"/>
  <c r="I265" i="10"/>
  <c r="I257" i="10"/>
  <c r="I248" i="10"/>
  <c r="I239" i="10"/>
  <c r="I204" i="10"/>
  <c r="I196" i="10"/>
  <c r="I161" i="10"/>
  <c r="I152" i="10"/>
  <c r="I143" i="10"/>
  <c r="I135" i="10"/>
  <c r="I126" i="10"/>
  <c r="I108" i="10"/>
  <c r="I99" i="10"/>
  <c r="I91" i="10"/>
  <c r="I83" i="10"/>
  <c r="I56" i="10"/>
  <c r="I47" i="10"/>
  <c r="I38" i="10"/>
  <c r="I20" i="10"/>
  <c r="I189" i="10"/>
  <c r="S309" i="10"/>
  <c r="S300" i="10"/>
  <c r="S291" i="10"/>
  <c r="S282" i="10"/>
  <c r="S272" i="10"/>
  <c r="S262" i="10"/>
  <c r="S254" i="10"/>
  <c r="S227" i="10"/>
  <c r="S218" i="10"/>
  <c r="S209" i="10"/>
  <c r="S201" i="10"/>
  <c r="S192" i="10"/>
  <c r="S184" i="10"/>
  <c r="S176" i="10"/>
  <c r="S167" i="10"/>
  <c r="S114" i="10"/>
  <c r="S105" i="10"/>
  <c r="S96" i="10"/>
  <c r="S87" i="10"/>
  <c r="S79" i="10"/>
  <c r="S69" i="10"/>
  <c r="S60" i="10"/>
  <c r="S51" i="10"/>
  <c r="S33" i="10"/>
  <c r="S24" i="10"/>
  <c r="S15" i="10"/>
  <c r="R323" i="10"/>
  <c r="T45" i="10"/>
  <c r="W64" i="10"/>
  <c r="Z76" i="10"/>
  <c r="P102" i="10"/>
  <c r="W159" i="10"/>
  <c r="Z174" i="10"/>
  <c r="T233" i="10"/>
  <c r="W250" i="10"/>
  <c r="M278" i="10"/>
  <c r="Z278" i="10"/>
  <c r="P295" i="10"/>
  <c r="T310" i="10"/>
  <c r="AC191" i="10"/>
  <c r="AC183" i="10"/>
  <c r="I28" i="10"/>
  <c r="J53" i="10"/>
  <c r="J150" i="10"/>
  <c r="AB323" i="10"/>
  <c r="O323" i="10"/>
  <c r="U323" i="10"/>
  <c r="T17" i="10"/>
  <c r="J250" i="10"/>
  <c r="AA323" i="10"/>
  <c r="Z17" i="10"/>
  <c r="N323" i="10"/>
  <c r="M17" i="10"/>
  <c r="Y323" i="10"/>
  <c r="L323" i="10"/>
  <c r="Z45" i="10"/>
  <c r="P64" i="10"/>
  <c r="I237" i="10"/>
  <c r="I229" i="10"/>
  <c r="I221" i="10"/>
  <c r="I213" i="10"/>
  <c r="Q323" i="10"/>
  <c r="J76" i="10"/>
  <c r="J174" i="10"/>
  <c r="X323" i="10"/>
  <c r="W17" i="10"/>
  <c r="T34" i="10"/>
  <c r="W53" i="10"/>
  <c r="M70" i="10"/>
  <c r="Z70" i="10"/>
  <c r="P88" i="10"/>
  <c r="W150" i="10"/>
  <c r="W243" i="10"/>
  <c r="P287" i="10"/>
  <c r="T304" i="10"/>
  <c r="I100" i="10"/>
  <c r="I92" i="10"/>
  <c r="S65" i="10"/>
  <c r="K323" i="10"/>
  <c r="J17" i="10"/>
  <c r="V323" i="10"/>
  <c r="M26" i="10"/>
  <c r="Z26" i="10"/>
  <c r="P45" i="10"/>
  <c r="I45" i="10" s="1"/>
  <c r="T64" i="10"/>
  <c r="W76" i="10"/>
  <c r="M102" i="10"/>
  <c r="Z102" i="10"/>
  <c r="P119" i="10"/>
  <c r="I119" i="10" s="1"/>
  <c r="W174" i="10"/>
  <c r="M210" i="10"/>
  <c r="Z210" i="10"/>
  <c r="P233" i="10"/>
  <c r="T250" i="10"/>
  <c r="Z295" i="10"/>
  <c r="P310" i="10"/>
  <c r="I11" i="10"/>
  <c r="I270" i="10"/>
  <c r="I12" i="10"/>
  <c r="AC86" i="10"/>
  <c r="S320" i="10"/>
  <c r="AC320" i="10" s="1"/>
  <c r="S312" i="10"/>
  <c r="AC312" i="10" s="1"/>
  <c r="S296" i="10"/>
  <c r="I296" i="10"/>
  <c r="I288" i="10"/>
  <c r="AC288" i="10" s="1"/>
  <c r="I280" i="10"/>
  <c r="AC280" i="10" s="1"/>
  <c r="I262" i="10"/>
  <c r="I254" i="10"/>
  <c r="I246" i="10"/>
  <c r="I238" i="10"/>
  <c r="I230" i="10"/>
  <c r="I222" i="10"/>
  <c r="I214" i="10"/>
  <c r="I206" i="10"/>
  <c r="AC206" i="10" s="1"/>
  <c r="I198" i="10"/>
  <c r="I190" i="10"/>
  <c r="AC190" i="10" s="1"/>
  <c r="I182" i="10"/>
  <c r="AC182" i="10" s="1"/>
  <c r="I166" i="10"/>
  <c r="AC166" i="10" s="1"/>
  <c r="I158" i="10"/>
  <c r="I142" i="10"/>
  <c r="I134" i="10"/>
  <c r="I125" i="10"/>
  <c r="I117" i="10"/>
  <c r="AC117" i="10" s="1"/>
  <c r="I109" i="10"/>
  <c r="AC109" i="10" s="1"/>
  <c r="I101" i="10"/>
  <c r="I93" i="10"/>
  <c r="I85" i="10"/>
  <c r="I77" i="10"/>
  <c r="I69" i="10"/>
  <c r="AC69" i="10" s="1"/>
  <c r="I61" i="10"/>
  <c r="I37" i="10"/>
  <c r="I29" i="10"/>
  <c r="I21" i="10"/>
  <c r="AC21" i="10" s="1"/>
  <c r="I13" i="10"/>
  <c r="AC13" i="10" s="1"/>
  <c r="S319" i="10"/>
  <c r="S311" i="10"/>
  <c r="S303" i="10"/>
  <c r="S279" i="10"/>
  <c r="S270" i="10"/>
  <c r="S261" i="10"/>
  <c r="S253" i="10"/>
  <c r="S245" i="10"/>
  <c r="S237" i="10"/>
  <c r="S229" i="10"/>
  <c r="S221" i="10"/>
  <c r="S213" i="10"/>
  <c r="S205" i="10"/>
  <c r="S197" i="10"/>
  <c r="S189" i="10"/>
  <c r="S181" i="10"/>
  <c r="S173" i="10"/>
  <c r="S157" i="10"/>
  <c r="S149" i="10"/>
  <c r="S141" i="10"/>
  <c r="S133" i="10"/>
  <c r="S124" i="10"/>
  <c r="S116" i="10"/>
  <c r="S108" i="10"/>
  <c r="S100" i="10"/>
  <c r="S92" i="10"/>
  <c r="S84" i="10"/>
  <c r="Z159" i="10"/>
  <c r="Z250" i="10"/>
  <c r="S318" i="10"/>
  <c r="S302" i="10"/>
  <c r="S294" i="10"/>
  <c r="S286" i="10"/>
  <c r="S269" i="10"/>
  <c r="S260" i="10"/>
  <c r="S252" i="10"/>
  <c r="S244" i="10"/>
  <c r="S236" i="10"/>
  <c r="S228" i="10"/>
  <c r="S220" i="10"/>
  <c r="AC220" i="10" s="1"/>
  <c r="S212" i="10"/>
  <c r="AC212" i="10" s="1"/>
  <c r="S204" i="10"/>
  <c r="S196" i="10"/>
  <c r="S188" i="10"/>
  <c r="S180" i="10"/>
  <c r="S172" i="10"/>
  <c r="S164" i="10"/>
  <c r="S156" i="10"/>
  <c r="S148" i="10"/>
  <c r="S140" i="10"/>
  <c r="S132" i="10"/>
  <c r="S123" i="10"/>
  <c r="S115" i="10"/>
  <c r="S107" i="10"/>
  <c r="AC107" i="10" s="1"/>
  <c r="S99" i="10"/>
  <c r="S91" i="10"/>
  <c r="S83" i="10"/>
  <c r="S75" i="10"/>
  <c r="S74" i="10"/>
  <c r="S66" i="10"/>
  <c r="S58" i="10"/>
  <c r="S50" i="10"/>
  <c r="S42" i="10"/>
  <c r="S18" i="10"/>
  <c r="Z233" i="10"/>
  <c r="Z310" i="10"/>
  <c r="I317" i="10"/>
  <c r="AC317" i="10" s="1"/>
  <c r="I309" i="10"/>
  <c r="I301" i="10"/>
  <c r="I293" i="10"/>
  <c r="AC293" i="10" s="1"/>
  <c r="I285" i="10"/>
  <c r="I277" i="10"/>
  <c r="I268" i="10"/>
  <c r="I259" i="10"/>
  <c r="I251" i="10"/>
  <c r="AC251" i="10" s="1"/>
  <c r="I235" i="10"/>
  <c r="AC235" i="10" s="1"/>
  <c r="I227" i="10"/>
  <c r="I219" i="10"/>
  <c r="I211" i="10"/>
  <c r="I203" i="10"/>
  <c r="I187" i="10"/>
  <c r="I179" i="10"/>
  <c r="I171" i="10"/>
  <c r="I163" i="10"/>
  <c r="I155" i="10"/>
  <c r="I147" i="10"/>
  <c r="AC147" i="10" s="1"/>
  <c r="I139" i="10"/>
  <c r="AC139" i="10" s="1"/>
  <c r="I131" i="10"/>
  <c r="AC131" i="10" s="1"/>
  <c r="I122" i="10"/>
  <c r="AC122" i="10" s="1"/>
  <c r="I114" i="10"/>
  <c r="I106" i="10"/>
  <c r="I98" i="10"/>
  <c r="I90" i="10"/>
  <c r="AC90" i="10" s="1"/>
  <c r="I82" i="10"/>
  <c r="AC82" i="10" s="1"/>
  <c r="I74" i="10"/>
  <c r="I66" i="10"/>
  <c r="I58" i="10"/>
  <c r="I50" i="10"/>
  <c r="I42" i="10"/>
  <c r="I18" i="10"/>
  <c r="Z165" i="10"/>
  <c r="Z271" i="10"/>
  <c r="I316" i="10"/>
  <c r="I308" i="10"/>
  <c r="AC308" i="10" s="1"/>
  <c r="I300" i="10"/>
  <c r="I292" i="10"/>
  <c r="I284" i="10"/>
  <c r="I275" i="10"/>
  <c r="I266" i="10"/>
  <c r="I258" i="10"/>
  <c r="I242" i="10"/>
  <c r="I234" i="10"/>
  <c r="I226" i="10"/>
  <c r="AC226" i="10" s="1"/>
  <c r="I218" i="10"/>
  <c r="I202" i="10"/>
  <c r="I194" i="10"/>
  <c r="I186" i="10"/>
  <c r="I178" i="10"/>
  <c r="I170" i="10"/>
  <c r="I162" i="10"/>
  <c r="I154" i="10"/>
  <c r="AC154" i="10" s="1"/>
  <c r="I146" i="10"/>
  <c r="I138" i="10"/>
  <c r="I129" i="10"/>
  <c r="AC129" i="10" s="1"/>
  <c r="I121" i="10"/>
  <c r="AC121" i="10" s="1"/>
  <c r="I113" i="10"/>
  <c r="AC113" i="10" s="1"/>
  <c r="I105" i="10"/>
  <c r="I97" i="10"/>
  <c r="I89" i="10"/>
  <c r="I81" i="10"/>
  <c r="I73" i="10"/>
  <c r="I65" i="10"/>
  <c r="I57" i="10"/>
  <c r="AC57" i="10" s="1"/>
  <c r="I49" i="10"/>
  <c r="I41" i="10"/>
  <c r="AC41" i="10" s="1"/>
  <c r="I33" i="10"/>
  <c r="I25" i="10"/>
  <c r="S11" i="10"/>
  <c r="S16" i="10"/>
  <c r="AC290" i="10"/>
  <c r="AC224" i="10"/>
  <c r="AC208" i="10"/>
  <c r="AC95" i="10"/>
  <c r="I63" i="8"/>
  <c r="I28" i="8"/>
  <c r="J26" i="8"/>
  <c r="J102" i="8"/>
  <c r="J210" i="8"/>
  <c r="J295" i="8"/>
  <c r="I303" i="8"/>
  <c r="I285" i="8"/>
  <c r="I275" i="8"/>
  <c r="I265" i="8"/>
  <c r="I257" i="8"/>
  <c r="I248" i="8"/>
  <c r="I239" i="8"/>
  <c r="I230" i="8"/>
  <c r="I126" i="8"/>
  <c r="I108" i="8"/>
  <c r="I46" i="8"/>
  <c r="I12" i="8"/>
  <c r="I31" i="8"/>
  <c r="I307" i="8"/>
  <c r="I298" i="8"/>
  <c r="I289" i="8"/>
  <c r="I280" i="8"/>
  <c r="I242" i="8"/>
  <c r="I234" i="8"/>
  <c r="I225" i="8"/>
  <c r="I216" i="8"/>
  <c r="I207" i="8"/>
  <c r="I199" i="8"/>
  <c r="I190" i="8"/>
  <c r="I182" i="8"/>
  <c r="I173" i="8"/>
  <c r="I155" i="8"/>
  <c r="I146" i="8"/>
  <c r="I138" i="8"/>
  <c r="I129" i="8"/>
  <c r="AG129" i="8" s="1"/>
  <c r="I121" i="8"/>
  <c r="I112" i="8"/>
  <c r="I103" i="8"/>
  <c r="I94" i="8"/>
  <c r="I85" i="8"/>
  <c r="I77" i="8"/>
  <c r="I58" i="8"/>
  <c r="I49" i="8"/>
  <c r="I40" i="8"/>
  <c r="I22" i="8"/>
  <c r="I13" i="8"/>
  <c r="I206" i="8"/>
  <c r="I189" i="8"/>
  <c r="I145" i="8"/>
  <c r="I11" i="8"/>
  <c r="I306" i="8"/>
  <c r="I288" i="8"/>
  <c r="I279" i="8"/>
  <c r="I268" i="8"/>
  <c r="I259" i="8"/>
  <c r="I251" i="8"/>
  <c r="I241" i="8"/>
  <c r="I232" i="8"/>
  <c r="I224" i="8"/>
  <c r="I215" i="8"/>
  <c r="I198" i="8"/>
  <c r="I181" i="8"/>
  <c r="I163" i="8"/>
  <c r="I154" i="8"/>
  <c r="I137" i="8"/>
  <c r="I128" i="8"/>
  <c r="I120" i="8"/>
  <c r="I111" i="8"/>
  <c r="I66" i="8"/>
  <c r="I48" i="8"/>
  <c r="I203" i="8"/>
  <c r="AG203" i="8" s="1"/>
  <c r="I194" i="8"/>
  <c r="AG194" i="8" s="1"/>
  <c r="I186" i="8"/>
  <c r="I178" i="8"/>
  <c r="I169" i="8"/>
  <c r="I142" i="8"/>
  <c r="I134" i="8"/>
  <c r="I125" i="8"/>
  <c r="I309" i="8"/>
  <c r="I300" i="8"/>
  <c r="I272" i="8"/>
  <c r="I262" i="8"/>
  <c r="I254" i="8"/>
  <c r="I227" i="8"/>
  <c r="I218" i="8"/>
  <c r="I209" i="8"/>
  <c r="I184" i="8"/>
  <c r="I176" i="8"/>
  <c r="I114" i="8"/>
  <c r="I105" i="8"/>
  <c r="I96" i="8"/>
  <c r="I87" i="8"/>
  <c r="I69" i="8"/>
  <c r="I60" i="8"/>
  <c r="I42" i="8"/>
  <c r="I33" i="8"/>
  <c r="I293" i="8"/>
  <c r="AG293" i="8" s="1"/>
  <c r="I284" i="8"/>
  <c r="AG284" i="8" s="1"/>
  <c r="I274" i="8"/>
  <c r="AG274" i="8" s="1"/>
  <c r="I264" i="8"/>
  <c r="AG264" i="8" s="1"/>
  <c r="I256" i="8"/>
  <c r="AG256" i="8" s="1"/>
  <c r="I247" i="8"/>
  <c r="AG247" i="8" s="1"/>
  <c r="I238" i="8"/>
  <c r="AG238" i="8" s="1"/>
  <c r="I116" i="8"/>
  <c r="I90" i="8"/>
  <c r="I62" i="8"/>
  <c r="I54" i="8"/>
  <c r="I44" i="8"/>
  <c r="I36" i="8"/>
  <c r="J88" i="8"/>
  <c r="J287" i="8"/>
  <c r="AA323" i="8"/>
  <c r="Q323" i="8"/>
  <c r="J64" i="8"/>
  <c r="J174" i="8"/>
  <c r="J271" i="8"/>
  <c r="J278" i="8"/>
  <c r="I15" i="8"/>
  <c r="I217" i="8"/>
  <c r="I32" i="8"/>
  <c r="I292" i="8"/>
  <c r="I273" i="8"/>
  <c r="I193" i="8"/>
  <c r="I71" i="8"/>
  <c r="I52" i="8"/>
  <c r="I84" i="8"/>
  <c r="I57" i="8"/>
  <c r="I39" i="8"/>
  <c r="I21" i="8"/>
  <c r="I170" i="8"/>
  <c r="I161" i="8"/>
  <c r="I152" i="8"/>
  <c r="I143" i="8"/>
  <c r="I135" i="8"/>
  <c r="I117" i="8"/>
  <c r="I55" i="8"/>
  <c r="I37" i="8"/>
  <c r="I221" i="8"/>
  <c r="I213" i="8"/>
  <c r="I101" i="8"/>
  <c r="I93" i="8"/>
  <c r="I263" i="8"/>
  <c r="I255" i="8"/>
  <c r="I246" i="8"/>
  <c r="I237" i="8"/>
  <c r="I187" i="8"/>
  <c r="I179" i="8"/>
  <c r="I30" i="8"/>
  <c r="I317" i="8"/>
  <c r="I308" i="8"/>
  <c r="I299" i="8"/>
  <c r="I290" i="8"/>
  <c r="I270" i="8"/>
  <c r="I261" i="8"/>
  <c r="I253" i="8"/>
  <c r="I235" i="8"/>
  <c r="I226" i="8"/>
  <c r="I208" i="8"/>
  <c r="I200" i="8"/>
  <c r="I191" i="8"/>
  <c r="I183" i="8"/>
  <c r="I113" i="8"/>
  <c r="I104" i="8"/>
  <c r="I95" i="8"/>
  <c r="J119" i="8"/>
  <c r="J233" i="8"/>
  <c r="J310" i="8"/>
  <c r="I82" i="8"/>
  <c r="I73" i="8"/>
  <c r="I168" i="8"/>
  <c r="I158" i="8"/>
  <c r="I149" i="8"/>
  <c r="I141" i="8"/>
  <c r="I133" i="8"/>
  <c r="I106" i="8"/>
  <c r="I98" i="8"/>
  <c r="I297" i="8"/>
  <c r="I97" i="8"/>
  <c r="I89" i="8"/>
  <c r="Z323" i="8"/>
  <c r="O323" i="8"/>
  <c r="I320" i="8"/>
  <c r="AG320" i="8" s="1"/>
  <c r="I312" i="8"/>
  <c r="AG312" i="8" s="1"/>
  <c r="Y323" i="8"/>
  <c r="N323" i="8"/>
  <c r="I281" i="8"/>
  <c r="I86" i="8"/>
  <c r="I68" i="8"/>
  <c r="I50" i="8"/>
  <c r="I41" i="8"/>
  <c r="I23" i="8"/>
  <c r="X323" i="8"/>
  <c r="M323" i="8"/>
  <c r="I81" i="8"/>
  <c r="I72" i="8"/>
  <c r="AF323" i="8"/>
  <c r="W323" i="8"/>
  <c r="I151" i="8"/>
  <c r="I147" i="8"/>
  <c r="I139" i="8"/>
  <c r="I131" i="8"/>
  <c r="I122" i="8"/>
  <c r="AE323" i="8"/>
  <c r="T323" i="8"/>
  <c r="I160" i="8"/>
  <c r="AD323" i="8"/>
  <c r="S323" i="8"/>
  <c r="I229" i="8"/>
  <c r="AG229" i="8" s="1"/>
  <c r="I18" i="8"/>
  <c r="AC323" i="8"/>
  <c r="R323" i="8"/>
  <c r="J70" i="8"/>
  <c r="J159" i="8"/>
  <c r="J165" i="8"/>
  <c r="J250" i="8"/>
  <c r="AG283" i="8"/>
  <c r="AG185" i="8"/>
  <c r="I166" i="8"/>
  <c r="AG291" i="8"/>
  <c r="AG282" i="8"/>
  <c r="AG201" i="8"/>
  <c r="AG157" i="8"/>
  <c r="AG79" i="8"/>
  <c r="J150" i="8"/>
  <c r="AG319" i="8"/>
  <c r="AG61" i="8"/>
  <c r="I175" i="8"/>
  <c r="AG78" i="8"/>
  <c r="AG202" i="8"/>
  <c r="AG80" i="8"/>
  <c r="I304" i="8"/>
  <c r="U11" i="8"/>
  <c r="AG316" i="8"/>
  <c r="AG298" i="8"/>
  <c r="AG121" i="8"/>
  <c r="AG40" i="8"/>
  <c r="AG315" i="8"/>
  <c r="AG215" i="8"/>
  <c r="AG314" i="8"/>
  <c r="AG277" i="8"/>
  <c r="AG266" i="8"/>
  <c r="AG258" i="8"/>
  <c r="AG249" i="8"/>
  <c r="AG240" i="8"/>
  <c r="AG231" i="8"/>
  <c r="AG222" i="8"/>
  <c r="AG214" i="8"/>
  <c r="AG205" i="8"/>
  <c r="AG197" i="8"/>
  <c r="AG171" i="8"/>
  <c r="AG162" i="8"/>
  <c r="AG153" i="8"/>
  <c r="AG144" i="8"/>
  <c r="AG136" i="8"/>
  <c r="AG127" i="8"/>
  <c r="AG118" i="8"/>
  <c r="AG109" i="8"/>
  <c r="AG100" i="8"/>
  <c r="AG92" i="8"/>
  <c r="AG74" i="8"/>
  <c r="AG65" i="8"/>
  <c r="AG56" i="8"/>
  <c r="AG47" i="8"/>
  <c r="AG38" i="8"/>
  <c r="AG29" i="8"/>
  <c r="AG20" i="8"/>
  <c r="I210" i="8"/>
  <c r="I34" i="8"/>
  <c r="AG265" i="8"/>
  <c r="AG257" i="8"/>
  <c r="AG239" i="8"/>
  <c r="AG187" i="8"/>
  <c r="AG170" i="8"/>
  <c r="AG37" i="8"/>
  <c r="AG186" i="8"/>
  <c r="AG62" i="8"/>
  <c r="AG111" i="8"/>
  <c r="J195" i="8"/>
  <c r="J110" i="8"/>
  <c r="AG211" i="8"/>
  <c r="J76" i="8"/>
  <c r="J45" i="8"/>
  <c r="J243" i="8"/>
  <c r="J53" i="8"/>
  <c r="J17" i="8"/>
  <c r="I318" i="8"/>
  <c r="I302" i="8"/>
  <c r="AG302" i="8" s="1"/>
  <c r="I294" i="8"/>
  <c r="I286" i="8"/>
  <c r="I269" i="8"/>
  <c r="I260" i="8"/>
  <c r="I252" i="8"/>
  <c r="I244" i="8"/>
  <c r="I236" i="8"/>
  <c r="I228" i="8"/>
  <c r="I220" i="8"/>
  <c r="AG220" i="8" s="1"/>
  <c r="I212" i="8"/>
  <c r="AG212" i="8" s="1"/>
  <c r="I204" i="8"/>
  <c r="I196" i="8"/>
  <c r="I188" i="8"/>
  <c r="I180" i="8"/>
  <c r="I172" i="8"/>
  <c r="I164" i="8"/>
  <c r="I156" i="8"/>
  <c r="I148" i="8"/>
  <c r="I140" i="8"/>
  <c r="I132" i="8"/>
  <c r="I123" i="8"/>
  <c r="I115" i="8"/>
  <c r="I107" i="8"/>
  <c r="I99" i="8"/>
  <c r="I91" i="8"/>
  <c r="I83" i="8"/>
  <c r="I75" i="8"/>
  <c r="I67" i="8"/>
  <c r="I59" i="8"/>
  <c r="I51" i="8"/>
  <c r="I43" i="8"/>
  <c r="I35" i="8"/>
  <c r="I27" i="8"/>
  <c r="I19" i="8"/>
  <c r="AH210" i="6"/>
  <c r="AM321" i="6"/>
  <c r="AM313" i="6"/>
  <c r="AM275" i="6"/>
  <c r="AM265" i="6"/>
  <c r="AM257" i="6"/>
  <c r="AM239" i="6"/>
  <c r="AM230" i="6"/>
  <c r="AM161" i="6"/>
  <c r="AM143" i="6"/>
  <c r="AM135" i="6"/>
  <c r="AC304" i="6"/>
  <c r="AM320" i="6"/>
  <c r="AM203" i="6"/>
  <c r="AM169" i="6"/>
  <c r="AM151" i="6"/>
  <c r="AM142" i="6"/>
  <c r="AM134" i="6"/>
  <c r="AM125" i="6"/>
  <c r="AM126" i="6"/>
  <c r="AM117" i="6"/>
  <c r="AM82" i="6"/>
  <c r="AM46" i="6"/>
  <c r="AM37" i="6"/>
  <c r="AM309" i="6"/>
  <c r="AM157" i="6"/>
  <c r="AM114" i="6"/>
  <c r="AM60" i="6"/>
  <c r="AM42" i="6"/>
  <c r="AC45" i="6"/>
  <c r="AC53" i="6"/>
  <c r="AC64" i="6"/>
  <c r="AC70" i="6"/>
  <c r="AC88" i="6"/>
  <c r="AC102" i="6"/>
  <c r="AC110" i="6"/>
  <c r="AC119" i="6"/>
  <c r="AC150" i="6"/>
  <c r="AC159" i="6"/>
  <c r="AC174" i="6"/>
  <c r="AC210" i="6"/>
  <c r="AM210" i="6" s="1"/>
  <c r="AC223" i="6"/>
  <c r="AC233" i="6"/>
  <c r="AC250" i="6"/>
  <c r="AC271" i="6"/>
  <c r="AC278" i="6"/>
  <c r="AC310" i="6"/>
  <c r="AM312" i="6"/>
  <c r="AM293" i="6"/>
  <c r="AM274" i="6"/>
  <c r="AM264" i="6"/>
  <c r="AM247" i="6"/>
  <c r="AM238" i="6"/>
  <c r="AM303" i="6"/>
  <c r="AM221" i="6"/>
  <c r="AM213" i="6"/>
  <c r="AM90" i="6"/>
  <c r="AM81" i="6"/>
  <c r="AM72" i="6"/>
  <c r="AM62" i="6"/>
  <c r="AM54" i="6"/>
  <c r="AM245" i="6"/>
  <c r="AM202" i="6"/>
  <c r="AM185" i="6"/>
  <c r="AM177" i="6"/>
  <c r="AM168" i="6"/>
  <c r="AM158" i="6"/>
  <c r="AM124" i="6"/>
  <c r="AM308" i="6"/>
  <c r="AM299" i="6"/>
  <c r="AM290" i="6"/>
  <c r="AM281" i="6"/>
  <c r="I53" i="6"/>
  <c r="I150" i="6"/>
  <c r="AM187" i="6"/>
  <c r="AM179" i="6"/>
  <c r="AM108" i="6"/>
  <c r="AM28" i="6"/>
  <c r="AH17" i="6"/>
  <c r="AH26" i="6"/>
  <c r="AH34" i="6"/>
  <c r="AH45" i="6"/>
  <c r="AH53" i="6"/>
  <c r="AH64" i="6"/>
  <c r="AH70" i="6"/>
  <c r="AH76" i="6"/>
  <c r="AH88" i="6"/>
  <c r="AH102" i="6"/>
  <c r="AH110" i="6"/>
  <c r="AH119" i="6"/>
  <c r="AH150" i="6"/>
  <c r="AH159" i="6"/>
  <c r="AH165" i="6"/>
  <c r="AH174" i="6"/>
  <c r="AH195" i="6"/>
  <c r="AH250" i="6"/>
  <c r="AM284" i="6"/>
  <c r="AM229" i="6"/>
  <c r="I250" i="6"/>
  <c r="I64" i="6"/>
  <c r="I223" i="6"/>
  <c r="I110" i="6"/>
  <c r="I76" i="6"/>
  <c r="I34" i="6"/>
  <c r="AC26" i="6"/>
  <c r="AC34" i="6"/>
  <c r="AC76" i="6"/>
  <c r="AC165" i="6"/>
  <c r="AC195" i="6"/>
  <c r="AC243" i="6"/>
  <c r="AC287" i="6"/>
  <c r="AC295" i="6"/>
  <c r="AM298" i="6"/>
  <c r="AM192" i="6"/>
  <c r="AM176" i="6"/>
  <c r="AM97" i="6"/>
  <c r="AM89" i="6"/>
  <c r="AM71" i="6"/>
  <c r="AM25" i="6"/>
  <c r="I278" i="6"/>
  <c r="AM306" i="6"/>
  <c r="AM216" i="6"/>
  <c r="AM208" i="6"/>
  <c r="AM200" i="6"/>
  <c r="AM105" i="6"/>
  <c r="AM87" i="6"/>
  <c r="AM79" i="6"/>
  <c r="AM33" i="6"/>
  <c r="I243" i="6"/>
  <c r="AM322" i="6"/>
  <c r="AM258" i="6"/>
  <c r="AM232" i="6"/>
  <c r="AM146" i="6"/>
  <c r="AM138" i="6"/>
  <c r="AM129" i="6"/>
  <c r="AM121" i="6"/>
  <c r="AM95" i="6"/>
  <c r="AM41" i="6"/>
  <c r="AM23" i="6"/>
  <c r="AM15" i="6"/>
  <c r="I271" i="6"/>
  <c r="I159" i="6"/>
  <c r="I210" i="6"/>
  <c r="I102" i="6"/>
  <c r="I26" i="6"/>
  <c r="AH223" i="6"/>
  <c r="AH233" i="6"/>
  <c r="AH243" i="6"/>
  <c r="AH271" i="6"/>
  <c r="AH278" i="6"/>
  <c r="AM278" i="6" s="1"/>
  <c r="AH287" i="6"/>
  <c r="AH295" i="6"/>
  <c r="AH304" i="6"/>
  <c r="AH310" i="6"/>
  <c r="AM116" i="6"/>
  <c r="AM98" i="6"/>
  <c r="AM44" i="6"/>
  <c r="AM36" i="6"/>
  <c r="AM18" i="6"/>
  <c r="AM240" i="6"/>
  <c r="AM154" i="6"/>
  <c r="AM49" i="6"/>
  <c r="AM31" i="6"/>
  <c r="I174" i="6"/>
  <c r="I295" i="6"/>
  <c r="I165" i="6"/>
  <c r="I70" i="6"/>
  <c r="AM149" i="6"/>
  <c r="AM141" i="6"/>
  <c r="AM133" i="6"/>
  <c r="AM256" i="6"/>
  <c r="AM248" i="6"/>
  <c r="AM162" i="6"/>
  <c r="AM144" i="6"/>
  <c r="AM136" i="6"/>
  <c r="AM127" i="6"/>
  <c r="AM57" i="6"/>
  <c r="AM39" i="6"/>
  <c r="I304" i="6"/>
  <c r="I310" i="6"/>
  <c r="I287" i="6"/>
  <c r="I233" i="6"/>
  <c r="I119" i="6"/>
  <c r="I45" i="6"/>
  <c r="AM227" i="6"/>
  <c r="AM218" i="6"/>
  <c r="AM292" i="6"/>
  <c r="AM170" i="6"/>
  <c r="AM152" i="6"/>
  <c r="AM65" i="6"/>
  <c r="AM47" i="6"/>
  <c r="I195" i="6"/>
  <c r="I88" i="6"/>
  <c r="I17" i="6"/>
  <c r="AM317" i="6"/>
  <c r="AM270" i="6"/>
  <c r="AM261" i="6"/>
  <c r="AM253" i="6"/>
  <c r="AM300" i="6"/>
  <c r="AM282" i="6"/>
  <c r="AM194" i="6"/>
  <c r="AM186" i="6"/>
  <c r="AM178" i="6"/>
  <c r="AM160" i="6"/>
  <c r="AM73" i="6"/>
  <c r="AM63" i="6"/>
  <c r="AM55" i="6"/>
  <c r="AC17" i="6"/>
  <c r="AM228" i="6"/>
  <c r="AM115" i="6"/>
  <c r="AM43" i="6"/>
  <c r="AM35" i="6"/>
  <c r="AM318" i="6"/>
  <c r="AM302" i="6"/>
  <c r="AM294" i="6"/>
  <c r="AM286" i="6"/>
  <c r="AM269" i="6"/>
  <c r="AM260" i="6"/>
  <c r="AM252" i="6"/>
  <c r="AM244" i="6"/>
  <c r="AM236" i="6"/>
  <c r="AM220" i="6"/>
  <c r="AM212" i="6"/>
  <c r="AM204" i="6"/>
  <c r="AM196" i="6"/>
  <c r="AM188" i="6"/>
  <c r="AM180" i="6"/>
  <c r="AM172" i="6"/>
  <c r="AM164" i="6"/>
  <c r="AM156" i="6"/>
  <c r="AM148" i="6"/>
  <c r="AM140" i="6"/>
  <c r="AM132" i="6"/>
  <c r="AM123" i="6"/>
  <c r="AM107" i="6"/>
  <c r="AM99" i="6"/>
  <c r="AM91" i="6"/>
  <c r="AM83" i="6"/>
  <c r="AM75" i="6"/>
  <c r="AM67" i="6"/>
  <c r="AM59" i="6"/>
  <c r="AM51" i="6"/>
  <c r="AM27" i="6"/>
  <c r="AM19" i="6"/>
  <c r="AE323" i="6"/>
  <c r="AG323" i="6"/>
  <c r="AI323" i="6"/>
  <c r="AJ323" i="6"/>
  <c r="AF323" i="6"/>
  <c r="AB323" i="6"/>
  <c r="T323" i="6"/>
  <c r="L323" i="6"/>
  <c r="K323" i="6"/>
  <c r="M323" i="6"/>
  <c r="Z323" i="6"/>
  <c r="R323" i="6"/>
  <c r="Y323" i="6"/>
  <c r="Q323" i="6"/>
  <c r="X323" i="6"/>
  <c r="P323" i="6"/>
  <c r="W323" i="6"/>
  <c r="O323" i="6"/>
  <c r="V323" i="6"/>
  <c r="N323" i="6"/>
  <c r="U323" i="6"/>
  <c r="AA323" i="6"/>
  <c r="J323" i="6"/>
  <c r="S323" i="6"/>
  <c r="N310" i="3"/>
  <c r="O310" i="3"/>
  <c r="P310" i="3"/>
  <c r="Q310" i="3"/>
  <c r="R310" i="3"/>
  <c r="S310" i="3"/>
  <c r="T310" i="3"/>
  <c r="U310" i="3"/>
  <c r="V310" i="3"/>
  <c r="W310" i="3"/>
  <c r="X310" i="3"/>
  <c r="Y310" i="3"/>
  <c r="Z310" i="3"/>
  <c r="AA310" i="3"/>
  <c r="AB310" i="3"/>
  <c r="AC310" i="3"/>
  <c r="AD310" i="3"/>
  <c r="AE310" i="3"/>
  <c r="AF310" i="3"/>
  <c r="N304" i="3"/>
  <c r="O304" i="3"/>
  <c r="P304" i="3"/>
  <c r="N295" i="3"/>
  <c r="O295" i="3"/>
  <c r="P295" i="3"/>
  <c r="Q295" i="3"/>
  <c r="R295" i="3"/>
  <c r="S295" i="3"/>
  <c r="T295" i="3"/>
  <c r="U295" i="3"/>
  <c r="V295" i="3"/>
  <c r="W295" i="3"/>
  <c r="X295" i="3"/>
  <c r="Y295" i="3"/>
  <c r="Z295" i="3"/>
  <c r="AA295" i="3"/>
  <c r="AB295" i="3"/>
  <c r="AC295" i="3"/>
  <c r="AD295" i="3"/>
  <c r="AE295" i="3"/>
  <c r="AF295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AA287" i="3"/>
  <c r="AB287" i="3"/>
  <c r="AC287" i="3"/>
  <c r="AD287" i="3"/>
  <c r="AE287" i="3"/>
  <c r="AF287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AA278" i="3"/>
  <c r="AB278" i="3"/>
  <c r="AC278" i="3"/>
  <c r="AD278" i="3"/>
  <c r="AE278" i="3"/>
  <c r="AF278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AF250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AE243" i="3"/>
  <c r="AF24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AF23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AA223" i="3"/>
  <c r="AB223" i="3"/>
  <c r="AC223" i="3"/>
  <c r="AD223" i="3"/>
  <c r="AE223" i="3"/>
  <c r="AF223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A70" i="3"/>
  <c r="AB70" i="3"/>
  <c r="AC70" i="3"/>
  <c r="AD70" i="3"/>
  <c r="AE70" i="3"/>
  <c r="AF70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I102" i="12" l="1"/>
  <c r="BM102" i="12" s="1"/>
  <c r="I250" i="12"/>
  <c r="BM250" i="12" s="1"/>
  <c r="AC162" i="10"/>
  <c r="AC93" i="10"/>
  <c r="AC111" i="10"/>
  <c r="S271" i="10"/>
  <c r="AC197" i="10"/>
  <c r="AC186" i="10"/>
  <c r="AC266" i="10"/>
  <c r="AC163" i="10"/>
  <c r="AC12" i="10"/>
  <c r="AC54" i="10"/>
  <c r="AC138" i="10"/>
  <c r="AC96" i="10"/>
  <c r="AC264" i="10"/>
  <c r="AC259" i="10"/>
  <c r="AC311" i="10"/>
  <c r="AC225" i="10"/>
  <c r="U159" i="8"/>
  <c r="U119" i="8"/>
  <c r="U223" i="8"/>
  <c r="U304" i="8"/>
  <c r="U88" i="8"/>
  <c r="U45" i="8"/>
  <c r="U110" i="8"/>
  <c r="U295" i="8"/>
  <c r="U17" i="8"/>
  <c r="U310" i="8"/>
  <c r="AG63" i="8"/>
  <c r="AG275" i="8"/>
  <c r="AG306" i="8"/>
  <c r="AG230" i="8"/>
  <c r="AG95" i="8"/>
  <c r="AG248" i="8"/>
  <c r="AG217" i="8"/>
  <c r="AC146" i="10"/>
  <c r="AC77" i="10"/>
  <c r="AC151" i="10"/>
  <c r="AC268" i="10"/>
  <c r="AC85" i="10"/>
  <c r="AC48" i="10"/>
  <c r="I110" i="12"/>
  <c r="BM110" i="12" s="1"/>
  <c r="AG46" i="8"/>
  <c r="AG24" i="8"/>
  <c r="AG167" i="8"/>
  <c r="AC234" i="10"/>
  <c r="AC156" i="10"/>
  <c r="I165" i="10"/>
  <c r="AG313" i="8"/>
  <c r="AC242" i="10"/>
  <c r="AC302" i="10"/>
  <c r="AC116" i="10"/>
  <c r="I278" i="11"/>
  <c r="AC27" i="10"/>
  <c r="AG192" i="8"/>
  <c r="AC155" i="10"/>
  <c r="AC244" i="10"/>
  <c r="I233" i="10"/>
  <c r="I64" i="12"/>
  <c r="K323" i="12"/>
  <c r="J323" i="12"/>
  <c r="N323" i="12"/>
  <c r="L323" i="12"/>
  <c r="M323" i="12"/>
  <c r="I45" i="11"/>
  <c r="AS45" i="11" s="1"/>
  <c r="I310" i="11"/>
  <c r="AS310" i="11" s="1"/>
  <c r="I17" i="11"/>
  <c r="AS17" i="11" s="1"/>
  <c r="I304" i="11"/>
  <c r="AS304" i="11" s="1"/>
  <c r="AC272" i="10"/>
  <c r="AC247" i="10"/>
  <c r="AC145" i="10"/>
  <c r="AC39" i="10"/>
  <c r="AC62" i="10"/>
  <c r="AC306" i="10"/>
  <c r="I304" i="10"/>
  <c r="AC55" i="10"/>
  <c r="AC185" i="10"/>
  <c r="AC98" i="10"/>
  <c r="AC241" i="10"/>
  <c r="AC19" i="10"/>
  <c r="AC292" i="10"/>
  <c r="S34" i="10"/>
  <c r="AC34" i="10" s="1"/>
  <c r="AC56" i="10"/>
  <c r="I310" i="10"/>
  <c r="AC101" i="10"/>
  <c r="AC160" i="10"/>
  <c r="AC274" i="10"/>
  <c r="AC198" i="10"/>
  <c r="AC36" i="10"/>
  <c r="I223" i="10"/>
  <c r="AG104" i="8"/>
  <c r="AG124" i="8"/>
  <c r="AG31" i="8"/>
  <c r="AG141" i="8"/>
  <c r="AG301" i="8"/>
  <c r="AG179" i="8"/>
  <c r="AG113" i="8"/>
  <c r="AG253" i="8"/>
  <c r="AG219" i="8"/>
  <c r="AG207" i="8"/>
  <c r="AG177" i="8"/>
  <c r="AG261" i="8"/>
  <c r="I64" i="8"/>
  <c r="AG292" i="8"/>
  <c r="I102" i="8"/>
  <c r="AG307" i="8"/>
  <c r="AG178" i="8"/>
  <c r="AG309" i="8"/>
  <c r="AG49" i="8"/>
  <c r="AG245" i="8"/>
  <c r="AG28" i="8"/>
  <c r="I26" i="8"/>
  <c r="AG25" i="8"/>
  <c r="AG16" i="8"/>
  <c r="AG23" i="8"/>
  <c r="AG15" i="8"/>
  <c r="Y8" i="16"/>
  <c r="AG12" i="8"/>
  <c r="AG303" i="8"/>
  <c r="AG96" i="8"/>
  <c r="T48" i="16"/>
  <c r="L323" i="11"/>
  <c r="AG199" i="8"/>
  <c r="AC97" i="10"/>
  <c r="Y29" i="16"/>
  <c r="I165" i="11"/>
  <c r="AS165" i="11" s="1"/>
  <c r="I287" i="11"/>
  <c r="AS287" i="11" s="1"/>
  <c r="AG68" i="8"/>
  <c r="I70" i="11"/>
  <c r="AS70" i="11" s="1"/>
  <c r="AG169" i="8"/>
  <c r="AG73" i="8"/>
  <c r="AC115" i="10"/>
  <c r="I295" i="11"/>
  <c r="AS295" i="11" s="1"/>
  <c r="AG221" i="8"/>
  <c r="AG300" i="8"/>
  <c r="K323" i="11"/>
  <c r="BM322" i="12"/>
  <c r="AM233" i="6"/>
  <c r="I323" i="6"/>
  <c r="AM304" i="6"/>
  <c r="AM250" i="6"/>
  <c r="AM159" i="6"/>
  <c r="AM271" i="6"/>
  <c r="AM45" i="6"/>
  <c r="I64" i="11"/>
  <c r="AS64" i="11" s="1"/>
  <c r="I250" i="11"/>
  <c r="AS250" i="11" s="1"/>
  <c r="I243" i="11"/>
  <c r="AS243" i="11" s="1"/>
  <c r="I195" i="11"/>
  <c r="AS195" i="11" s="1"/>
  <c r="I150" i="11"/>
  <c r="AS150" i="11" s="1"/>
  <c r="I88" i="11"/>
  <c r="AS88" i="11" s="1"/>
  <c r="I233" i="11"/>
  <c r="AS233" i="11" s="1"/>
  <c r="M323" i="11"/>
  <c r="N323" i="11"/>
  <c r="I119" i="11"/>
  <c r="AS119" i="11" s="1"/>
  <c r="AS159" i="11"/>
  <c r="I53" i="11"/>
  <c r="AS53" i="11" s="1"/>
  <c r="I223" i="11"/>
  <c r="AS223" i="11" s="1"/>
  <c r="I271" i="11"/>
  <c r="AS271" i="11" s="1"/>
  <c r="I210" i="11"/>
  <c r="AS210" i="11" s="1"/>
  <c r="I102" i="11"/>
  <c r="AS102" i="11" s="1"/>
  <c r="I34" i="11"/>
  <c r="AS34" i="11" s="1"/>
  <c r="I110" i="11"/>
  <c r="AS110" i="11" s="1"/>
  <c r="I174" i="11"/>
  <c r="AS174" i="11" s="1"/>
  <c r="I76" i="11"/>
  <c r="AS76" i="11" s="1"/>
  <c r="AS278" i="11"/>
  <c r="I26" i="11"/>
  <c r="AS26" i="11" s="1"/>
  <c r="I304" i="12"/>
  <c r="BM304" i="12" s="1"/>
  <c r="I26" i="12"/>
  <c r="BM26" i="12" s="1"/>
  <c r="I210" i="12"/>
  <c r="BM210" i="12" s="1"/>
  <c r="I53" i="12"/>
  <c r="BM53" i="12" s="1"/>
  <c r="I165" i="12"/>
  <c r="BM165" i="12" s="1"/>
  <c r="I159" i="12"/>
  <c r="BM159" i="12" s="1"/>
  <c r="I233" i="12"/>
  <c r="BM233" i="12" s="1"/>
  <c r="I119" i="12"/>
  <c r="BM119" i="12" s="1"/>
  <c r="I287" i="12"/>
  <c r="BM287" i="12" s="1"/>
  <c r="I88" i="12"/>
  <c r="BM88" i="12" s="1"/>
  <c r="I271" i="12"/>
  <c r="BM271" i="12" s="1"/>
  <c r="I17" i="12"/>
  <c r="BM17" i="12" s="1"/>
  <c r="I150" i="12"/>
  <c r="BM150" i="12" s="1"/>
  <c r="I310" i="12"/>
  <c r="BM310" i="12" s="1"/>
  <c r="I76" i="12"/>
  <c r="BM76" i="12" s="1"/>
  <c r="I223" i="12"/>
  <c r="BM223" i="12" s="1"/>
  <c r="I295" i="12"/>
  <c r="BM295" i="12" s="1"/>
  <c r="I34" i="12"/>
  <c r="BM34" i="12" s="1"/>
  <c r="BM64" i="12"/>
  <c r="I70" i="12"/>
  <c r="BM70" i="12" s="1"/>
  <c r="I195" i="12"/>
  <c r="BM195" i="12" s="1"/>
  <c r="I174" i="12"/>
  <c r="BM174" i="12" s="1"/>
  <c r="I278" i="12"/>
  <c r="BM278" i="12" s="1"/>
  <c r="I243" i="12"/>
  <c r="BM243" i="12" s="1"/>
  <c r="I5" i="15"/>
  <c r="N5" i="15" s="1"/>
  <c r="N21" i="15"/>
  <c r="Y12" i="16"/>
  <c r="O48" i="16"/>
  <c r="I45" i="12"/>
  <c r="BM45" i="12" s="1"/>
  <c r="AS11" i="11"/>
  <c r="AC47" i="10"/>
  <c r="AC52" i="10"/>
  <c r="S223" i="10"/>
  <c r="AC239" i="10"/>
  <c r="AC194" i="10"/>
  <c r="S210" i="10"/>
  <c r="AC135" i="10"/>
  <c r="S26" i="10"/>
  <c r="S88" i="10"/>
  <c r="I271" i="10"/>
  <c r="AC188" i="10"/>
  <c r="AC61" i="10"/>
  <c r="AC126" i="10"/>
  <c r="AC176" i="10"/>
  <c r="AC38" i="10"/>
  <c r="AC87" i="10"/>
  <c r="AC316" i="10"/>
  <c r="AC240" i="10"/>
  <c r="AC79" i="10"/>
  <c r="AC18" i="10"/>
  <c r="AC133" i="10"/>
  <c r="AC37" i="10"/>
  <c r="AC303" i="10"/>
  <c r="AC83" i="10"/>
  <c r="AC255" i="10"/>
  <c r="AC81" i="10"/>
  <c r="I210" i="10"/>
  <c r="I195" i="10"/>
  <c r="AC275" i="10"/>
  <c r="AC24" i="10"/>
  <c r="AC322" i="10"/>
  <c r="AC300" i="10"/>
  <c r="S174" i="10"/>
  <c r="I26" i="10"/>
  <c r="I295" i="10"/>
  <c r="I287" i="10"/>
  <c r="AC71" i="10"/>
  <c r="AC170" i="10"/>
  <c r="S295" i="10"/>
  <c r="S165" i="10"/>
  <c r="AC165" i="10" s="1"/>
  <c r="AC180" i="10"/>
  <c r="AC205" i="10"/>
  <c r="AC262" i="10"/>
  <c r="AC51" i="10"/>
  <c r="AC20" i="10"/>
  <c r="AC263" i="10"/>
  <c r="I243" i="10"/>
  <c r="AC141" i="10"/>
  <c r="AC16" i="10"/>
  <c r="AC202" i="10"/>
  <c r="AC284" i="10"/>
  <c r="AC171" i="10"/>
  <c r="AC84" i="10"/>
  <c r="S102" i="10"/>
  <c r="I53" i="10"/>
  <c r="I278" i="10"/>
  <c r="AC89" i="10"/>
  <c r="I76" i="10"/>
  <c r="I250" i="10"/>
  <c r="AC136" i="10"/>
  <c r="AC152" i="10"/>
  <c r="AC282" i="10"/>
  <c r="AC277" i="10"/>
  <c r="AC294" i="10"/>
  <c r="AC181" i="10"/>
  <c r="AC245" i="10"/>
  <c r="AC118" i="10"/>
  <c r="AC314" i="10"/>
  <c r="AC179" i="10"/>
  <c r="AC157" i="10"/>
  <c r="AC285" i="10"/>
  <c r="I70" i="10"/>
  <c r="AC218" i="10"/>
  <c r="AC321" i="10"/>
  <c r="S119" i="10"/>
  <c r="AC119" i="10" s="1"/>
  <c r="AC127" i="10"/>
  <c r="AC214" i="10"/>
  <c r="I150" i="10"/>
  <c r="S278" i="10"/>
  <c r="AC140" i="10"/>
  <c r="AC269" i="10"/>
  <c r="AC222" i="10"/>
  <c r="AC265" i="10"/>
  <c r="I159" i="10"/>
  <c r="AC167" i="10"/>
  <c r="AC273" i="10"/>
  <c r="I102" i="10"/>
  <c r="AC28" i="10"/>
  <c r="AC80" i="10"/>
  <c r="AC193" i="10"/>
  <c r="S195" i="10"/>
  <c r="AC110" i="10"/>
  <c r="AC168" i="10"/>
  <c r="I88" i="10"/>
  <c r="AC291" i="10"/>
  <c r="AC161" i="10"/>
  <c r="AC305" i="10"/>
  <c r="AC228" i="10"/>
  <c r="S70" i="10"/>
  <c r="AC15" i="10"/>
  <c r="AC209" i="10"/>
  <c r="AC35" i="10"/>
  <c r="AC144" i="10"/>
  <c r="AC49" i="10"/>
  <c r="AC178" i="10"/>
  <c r="AC258" i="10"/>
  <c r="AC219" i="10"/>
  <c r="AC172" i="10"/>
  <c r="AC236" i="10"/>
  <c r="AC318" i="10"/>
  <c r="AC29" i="10"/>
  <c r="S243" i="10"/>
  <c r="I64" i="10"/>
  <c r="AC33" i="10"/>
  <c r="AC43" i="10"/>
  <c r="AC153" i="10"/>
  <c r="AC42" i="10"/>
  <c r="AC149" i="10"/>
  <c r="AC75" i="10"/>
  <c r="AC142" i="10"/>
  <c r="AC283" i="10"/>
  <c r="AC231" i="10"/>
  <c r="AC143" i="10"/>
  <c r="AC248" i="10"/>
  <c r="AC192" i="10"/>
  <c r="AC187" i="10"/>
  <c r="AC148" i="10"/>
  <c r="AC173" i="10"/>
  <c r="AC319" i="10"/>
  <c r="AC230" i="10"/>
  <c r="S53" i="10"/>
  <c r="AC132" i="10"/>
  <c r="S287" i="10"/>
  <c r="AC238" i="10"/>
  <c r="AC313" i="10"/>
  <c r="AC249" i="10"/>
  <c r="AC65" i="10"/>
  <c r="AC309" i="10"/>
  <c r="AC124" i="10"/>
  <c r="AC73" i="10"/>
  <c r="AC106" i="10"/>
  <c r="AC11" i="10"/>
  <c r="AC257" i="10"/>
  <c r="AC123" i="10"/>
  <c r="AC252" i="10"/>
  <c r="AC279" i="10"/>
  <c r="AC125" i="10"/>
  <c r="S304" i="10"/>
  <c r="AC260" i="10"/>
  <c r="AC253" i="10"/>
  <c r="AC204" i="10"/>
  <c r="AC201" i="10"/>
  <c r="AC99" i="10"/>
  <c r="AC105" i="10"/>
  <c r="AC286" i="10"/>
  <c r="S64" i="10"/>
  <c r="S150" i="10"/>
  <c r="AC25" i="10"/>
  <c r="AC227" i="10"/>
  <c r="AC301" i="10"/>
  <c r="AC196" i="10"/>
  <c r="AC134" i="10"/>
  <c r="J323" i="10"/>
  <c r="Z323" i="10"/>
  <c r="AC158" i="10"/>
  <c r="T323" i="10"/>
  <c r="AC114" i="10"/>
  <c r="M323" i="10"/>
  <c r="AC91" i="10"/>
  <c r="AC108" i="10"/>
  <c r="S76" i="10"/>
  <c r="I17" i="10"/>
  <c r="AC229" i="10"/>
  <c r="AC60" i="10"/>
  <c r="AC164" i="10"/>
  <c r="AC189" i="10"/>
  <c r="AC246" i="10"/>
  <c r="AC203" i="10"/>
  <c r="AC261" i="10"/>
  <c r="AC254" i="10"/>
  <c r="I174" i="10"/>
  <c r="S159" i="10"/>
  <c r="AC74" i="10"/>
  <c r="AC211" i="10"/>
  <c r="P323" i="10"/>
  <c r="AC100" i="10"/>
  <c r="AC271" i="10"/>
  <c r="S250" i="10"/>
  <c r="S45" i="10"/>
  <c r="AC45" i="10" s="1"/>
  <c r="AC50" i="10"/>
  <c r="AC58" i="10"/>
  <c r="W323" i="10"/>
  <c r="AC270" i="10"/>
  <c r="S233" i="10"/>
  <c r="AC66" i="10"/>
  <c r="AC296" i="10"/>
  <c r="AC213" i="10"/>
  <c r="S17" i="10"/>
  <c r="AC221" i="10"/>
  <c r="S310" i="10"/>
  <c r="AC92" i="10"/>
  <c r="AC237" i="10"/>
  <c r="AG108" i="8"/>
  <c r="AG126" i="8"/>
  <c r="AG190" i="8"/>
  <c r="AG193" i="8"/>
  <c r="AG97" i="8"/>
  <c r="I295" i="8"/>
  <c r="AG285" i="8"/>
  <c r="AG66" i="8"/>
  <c r="AG87" i="8"/>
  <c r="AG227" i="8"/>
  <c r="AG59" i="8"/>
  <c r="AG180" i="8"/>
  <c r="AG112" i="8"/>
  <c r="AG289" i="8"/>
  <c r="AG198" i="8"/>
  <c r="AG22" i="8"/>
  <c r="I150" i="8"/>
  <c r="AG182" i="8"/>
  <c r="AG268" i="8"/>
  <c r="AG94" i="8"/>
  <c r="AG77" i="8"/>
  <c r="AG206" i="8"/>
  <c r="AG103" i="8"/>
  <c r="AG173" i="8"/>
  <c r="AG242" i="8"/>
  <c r="AG42" i="8"/>
  <c r="AG184" i="8"/>
  <c r="AG280" i="8"/>
  <c r="AG181" i="8"/>
  <c r="AG48" i="8"/>
  <c r="AG259" i="8"/>
  <c r="AG13" i="8"/>
  <c r="AG116" i="8"/>
  <c r="AG145" i="8"/>
  <c r="AG235" i="8"/>
  <c r="AG146" i="8"/>
  <c r="AG189" i="8"/>
  <c r="AG85" i="8"/>
  <c r="AG155" i="8"/>
  <c r="AG225" i="8"/>
  <c r="AG67" i="8"/>
  <c r="AG132" i="8"/>
  <c r="I70" i="8"/>
  <c r="AG128" i="8"/>
  <c r="AG52" i="8"/>
  <c r="AG273" i="8"/>
  <c r="AG241" i="8"/>
  <c r="I195" i="8"/>
  <c r="AG125" i="8"/>
  <c r="AG297" i="8"/>
  <c r="I278" i="8"/>
  <c r="AG21" i="8"/>
  <c r="AG163" i="8"/>
  <c r="AG232" i="8"/>
  <c r="AG58" i="8"/>
  <c r="AG11" i="8"/>
  <c r="AG183" i="8"/>
  <c r="AG114" i="8"/>
  <c r="AG254" i="8"/>
  <c r="I159" i="8"/>
  <c r="AG138" i="8"/>
  <c r="AG216" i="8"/>
  <c r="I17" i="8"/>
  <c r="AG154" i="8"/>
  <c r="AG137" i="8"/>
  <c r="I287" i="8"/>
  <c r="AG60" i="8"/>
  <c r="AG36" i="8"/>
  <c r="I271" i="8"/>
  <c r="AG213" i="8"/>
  <c r="AG69" i="8"/>
  <c r="AG209" i="8"/>
  <c r="AG44" i="8"/>
  <c r="AG218" i="8"/>
  <c r="I174" i="8"/>
  <c r="AG134" i="8"/>
  <c r="AG161" i="8"/>
  <c r="AG269" i="8"/>
  <c r="AG142" i="8"/>
  <c r="AG168" i="8"/>
  <c r="I88" i="8"/>
  <c r="AG88" i="8" s="1"/>
  <c r="AG32" i="8"/>
  <c r="AG33" i="8"/>
  <c r="AG105" i="8"/>
  <c r="AG176" i="8"/>
  <c r="AG101" i="8"/>
  <c r="AG90" i="8"/>
  <c r="AG262" i="8"/>
  <c r="I250" i="8"/>
  <c r="AG244" i="8"/>
  <c r="AG41" i="8"/>
  <c r="AG30" i="8"/>
  <c r="AG158" i="8"/>
  <c r="I243" i="8"/>
  <c r="AG83" i="8"/>
  <c r="AG152" i="8"/>
  <c r="AG81" i="8"/>
  <c r="AG317" i="8"/>
  <c r="AG93" i="8"/>
  <c r="AG149" i="8"/>
  <c r="AG143" i="8"/>
  <c r="I165" i="8"/>
  <c r="AG200" i="8"/>
  <c r="AG55" i="8"/>
  <c r="AG72" i="8"/>
  <c r="AG35" i="8"/>
  <c r="AG228" i="8"/>
  <c r="AG290" i="8"/>
  <c r="I119" i="8"/>
  <c r="AG166" i="8"/>
  <c r="AG84" i="8"/>
  <c r="AG308" i="8"/>
  <c r="AG131" i="8"/>
  <c r="AG188" i="8"/>
  <c r="AG226" i="8"/>
  <c r="AG140" i="8"/>
  <c r="AG135" i="8"/>
  <c r="AG122" i="8"/>
  <c r="AG263" i="8"/>
  <c r="AG286" i="8"/>
  <c r="AG106" i="8"/>
  <c r="AG18" i="8"/>
  <c r="AG117" i="8"/>
  <c r="AG19" i="8"/>
  <c r="I310" i="8"/>
  <c r="AG310" i="8" s="1"/>
  <c r="AG39" i="8"/>
  <c r="AG57" i="8"/>
  <c r="AG98" i="8"/>
  <c r="AG299" i="8"/>
  <c r="AG133" i="8"/>
  <c r="AG174" i="8"/>
  <c r="AG115" i="8"/>
  <c r="AG252" i="8"/>
  <c r="I53" i="8"/>
  <c r="AG246" i="8"/>
  <c r="AG191" i="8"/>
  <c r="AG255" i="8"/>
  <c r="AG270" i="8"/>
  <c r="AG147" i="8"/>
  <c r="AG160" i="8"/>
  <c r="AG91" i="8"/>
  <c r="AG164" i="8"/>
  <c r="AG75" i="8"/>
  <c r="AG82" i="8"/>
  <c r="AG139" i="8"/>
  <c r="AG208" i="8"/>
  <c r="AG281" i="8"/>
  <c r="I233" i="8"/>
  <c r="AG237" i="8"/>
  <c r="AG26" i="8"/>
  <c r="AG86" i="8"/>
  <c r="AG318" i="8"/>
  <c r="V323" i="8"/>
  <c r="AG148" i="8"/>
  <c r="AG50" i="8"/>
  <c r="AG156" i="8"/>
  <c r="AG175" i="8"/>
  <c r="AB323" i="8"/>
  <c r="AG99" i="8"/>
  <c r="AG294" i="8"/>
  <c r="I45" i="8"/>
  <c r="AG43" i="8"/>
  <c r="AG107" i="8"/>
  <c r="AG172" i="8"/>
  <c r="AG236" i="8"/>
  <c r="I76" i="8"/>
  <c r="AG234" i="8"/>
  <c r="AG51" i="8"/>
  <c r="I110" i="8"/>
  <c r="P323" i="8"/>
  <c r="AG123" i="8"/>
  <c r="AG196" i="8"/>
  <c r="AG260" i="8"/>
  <c r="AG210" i="8"/>
  <c r="AG223" i="8"/>
  <c r="AG204" i="8"/>
  <c r="AG311" i="8"/>
  <c r="AG34" i="8"/>
  <c r="AG27" i="8"/>
  <c r="AG224" i="8"/>
  <c r="AG151" i="8"/>
  <c r="AG71" i="8"/>
  <c r="AG272" i="8"/>
  <c r="AG120" i="8"/>
  <c r="AG251" i="8"/>
  <c r="AG89" i="8"/>
  <c r="AG279" i="8"/>
  <c r="AG296" i="8"/>
  <c r="AG54" i="8"/>
  <c r="AG304" i="8"/>
  <c r="AG305" i="8"/>
  <c r="AG288" i="8"/>
  <c r="AM53" i="6"/>
  <c r="AM310" i="6"/>
  <c r="AM223" i="6"/>
  <c r="AM102" i="6"/>
  <c r="AM64" i="6"/>
  <c r="AM88" i="6"/>
  <c r="AM243" i="6"/>
  <c r="AM76" i="6"/>
  <c r="AM150" i="6"/>
  <c r="AM165" i="6"/>
  <c r="AM70" i="6"/>
  <c r="AM119" i="6"/>
  <c r="AM110" i="6"/>
  <c r="AM195" i="6"/>
  <c r="AM174" i="6"/>
  <c r="AM34" i="6"/>
  <c r="AM287" i="6"/>
  <c r="AM295" i="6"/>
  <c r="AM26" i="6"/>
  <c r="AH323" i="6"/>
  <c r="AM323" i="6" s="1"/>
  <c r="AM17" i="6"/>
  <c r="AC323" i="6"/>
  <c r="M310" i="3"/>
  <c r="M304" i="3"/>
  <c r="M295" i="3"/>
  <c r="M287" i="3"/>
  <c r="M278" i="3"/>
  <c r="M250" i="3"/>
  <c r="M243" i="3"/>
  <c r="M233" i="3"/>
  <c r="M223" i="3"/>
  <c r="M210" i="3"/>
  <c r="M195" i="3"/>
  <c r="M174" i="3"/>
  <c r="M165" i="3"/>
  <c r="M159" i="3"/>
  <c r="M150" i="3"/>
  <c r="M119" i="3"/>
  <c r="M110" i="3"/>
  <c r="M102" i="3"/>
  <c r="M88" i="3"/>
  <c r="M76" i="3"/>
  <c r="M64" i="3"/>
  <c r="M53" i="3"/>
  <c r="M45" i="3"/>
  <c r="M34" i="3"/>
  <c r="I34" i="3"/>
  <c r="J323" i="3"/>
  <c r="I310" i="3"/>
  <c r="I304" i="3"/>
  <c r="I295" i="3"/>
  <c r="I287" i="3"/>
  <c r="I278" i="3"/>
  <c r="I250" i="3"/>
  <c r="I243" i="3"/>
  <c r="I233" i="3"/>
  <c r="I223" i="3"/>
  <c r="I210" i="3"/>
  <c r="I195" i="3"/>
  <c r="I174" i="3"/>
  <c r="I165" i="3"/>
  <c r="I159" i="3"/>
  <c r="I150" i="3"/>
  <c r="I119" i="3"/>
  <c r="I110" i="3"/>
  <c r="I102" i="3"/>
  <c r="I88" i="3"/>
  <c r="I76" i="3"/>
  <c r="I70" i="3"/>
  <c r="I64" i="3"/>
  <c r="I53" i="3"/>
  <c r="I45" i="3"/>
  <c r="I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M26" i="3"/>
  <c r="I17" i="3"/>
  <c r="N17" i="3"/>
  <c r="O17" i="3"/>
  <c r="P17" i="3"/>
  <c r="Q17" i="3"/>
  <c r="R17" i="3"/>
  <c r="T17" i="3"/>
  <c r="V17" i="3"/>
  <c r="W17" i="3"/>
  <c r="X17" i="3"/>
  <c r="Y17" i="3"/>
  <c r="Z17" i="3"/>
  <c r="AA17" i="3"/>
  <c r="AB17" i="3"/>
  <c r="AC17" i="3"/>
  <c r="AD17" i="3"/>
  <c r="AE17" i="3"/>
  <c r="AF17" i="3"/>
  <c r="AC304" i="10" l="1"/>
  <c r="I323" i="11"/>
  <c r="AC233" i="10"/>
  <c r="AC26" i="10"/>
  <c r="AC210" i="10"/>
  <c r="AC223" i="10"/>
  <c r="AC310" i="10"/>
  <c r="AG64" i="8"/>
  <c r="AG159" i="8"/>
  <c r="AG102" i="8"/>
  <c r="I323" i="12"/>
  <c r="AC88" i="10"/>
  <c r="AS323" i="11"/>
  <c r="BM323" i="12"/>
  <c r="AC102" i="10"/>
  <c r="AC76" i="10"/>
  <c r="AC195" i="10"/>
  <c r="AC70" i="10"/>
  <c r="AC250" i="10"/>
  <c r="AC174" i="10"/>
  <c r="AC287" i="10"/>
  <c r="AC53" i="10"/>
  <c r="AC295" i="10"/>
  <c r="AC278" i="10"/>
  <c r="AC159" i="10"/>
  <c r="AC150" i="10"/>
  <c r="AC243" i="10"/>
  <c r="AC64" i="10"/>
  <c r="I323" i="10"/>
  <c r="S323" i="10"/>
  <c r="AC17" i="10"/>
  <c r="AG295" i="8"/>
  <c r="AG150" i="8"/>
  <c r="AG287" i="8"/>
  <c r="AG17" i="8"/>
  <c r="AG278" i="8"/>
  <c r="AG70" i="8"/>
  <c r="AG195" i="8"/>
  <c r="AG250" i="8"/>
  <c r="AG119" i="8"/>
  <c r="AG271" i="8"/>
  <c r="AG233" i="8"/>
  <c r="AG165" i="8"/>
  <c r="AG243" i="8"/>
  <c r="AG76" i="8"/>
  <c r="AG53" i="8"/>
  <c r="AG45" i="8"/>
  <c r="U323" i="8"/>
  <c r="AG110" i="8"/>
  <c r="O323" i="3"/>
  <c r="AE323" i="3"/>
  <c r="W323" i="3"/>
  <c r="V323" i="3"/>
  <c r="AD323" i="3"/>
  <c r="N323" i="3"/>
  <c r="I323" i="3"/>
  <c r="AC323" i="3"/>
  <c r="Q323" i="3"/>
  <c r="Y323" i="3"/>
  <c r="AB323" i="3"/>
  <c r="T323" i="3"/>
  <c r="AA323" i="3"/>
  <c r="Z323" i="3"/>
  <c r="R323" i="3"/>
  <c r="S323" i="3"/>
  <c r="AF323" i="3"/>
  <c r="X323" i="3"/>
  <c r="AG12" i="3"/>
  <c r="L17" i="3"/>
  <c r="K17" i="3" s="1"/>
  <c r="AG17" i="3" s="1"/>
  <c r="L18" i="3"/>
  <c r="K18" i="3" s="1"/>
  <c r="AG18" i="3" s="1"/>
  <c r="L19" i="3"/>
  <c r="K19" i="3" s="1"/>
  <c r="AG19" i="3" s="1"/>
  <c r="L20" i="3"/>
  <c r="K20" i="3" s="1"/>
  <c r="AG20" i="3" s="1"/>
  <c r="L21" i="3"/>
  <c r="K21" i="3" s="1"/>
  <c r="AG21" i="3" s="1"/>
  <c r="L22" i="3"/>
  <c r="K22" i="3" s="1"/>
  <c r="AG22" i="3" s="1"/>
  <c r="L23" i="3"/>
  <c r="K23" i="3" s="1"/>
  <c r="AG23" i="3" s="1"/>
  <c r="L24" i="3"/>
  <c r="K24" i="3" s="1"/>
  <c r="AG24" i="3" s="1"/>
  <c r="L25" i="3"/>
  <c r="K25" i="3" s="1"/>
  <c r="AG25" i="3" s="1"/>
  <c r="L26" i="3"/>
  <c r="K26" i="3" s="1"/>
  <c r="AG26" i="3" s="1"/>
  <c r="L27" i="3"/>
  <c r="K27" i="3" s="1"/>
  <c r="AG27" i="3" s="1"/>
  <c r="L28" i="3"/>
  <c r="K28" i="3" s="1"/>
  <c r="AG28" i="3" s="1"/>
  <c r="L29" i="3"/>
  <c r="K29" i="3" s="1"/>
  <c r="AG29" i="3" s="1"/>
  <c r="L30" i="3"/>
  <c r="K30" i="3" s="1"/>
  <c r="AG30" i="3" s="1"/>
  <c r="L31" i="3"/>
  <c r="K31" i="3" s="1"/>
  <c r="AG31" i="3" s="1"/>
  <c r="L32" i="3"/>
  <c r="K32" i="3" s="1"/>
  <c r="AG32" i="3" s="1"/>
  <c r="L33" i="3"/>
  <c r="K33" i="3" s="1"/>
  <c r="AG33" i="3" s="1"/>
  <c r="L34" i="3"/>
  <c r="K34" i="3" s="1"/>
  <c r="AG34" i="3" s="1"/>
  <c r="L35" i="3"/>
  <c r="K35" i="3" s="1"/>
  <c r="AG35" i="3" s="1"/>
  <c r="L36" i="3"/>
  <c r="K36" i="3" s="1"/>
  <c r="AG36" i="3" s="1"/>
  <c r="L37" i="3"/>
  <c r="K37" i="3" s="1"/>
  <c r="AG37" i="3" s="1"/>
  <c r="L38" i="3"/>
  <c r="K38" i="3" s="1"/>
  <c r="AG38" i="3" s="1"/>
  <c r="L39" i="3"/>
  <c r="K39" i="3" s="1"/>
  <c r="AG39" i="3" s="1"/>
  <c r="L40" i="3"/>
  <c r="K40" i="3" s="1"/>
  <c r="AG40" i="3" s="1"/>
  <c r="L41" i="3"/>
  <c r="K41" i="3" s="1"/>
  <c r="AG41" i="3" s="1"/>
  <c r="L42" i="3"/>
  <c r="K42" i="3" s="1"/>
  <c r="AG42" i="3" s="1"/>
  <c r="L43" i="3"/>
  <c r="K43" i="3" s="1"/>
  <c r="AG43" i="3" s="1"/>
  <c r="L44" i="3"/>
  <c r="K44" i="3" s="1"/>
  <c r="AG44" i="3" s="1"/>
  <c r="L45" i="3"/>
  <c r="K45" i="3" s="1"/>
  <c r="AG45" i="3" s="1"/>
  <c r="L46" i="3"/>
  <c r="K46" i="3" s="1"/>
  <c r="AG46" i="3" s="1"/>
  <c r="L47" i="3"/>
  <c r="K47" i="3" s="1"/>
  <c r="AG47" i="3" s="1"/>
  <c r="L48" i="3"/>
  <c r="K48" i="3" s="1"/>
  <c r="AG48" i="3" s="1"/>
  <c r="L49" i="3"/>
  <c r="K49" i="3" s="1"/>
  <c r="AG49" i="3" s="1"/>
  <c r="L50" i="3"/>
  <c r="K50" i="3" s="1"/>
  <c r="AG50" i="3" s="1"/>
  <c r="L51" i="3"/>
  <c r="K51" i="3" s="1"/>
  <c r="AG51" i="3" s="1"/>
  <c r="L52" i="3"/>
  <c r="K52" i="3" s="1"/>
  <c r="AG52" i="3" s="1"/>
  <c r="L53" i="3"/>
  <c r="K53" i="3" s="1"/>
  <c r="AG53" i="3" s="1"/>
  <c r="L54" i="3"/>
  <c r="K54" i="3" s="1"/>
  <c r="AG54" i="3" s="1"/>
  <c r="L55" i="3"/>
  <c r="K55" i="3" s="1"/>
  <c r="AG55" i="3" s="1"/>
  <c r="L56" i="3"/>
  <c r="K56" i="3" s="1"/>
  <c r="AG56" i="3" s="1"/>
  <c r="L57" i="3"/>
  <c r="K57" i="3" s="1"/>
  <c r="AG57" i="3" s="1"/>
  <c r="L58" i="3"/>
  <c r="K58" i="3" s="1"/>
  <c r="AG58" i="3" s="1"/>
  <c r="L59" i="3"/>
  <c r="K59" i="3" s="1"/>
  <c r="AG59" i="3" s="1"/>
  <c r="L60" i="3"/>
  <c r="K60" i="3" s="1"/>
  <c r="AG60" i="3" s="1"/>
  <c r="L61" i="3"/>
  <c r="K61" i="3" s="1"/>
  <c r="AG61" i="3" s="1"/>
  <c r="L62" i="3"/>
  <c r="K62" i="3" s="1"/>
  <c r="AG62" i="3" s="1"/>
  <c r="L63" i="3"/>
  <c r="K63" i="3" s="1"/>
  <c r="AG63" i="3" s="1"/>
  <c r="L64" i="3"/>
  <c r="K64" i="3" s="1"/>
  <c r="AG64" i="3" s="1"/>
  <c r="L65" i="3"/>
  <c r="K65" i="3" s="1"/>
  <c r="AG65" i="3" s="1"/>
  <c r="L66" i="3"/>
  <c r="K66" i="3" s="1"/>
  <c r="AG66" i="3" s="1"/>
  <c r="L67" i="3"/>
  <c r="K67" i="3" s="1"/>
  <c r="AG67" i="3" s="1"/>
  <c r="L68" i="3"/>
  <c r="K68" i="3" s="1"/>
  <c r="AG68" i="3" s="1"/>
  <c r="L69" i="3"/>
  <c r="K69" i="3" s="1"/>
  <c r="AG69" i="3" s="1"/>
  <c r="L70" i="3"/>
  <c r="K70" i="3" s="1"/>
  <c r="AG70" i="3" s="1"/>
  <c r="L71" i="3"/>
  <c r="K71" i="3" s="1"/>
  <c r="AG71" i="3" s="1"/>
  <c r="L72" i="3"/>
  <c r="K72" i="3" s="1"/>
  <c r="AG72" i="3" s="1"/>
  <c r="L73" i="3"/>
  <c r="K73" i="3" s="1"/>
  <c r="AG73" i="3" s="1"/>
  <c r="L74" i="3"/>
  <c r="K74" i="3" s="1"/>
  <c r="AG74" i="3" s="1"/>
  <c r="L75" i="3"/>
  <c r="K75" i="3" s="1"/>
  <c r="AG75" i="3" s="1"/>
  <c r="L76" i="3"/>
  <c r="K76" i="3" s="1"/>
  <c r="AG76" i="3" s="1"/>
  <c r="L77" i="3"/>
  <c r="K77" i="3" s="1"/>
  <c r="AG77" i="3" s="1"/>
  <c r="L78" i="3"/>
  <c r="K78" i="3" s="1"/>
  <c r="AG78" i="3" s="1"/>
  <c r="L79" i="3"/>
  <c r="K79" i="3" s="1"/>
  <c r="AG79" i="3" s="1"/>
  <c r="L80" i="3"/>
  <c r="K80" i="3" s="1"/>
  <c r="AG80" i="3" s="1"/>
  <c r="L81" i="3"/>
  <c r="K81" i="3" s="1"/>
  <c r="AG81" i="3" s="1"/>
  <c r="L82" i="3"/>
  <c r="K82" i="3" s="1"/>
  <c r="AG82" i="3" s="1"/>
  <c r="L83" i="3"/>
  <c r="K83" i="3" s="1"/>
  <c r="AG83" i="3" s="1"/>
  <c r="L84" i="3"/>
  <c r="K84" i="3" s="1"/>
  <c r="AG84" i="3" s="1"/>
  <c r="L85" i="3"/>
  <c r="K85" i="3" s="1"/>
  <c r="AG85" i="3" s="1"/>
  <c r="L86" i="3"/>
  <c r="K86" i="3" s="1"/>
  <c r="AG86" i="3" s="1"/>
  <c r="L87" i="3"/>
  <c r="K87" i="3" s="1"/>
  <c r="AG87" i="3" s="1"/>
  <c r="L88" i="3"/>
  <c r="K88" i="3" s="1"/>
  <c r="AG88" i="3" s="1"/>
  <c r="L89" i="3"/>
  <c r="K89" i="3" s="1"/>
  <c r="AG89" i="3" s="1"/>
  <c r="L90" i="3"/>
  <c r="K90" i="3" s="1"/>
  <c r="AG90" i="3" s="1"/>
  <c r="L91" i="3"/>
  <c r="K91" i="3" s="1"/>
  <c r="AG91" i="3" s="1"/>
  <c r="L92" i="3"/>
  <c r="K92" i="3" s="1"/>
  <c r="AG92" i="3" s="1"/>
  <c r="L93" i="3"/>
  <c r="K93" i="3" s="1"/>
  <c r="AG93" i="3" s="1"/>
  <c r="L94" i="3"/>
  <c r="K94" i="3" s="1"/>
  <c r="AG94" i="3" s="1"/>
  <c r="L95" i="3"/>
  <c r="K95" i="3" s="1"/>
  <c r="AG95" i="3" s="1"/>
  <c r="L96" i="3"/>
  <c r="K96" i="3" s="1"/>
  <c r="AG96" i="3" s="1"/>
  <c r="L97" i="3"/>
  <c r="K97" i="3" s="1"/>
  <c r="AG97" i="3" s="1"/>
  <c r="L98" i="3"/>
  <c r="K98" i="3" s="1"/>
  <c r="AG98" i="3" s="1"/>
  <c r="L99" i="3"/>
  <c r="K99" i="3" s="1"/>
  <c r="AG99" i="3" s="1"/>
  <c r="L100" i="3"/>
  <c r="K100" i="3" s="1"/>
  <c r="AG100" i="3" s="1"/>
  <c r="L101" i="3"/>
  <c r="K101" i="3" s="1"/>
  <c r="AG101" i="3" s="1"/>
  <c r="L102" i="3"/>
  <c r="K102" i="3" s="1"/>
  <c r="AG102" i="3" s="1"/>
  <c r="L103" i="3"/>
  <c r="K103" i="3" s="1"/>
  <c r="AG103" i="3" s="1"/>
  <c r="L104" i="3"/>
  <c r="K104" i="3" s="1"/>
  <c r="AG104" i="3" s="1"/>
  <c r="L105" i="3"/>
  <c r="K105" i="3" s="1"/>
  <c r="AG105" i="3" s="1"/>
  <c r="L106" i="3"/>
  <c r="K106" i="3" s="1"/>
  <c r="AG106" i="3" s="1"/>
  <c r="L107" i="3"/>
  <c r="K107" i="3" s="1"/>
  <c r="AG107" i="3" s="1"/>
  <c r="L108" i="3"/>
  <c r="K108" i="3" s="1"/>
  <c r="AG108" i="3" s="1"/>
  <c r="L109" i="3"/>
  <c r="K109" i="3" s="1"/>
  <c r="AG109" i="3" s="1"/>
  <c r="L110" i="3"/>
  <c r="K110" i="3" s="1"/>
  <c r="AG110" i="3" s="1"/>
  <c r="L111" i="3"/>
  <c r="K111" i="3" s="1"/>
  <c r="AG111" i="3" s="1"/>
  <c r="L112" i="3"/>
  <c r="K112" i="3" s="1"/>
  <c r="AG112" i="3" s="1"/>
  <c r="L113" i="3"/>
  <c r="K113" i="3" s="1"/>
  <c r="AG113" i="3" s="1"/>
  <c r="L114" i="3"/>
  <c r="K114" i="3" s="1"/>
  <c r="AG114" i="3" s="1"/>
  <c r="L115" i="3"/>
  <c r="K115" i="3" s="1"/>
  <c r="AG115" i="3" s="1"/>
  <c r="L116" i="3"/>
  <c r="K116" i="3" s="1"/>
  <c r="AG116" i="3" s="1"/>
  <c r="L117" i="3"/>
  <c r="K117" i="3" s="1"/>
  <c r="AG117" i="3" s="1"/>
  <c r="L118" i="3"/>
  <c r="K118" i="3" s="1"/>
  <c r="AG118" i="3" s="1"/>
  <c r="L119" i="3"/>
  <c r="K119" i="3" s="1"/>
  <c r="AG119" i="3" s="1"/>
  <c r="L120" i="3"/>
  <c r="K120" i="3" s="1"/>
  <c r="AG120" i="3" s="1"/>
  <c r="L121" i="3"/>
  <c r="K121" i="3" s="1"/>
  <c r="AG121" i="3" s="1"/>
  <c r="L122" i="3"/>
  <c r="K122" i="3" s="1"/>
  <c r="AG122" i="3" s="1"/>
  <c r="L123" i="3"/>
  <c r="K123" i="3" s="1"/>
  <c r="AG123" i="3" s="1"/>
  <c r="L124" i="3"/>
  <c r="K124" i="3" s="1"/>
  <c r="AG124" i="3" s="1"/>
  <c r="L125" i="3"/>
  <c r="K125" i="3" s="1"/>
  <c r="AG125" i="3" s="1"/>
  <c r="L126" i="3"/>
  <c r="K126" i="3" s="1"/>
  <c r="AG126" i="3" s="1"/>
  <c r="L127" i="3"/>
  <c r="K127" i="3" s="1"/>
  <c r="AG127" i="3" s="1"/>
  <c r="L128" i="3"/>
  <c r="K128" i="3" s="1"/>
  <c r="AG128" i="3" s="1"/>
  <c r="L129" i="3"/>
  <c r="K129" i="3" s="1"/>
  <c r="AG129" i="3" s="1"/>
  <c r="L131" i="3"/>
  <c r="K131" i="3" s="1"/>
  <c r="AG131" i="3" s="1"/>
  <c r="L132" i="3"/>
  <c r="K132" i="3" s="1"/>
  <c r="AG132" i="3" s="1"/>
  <c r="L133" i="3"/>
  <c r="K133" i="3" s="1"/>
  <c r="AG133" i="3" s="1"/>
  <c r="L134" i="3"/>
  <c r="K134" i="3" s="1"/>
  <c r="AG134" i="3" s="1"/>
  <c r="L135" i="3"/>
  <c r="K135" i="3" s="1"/>
  <c r="AG135" i="3" s="1"/>
  <c r="L136" i="3"/>
  <c r="K136" i="3" s="1"/>
  <c r="AG136" i="3" s="1"/>
  <c r="L137" i="3"/>
  <c r="K137" i="3" s="1"/>
  <c r="AG137" i="3" s="1"/>
  <c r="L138" i="3"/>
  <c r="K138" i="3" s="1"/>
  <c r="AG138" i="3" s="1"/>
  <c r="L139" i="3"/>
  <c r="K139" i="3" s="1"/>
  <c r="AG139" i="3" s="1"/>
  <c r="L140" i="3"/>
  <c r="K140" i="3" s="1"/>
  <c r="AG140" i="3" s="1"/>
  <c r="L141" i="3"/>
  <c r="K141" i="3" s="1"/>
  <c r="AG141" i="3" s="1"/>
  <c r="L142" i="3"/>
  <c r="K142" i="3" s="1"/>
  <c r="AG142" i="3" s="1"/>
  <c r="L143" i="3"/>
  <c r="K143" i="3" s="1"/>
  <c r="AG143" i="3" s="1"/>
  <c r="L144" i="3"/>
  <c r="K144" i="3" s="1"/>
  <c r="AG144" i="3" s="1"/>
  <c r="L145" i="3"/>
  <c r="K145" i="3" s="1"/>
  <c r="AG145" i="3" s="1"/>
  <c r="L146" i="3"/>
  <c r="K146" i="3" s="1"/>
  <c r="AG146" i="3" s="1"/>
  <c r="L147" i="3"/>
  <c r="K147" i="3" s="1"/>
  <c r="AG147" i="3" s="1"/>
  <c r="L148" i="3"/>
  <c r="K148" i="3" s="1"/>
  <c r="AG148" i="3" s="1"/>
  <c r="L149" i="3"/>
  <c r="K149" i="3" s="1"/>
  <c r="AG149" i="3" s="1"/>
  <c r="L150" i="3"/>
  <c r="K150" i="3" s="1"/>
  <c r="AG150" i="3" s="1"/>
  <c r="L151" i="3"/>
  <c r="K151" i="3" s="1"/>
  <c r="AG151" i="3" s="1"/>
  <c r="L152" i="3"/>
  <c r="K152" i="3" s="1"/>
  <c r="AG152" i="3" s="1"/>
  <c r="L153" i="3"/>
  <c r="K153" i="3" s="1"/>
  <c r="AG153" i="3" s="1"/>
  <c r="L154" i="3"/>
  <c r="K154" i="3" s="1"/>
  <c r="AG154" i="3" s="1"/>
  <c r="L155" i="3"/>
  <c r="K155" i="3" s="1"/>
  <c r="AG155" i="3" s="1"/>
  <c r="L156" i="3"/>
  <c r="K156" i="3" s="1"/>
  <c r="AG156" i="3" s="1"/>
  <c r="L157" i="3"/>
  <c r="K157" i="3" s="1"/>
  <c r="AG157" i="3" s="1"/>
  <c r="L158" i="3"/>
  <c r="K158" i="3" s="1"/>
  <c r="AG158" i="3" s="1"/>
  <c r="L159" i="3"/>
  <c r="K159" i="3" s="1"/>
  <c r="AG159" i="3" s="1"/>
  <c r="L160" i="3"/>
  <c r="K160" i="3" s="1"/>
  <c r="AG160" i="3" s="1"/>
  <c r="L161" i="3"/>
  <c r="K161" i="3" s="1"/>
  <c r="AG161" i="3" s="1"/>
  <c r="L162" i="3"/>
  <c r="K162" i="3" s="1"/>
  <c r="AG162" i="3" s="1"/>
  <c r="L163" i="3"/>
  <c r="K163" i="3" s="1"/>
  <c r="AG163" i="3" s="1"/>
  <c r="L164" i="3"/>
  <c r="K164" i="3" s="1"/>
  <c r="AG164" i="3" s="1"/>
  <c r="L165" i="3"/>
  <c r="K165" i="3" s="1"/>
  <c r="AG165" i="3" s="1"/>
  <c r="L166" i="3"/>
  <c r="K166" i="3" s="1"/>
  <c r="AG166" i="3" s="1"/>
  <c r="L167" i="3"/>
  <c r="K167" i="3" s="1"/>
  <c r="AG167" i="3" s="1"/>
  <c r="L168" i="3"/>
  <c r="K168" i="3" s="1"/>
  <c r="AG168" i="3" s="1"/>
  <c r="L169" i="3"/>
  <c r="K169" i="3" s="1"/>
  <c r="AG169" i="3" s="1"/>
  <c r="L170" i="3"/>
  <c r="K170" i="3" s="1"/>
  <c r="AG170" i="3" s="1"/>
  <c r="L171" i="3"/>
  <c r="K171" i="3" s="1"/>
  <c r="AG171" i="3" s="1"/>
  <c r="L172" i="3"/>
  <c r="K172" i="3" s="1"/>
  <c r="AG172" i="3" s="1"/>
  <c r="L173" i="3"/>
  <c r="K173" i="3" s="1"/>
  <c r="AG173" i="3" s="1"/>
  <c r="L174" i="3"/>
  <c r="K174" i="3" s="1"/>
  <c r="AG174" i="3" s="1"/>
  <c r="L175" i="3"/>
  <c r="K175" i="3" s="1"/>
  <c r="AG175" i="3" s="1"/>
  <c r="L176" i="3"/>
  <c r="K176" i="3" s="1"/>
  <c r="AG176" i="3" s="1"/>
  <c r="L177" i="3"/>
  <c r="K177" i="3" s="1"/>
  <c r="AG177" i="3" s="1"/>
  <c r="L178" i="3"/>
  <c r="K178" i="3" s="1"/>
  <c r="AG178" i="3" s="1"/>
  <c r="L179" i="3"/>
  <c r="K179" i="3" s="1"/>
  <c r="AG179" i="3" s="1"/>
  <c r="L180" i="3"/>
  <c r="K180" i="3" s="1"/>
  <c r="AG180" i="3" s="1"/>
  <c r="L181" i="3"/>
  <c r="K181" i="3" s="1"/>
  <c r="AG181" i="3" s="1"/>
  <c r="L182" i="3"/>
  <c r="K182" i="3" s="1"/>
  <c r="AG182" i="3" s="1"/>
  <c r="L183" i="3"/>
  <c r="K183" i="3" s="1"/>
  <c r="AG183" i="3" s="1"/>
  <c r="L184" i="3"/>
  <c r="K184" i="3" s="1"/>
  <c r="AG184" i="3" s="1"/>
  <c r="L185" i="3"/>
  <c r="K185" i="3" s="1"/>
  <c r="AG185" i="3" s="1"/>
  <c r="L186" i="3"/>
  <c r="K186" i="3" s="1"/>
  <c r="AG186" i="3" s="1"/>
  <c r="L187" i="3"/>
  <c r="K187" i="3" s="1"/>
  <c r="AG187" i="3" s="1"/>
  <c r="L188" i="3"/>
  <c r="K188" i="3" s="1"/>
  <c r="AG188" i="3" s="1"/>
  <c r="L189" i="3"/>
  <c r="K189" i="3" s="1"/>
  <c r="AG189" i="3" s="1"/>
  <c r="L190" i="3"/>
  <c r="K190" i="3" s="1"/>
  <c r="AG190" i="3" s="1"/>
  <c r="L191" i="3"/>
  <c r="K191" i="3" s="1"/>
  <c r="AG191" i="3" s="1"/>
  <c r="L192" i="3"/>
  <c r="K192" i="3" s="1"/>
  <c r="AG192" i="3" s="1"/>
  <c r="L193" i="3"/>
  <c r="K193" i="3" s="1"/>
  <c r="AG193" i="3" s="1"/>
  <c r="L194" i="3"/>
  <c r="K194" i="3" s="1"/>
  <c r="AG194" i="3" s="1"/>
  <c r="L195" i="3"/>
  <c r="K195" i="3" s="1"/>
  <c r="AG195" i="3" s="1"/>
  <c r="L196" i="3"/>
  <c r="K196" i="3" s="1"/>
  <c r="AG196" i="3" s="1"/>
  <c r="L197" i="3"/>
  <c r="K197" i="3" s="1"/>
  <c r="AG197" i="3" s="1"/>
  <c r="L198" i="3"/>
  <c r="K198" i="3" s="1"/>
  <c r="AG198" i="3" s="1"/>
  <c r="L199" i="3"/>
  <c r="K199" i="3" s="1"/>
  <c r="AG199" i="3" s="1"/>
  <c r="L200" i="3"/>
  <c r="K200" i="3" s="1"/>
  <c r="AG200" i="3" s="1"/>
  <c r="L201" i="3"/>
  <c r="K201" i="3" s="1"/>
  <c r="AG201" i="3" s="1"/>
  <c r="L202" i="3"/>
  <c r="K202" i="3" s="1"/>
  <c r="AG202" i="3" s="1"/>
  <c r="L203" i="3"/>
  <c r="K203" i="3" s="1"/>
  <c r="AG203" i="3" s="1"/>
  <c r="L204" i="3"/>
  <c r="K204" i="3" s="1"/>
  <c r="AG204" i="3" s="1"/>
  <c r="L205" i="3"/>
  <c r="K205" i="3" s="1"/>
  <c r="AG205" i="3" s="1"/>
  <c r="L206" i="3"/>
  <c r="K206" i="3" s="1"/>
  <c r="AG206" i="3" s="1"/>
  <c r="L207" i="3"/>
  <c r="K207" i="3" s="1"/>
  <c r="AG207" i="3" s="1"/>
  <c r="L208" i="3"/>
  <c r="K208" i="3" s="1"/>
  <c r="AG208" i="3" s="1"/>
  <c r="L209" i="3"/>
  <c r="K209" i="3" s="1"/>
  <c r="AG209" i="3" s="1"/>
  <c r="L210" i="3"/>
  <c r="K210" i="3" s="1"/>
  <c r="AG210" i="3" s="1"/>
  <c r="L211" i="3"/>
  <c r="K211" i="3" s="1"/>
  <c r="AG211" i="3" s="1"/>
  <c r="L212" i="3"/>
  <c r="K212" i="3" s="1"/>
  <c r="AG212" i="3" s="1"/>
  <c r="L213" i="3"/>
  <c r="K213" i="3" s="1"/>
  <c r="AG213" i="3" s="1"/>
  <c r="L214" i="3"/>
  <c r="K214" i="3" s="1"/>
  <c r="AG214" i="3" s="1"/>
  <c r="L215" i="3"/>
  <c r="K215" i="3" s="1"/>
  <c r="AG215" i="3" s="1"/>
  <c r="L216" i="3"/>
  <c r="K216" i="3" s="1"/>
  <c r="AG216" i="3" s="1"/>
  <c r="L217" i="3"/>
  <c r="K217" i="3" s="1"/>
  <c r="AG217" i="3" s="1"/>
  <c r="L218" i="3"/>
  <c r="K218" i="3" s="1"/>
  <c r="AG218" i="3" s="1"/>
  <c r="L219" i="3"/>
  <c r="K219" i="3" s="1"/>
  <c r="AG219" i="3" s="1"/>
  <c r="L220" i="3"/>
  <c r="K220" i="3" s="1"/>
  <c r="AG220" i="3" s="1"/>
  <c r="L221" i="3"/>
  <c r="K221" i="3" s="1"/>
  <c r="AG221" i="3" s="1"/>
  <c r="L222" i="3"/>
  <c r="K222" i="3" s="1"/>
  <c r="AG222" i="3" s="1"/>
  <c r="L223" i="3"/>
  <c r="K223" i="3" s="1"/>
  <c r="AG223" i="3" s="1"/>
  <c r="L224" i="3"/>
  <c r="K224" i="3" s="1"/>
  <c r="AG224" i="3" s="1"/>
  <c r="L225" i="3"/>
  <c r="K225" i="3" s="1"/>
  <c r="AG225" i="3" s="1"/>
  <c r="L226" i="3"/>
  <c r="K226" i="3" s="1"/>
  <c r="AG226" i="3" s="1"/>
  <c r="L227" i="3"/>
  <c r="K227" i="3" s="1"/>
  <c r="AG227" i="3" s="1"/>
  <c r="L228" i="3"/>
  <c r="K228" i="3" s="1"/>
  <c r="AG228" i="3" s="1"/>
  <c r="L229" i="3"/>
  <c r="K229" i="3" s="1"/>
  <c r="AG229" i="3" s="1"/>
  <c r="L230" i="3"/>
  <c r="K230" i="3" s="1"/>
  <c r="AG230" i="3" s="1"/>
  <c r="L231" i="3"/>
  <c r="K231" i="3" s="1"/>
  <c r="AG231" i="3" s="1"/>
  <c r="L232" i="3"/>
  <c r="K232" i="3" s="1"/>
  <c r="AG232" i="3" s="1"/>
  <c r="L233" i="3"/>
  <c r="K233" i="3" s="1"/>
  <c r="AG233" i="3" s="1"/>
  <c r="L234" i="3"/>
  <c r="K234" i="3" s="1"/>
  <c r="AG234" i="3" s="1"/>
  <c r="L235" i="3"/>
  <c r="K235" i="3" s="1"/>
  <c r="AG235" i="3" s="1"/>
  <c r="L236" i="3"/>
  <c r="K236" i="3" s="1"/>
  <c r="AG236" i="3" s="1"/>
  <c r="L237" i="3"/>
  <c r="K237" i="3" s="1"/>
  <c r="AG237" i="3" s="1"/>
  <c r="L238" i="3"/>
  <c r="K238" i="3" s="1"/>
  <c r="AG238" i="3" s="1"/>
  <c r="L239" i="3"/>
  <c r="K239" i="3" s="1"/>
  <c r="AG239" i="3" s="1"/>
  <c r="L240" i="3"/>
  <c r="K240" i="3" s="1"/>
  <c r="AG240" i="3" s="1"/>
  <c r="L241" i="3"/>
  <c r="K241" i="3" s="1"/>
  <c r="AG241" i="3" s="1"/>
  <c r="L242" i="3"/>
  <c r="K242" i="3" s="1"/>
  <c r="AG242" i="3" s="1"/>
  <c r="L243" i="3"/>
  <c r="K243" i="3" s="1"/>
  <c r="AG243" i="3" s="1"/>
  <c r="L244" i="3"/>
  <c r="K244" i="3" s="1"/>
  <c r="AG244" i="3" s="1"/>
  <c r="L245" i="3"/>
  <c r="K245" i="3" s="1"/>
  <c r="AG245" i="3" s="1"/>
  <c r="L246" i="3"/>
  <c r="K246" i="3" s="1"/>
  <c r="AG246" i="3" s="1"/>
  <c r="L247" i="3"/>
  <c r="K247" i="3" s="1"/>
  <c r="AG247" i="3" s="1"/>
  <c r="L248" i="3"/>
  <c r="K248" i="3" s="1"/>
  <c r="AG248" i="3" s="1"/>
  <c r="L249" i="3"/>
  <c r="K249" i="3" s="1"/>
  <c r="AG249" i="3" s="1"/>
  <c r="L250" i="3"/>
  <c r="K250" i="3" s="1"/>
  <c r="AG250" i="3" s="1"/>
  <c r="L251" i="3"/>
  <c r="K251" i="3" s="1"/>
  <c r="AG251" i="3" s="1"/>
  <c r="L252" i="3"/>
  <c r="K252" i="3" s="1"/>
  <c r="AG252" i="3" s="1"/>
  <c r="L253" i="3"/>
  <c r="K253" i="3" s="1"/>
  <c r="AG253" i="3" s="1"/>
  <c r="L254" i="3"/>
  <c r="K254" i="3" s="1"/>
  <c r="AG254" i="3" s="1"/>
  <c r="L255" i="3"/>
  <c r="K255" i="3" s="1"/>
  <c r="AG255" i="3" s="1"/>
  <c r="L256" i="3"/>
  <c r="K256" i="3" s="1"/>
  <c r="AG256" i="3" s="1"/>
  <c r="L257" i="3"/>
  <c r="K257" i="3" s="1"/>
  <c r="AG257" i="3" s="1"/>
  <c r="L258" i="3"/>
  <c r="K258" i="3" s="1"/>
  <c r="AG258" i="3" s="1"/>
  <c r="L259" i="3"/>
  <c r="K259" i="3" s="1"/>
  <c r="AG259" i="3" s="1"/>
  <c r="L260" i="3"/>
  <c r="K260" i="3" s="1"/>
  <c r="AG260" i="3" s="1"/>
  <c r="L261" i="3"/>
  <c r="K261" i="3" s="1"/>
  <c r="AG261" i="3" s="1"/>
  <c r="L262" i="3"/>
  <c r="K262" i="3" s="1"/>
  <c r="AG262" i="3" s="1"/>
  <c r="L263" i="3"/>
  <c r="K263" i="3" s="1"/>
  <c r="AG263" i="3" s="1"/>
  <c r="L264" i="3"/>
  <c r="K264" i="3" s="1"/>
  <c r="AG264" i="3" s="1"/>
  <c r="L265" i="3"/>
  <c r="K265" i="3" s="1"/>
  <c r="AG265" i="3" s="1"/>
  <c r="L266" i="3"/>
  <c r="K266" i="3" s="1"/>
  <c r="AG266" i="3" s="1"/>
  <c r="L268" i="3"/>
  <c r="K268" i="3" s="1"/>
  <c r="AG268" i="3" s="1"/>
  <c r="L269" i="3"/>
  <c r="K269" i="3" s="1"/>
  <c r="AG269" i="3" s="1"/>
  <c r="L270" i="3"/>
  <c r="K270" i="3" s="1"/>
  <c r="AG270" i="3" s="1"/>
  <c r="L271" i="3"/>
  <c r="K271" i="3" s="1"/>
  <c r="AG271" i="3" s="1"/>
  <c r="L272" i="3"/>
  <c r="K272" i="3" s="1"/>
  <c r="AG272" i="3" s="1"/>
  <c r="L273" i="3"/>
  <c r="K273" i="3" s="1"/>
  <c r="AG273" i="3" s="1"/>
  <c r="L274" i="3"/>
  <c r="K274" i="3" s="1"/>
  <c r="AG274" i="3" s="1"/>
  <c r="L275" i="3"/>
  <c r="K275" i="3" s="1"/>
  <c r="AG275" i="3" s="1"/>
  <c r="L277" i="3"/>
  <c r="K277" i="3" s="1"/>
  <c r="AG277" i="3" s="1"/>
  <c r="L278" i="3"/>
  <c r="K278" i="3" s="1"/>
  <c r="AG278" i="3" s="1"/>
  <c r="L279" i="3"/>
  <c r="K279" i="3" s="1"/>
  <c r="AG279" i="3" s="1"/>
  <c r="L280" i="3"/>
  <c r="K280" i="3" s="1"/>
  <c r="AG280" i="3" s="1"/>
  <c r="L281" i="3"/>
  <c r="K281" i="3" s="1"/>
  <c r="AG281" i="3" s="1"/>
  <c r="L282" i="3"/>
  <c r="K282" i="3" s="1"/>
  <c r="AG282" i="3" s="1"/>
  <c r="L283" i="3"/>
  <c r="K283" i="3" s="1"/>
  <c r="AG283" i="3" s="1"/>
  <c r="L284" i="3"/>
  <c r="K284" i="3" s="1"/>
  <c r="AG284" i="3" s="1"/>
  <c r="L285" i="3"/>
  <c r="K285" i="3" s="1"/>
  <c r="AG285" i="3" s="1"/>
  <c r="L286" i="3"/>
  <c r="K286" i="3" s="1"/>
  <c r="AG286" i="3" s="1"/>
  <c r="L287" i="3"/>
  <c r="K287" i="3" s="1"/>
  <c r="AG287" i="3" s="1"/>
  <c r="L288" i="3"/>
  <c r="K288" i="3" s="1"/>
  <c r="AG288" i="3" s="1"/>
  <c r="L289" i="3"/>
  <c r="K289" i="3" s="1"/>
  <c r="AG289" i="3" s="1"/>
  <c r="L290" i="3"/>
  <c r="K290" i="3" s="1"/>
  <c r="AG290" i="3" s="1"/>
  <c r="L291" i="3"/>
  <c r="K291" i="3" s="1"/>
  <c r="AG291" i="3" s="1"/>
  <c r="L292" i="3"/>
  <c r="K292" i="3" s="1"/>
  <c r="AG292" i="3" s="1"/>
  <c r="L293" i="3"/>
  <c r="K293" i="3" s="1"/>
  <c r="AG293" i="3" s="1"/>
  <c r="L294" i="3"/>
  <c r="K294" i="3" s="1"/>
  <c r="AG294" i="3" s="1"/>
  <c r="L295" i="3"/>
  <c r="K295" i="3" s="1"/>
  <c r="AG295" i="3" s="1"/>
  <c r="L296" i="3"/>
  <c r="K296" i="3" s="1"/>
  <c r="AG296" i="3" s="1"/>
  <c r="L297" i="3"/>
  <c r="K297" i="3" s="1"/>
  <c r="AG297" i="3" s="1"/>
  <c r="L298" i="3"/>
  <c r="K298" i="3" s="1"/>
  <c r="AG298" i="3" s="1"/>
  <c r="L299" i="3"/>
  <c r="K299" i="3" s="1"/>
  <c r="AG299" i="3" s="1"/>
  <c r="L300" i="3"/>
  <c r="K300" i="3" s="1"/>
  <c r="AG300" i="3" s="1"/>
  <c r="L301" i="3"/>
  <c r="K301" i="3" s="1"/>
  <c r="AG301" i="3" s="1"/>
  <c r="L302" i="3"/>
  <c r="K302" i="3" s="1"/>
  <c r="AG302" i="3" s="1"/>
  <c r="L303" i="3"/>
  <c r="K303" i="3" s="1"/>
  <c r="AG303" i="3" s="1"/>
  <c r="L304" i="3"/>
  <c r="K304" i="3" s="1"/>
  <c r="AG304" i="3" s="1"/>
  <c r="L305" i="3"/>
  <c r="K305" i="3" s="1"/>
  <c r="AG305" i="3" s="1"/>
  <c r="L306" i="3"/>
  <c r="K306" i="3" s="1"/>
  <c r="AG306" i="3" s="1"/>
  <c r="L307" i="3"/>
  <c r="K307" i="3" s="1"/>
  <c r="AG307" i="3" s="1"/>
  <c r="L308" i="3"/>
  <c r="K308" i="3" s="1"/>
  <c r="AG308" i="3" s="1"/>
  <c r="L309" i="3"/>
  <c r="K309" i="3" s="1"/>
  <c r="AG309" i="3" s="1"/>
  <c r="L310" i="3"/>
  <c r="L311" i="3"/>
  <c r="K311" i="3" s="1"/>
  <c r="AG311" i="3" s="1"/>
  <c r="L312" i="3"/>
  <c r="K312" i="3" s="1"/>
  <c r="AG312" i="3" s="1"/>
  <c r="L313" i="3"/>
  <c r="K313" i="3" s="1"/>
  <c r="AG313" i="3" s="1"/>
  <c r="L314" i="3"/>
  <c r="K314" i="3" s="1"/>
  <c r="AG314" i="3" s="1"/>
  <c r="L315" i="3"/>
  <c r="K315" i="3" s="1"/>
  <c r="AG315" i="3" s="1"/>
  <c r="L316" i="3"/>
  <c r="K316" i="3" s="1"/>
  <c r="AG316" i="3" s="1"/>
  <c r="L317" i="3"/>
  <c r="K317" i="3" s="1"/>
  <c r="AG317" i="3" s="1"/>
  <c r="L318" i="3"/>
  <c r="K318" i="3" s="1"/>
  <c r="AG318" i="3" s="1"/>
  <c r="L319" i="3"/>
  <c r="K319" i="3" s="1"/>
  <c r="AG319" i="3" s="1"/>
  <c r="L320" i="3"/>
  <c r="K320" i="3" s="1"/>
  <c r="AG320" i="3" s="1"/>
  <c r="L321" i="3"/>
  <c r="K321" i="3" s="1"/>
  <c r="AG321" i="3" s="1"/>
  <c r="L322" i="3"/>
  <c r="K322" i="3" s="1"/>
  <c r="AG322" i="3" s="1"/>
  <c r="E13" i="17"/>
  <c r="F13" i="17"/>
  <c r="G13" i="17"/>
  <c r="H13" i="17"/>
  <c r="I13" i="17"/>
  <c r="E12" i="17"/>
  <c r="F12" i="17"/>
  <c r="G12" i="17"/>
  <c r="H12" i="17"/>
  <c r="I12" i="17"/>
  <c r="AC323" i="10" l="1"/>
  <c r="K310" i="3"/>
  <c r="AG310" i="3" s="1"/>
  <c r="L323" i="3"/>
  <c r="D10" i="13" a="1"/>
  <c r="D10" i="13" s="1"/>
  <c r="D4" i="15" a="1"/>
  <c r="D4" i="15" s="1"/>
  <c r="D10" i="10" a="1"/>
  <c r="D10" i="10" s="1"/>
  <c r="D10" i="3" a="1"/>
  <c r="D10" i="3" s="1"/>
  <c r="D5" i="16" a="1"/>
  <c r="D5" i="16" s="1"/>
  <c r="D10" i="12" a="1"/>
  <c r="D10" i="12" s="1"/>
  <c r="D10" i="8" a="1"/>
  <c r="D10" i="8" s="1"/>
  <c r="D7" i="14" a="1"/>
  <c r="D7" i="14" s="1"/>
  <c r="D10" i="11" a="1"/>
  <c r="D10" i="11" s="1"/>
  <c r="D10" i="6" a="1"/>
  <c r="D10" i="6" s="1"/>
  <c r="AG15" i="3"/>
  <c r="AG16" i="3"/>
  <c r="AG13" i="3"/>
  <c r="U323" i="3"/>
  <c r="D13" i="17"/>
  <c r="D12" i="17"/>
  <c r="E10" i="10" l="1"/>
  <c r="E10" i="3"/>
  <c r="E5" i="16"/>
  <c r="E10" i="13"/>
  <c r="E10" i="12"/>
  <c r="E10" i="8"/>
  <c r="E7" i="14"/>
  <c r="E10" i="11"/>
  <c r="E10" i="6"/>
  <c r="E4" i="15"/>
  <c r="E15" i="17"/>
  <c r="P323" i="3"/>
  <c r="AG11" i="3"/>
  <c r="M323" i="3"/>
  <c r="K323" i="3" l="1"/>
  <c r="AG323" i="3" s="1"/>
  <c r="AG14" i="3"/>
  <c r="L323" i="8"/>
  <c r="J14" i="8"/>
  <c r="J323" i="8" s="1"/>
  <c r="I14" i="8" l="1"/>
  <c r="AG323" i="8" l="1"/>
  <c r="I323" i="8"/>
  <c r="AG14" i="8"/>
  <c r="I24" i="16" l="1"/>
  <c r="Y24" i="16" s="1"/>
  <c r="I21" i="16"/>
  <c r="J48" i="16"/>
  <c r="Y21" i="16" l="1"/>
  <c r="I48" i="16"/>
  <c r="Y48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<sst xmlns="http://schemas.openxmlformats.org/spreadsheetml/2006/main" count="5562" uniqueCount="936">
  <si>
    <t>Раздел II. Численность обучающихся</t>
  </si>
  <si>
    <t>Виды спорта</t>
  </si>
  <si>
    <t>№ строки</t>
  </si>
  <si>
    <t>Число отделений по видам спорта, единица</t>
  </si>
  <si>
    <t>Базовый вид спорта, единица</t>
  </si>
  <si>
    <t>Численность обучающихся на 31 декабря отчетного периода, человек</t>
  </si>
  <si>
    <t>Итого обучающихся</t>
  </si>
  <si>
    <t>Обучающиеся по дополнительным общеобразовательным программам в области физической культуры и спорта</t>
  </si>
  <si>
    <t>из гр. 5:</t>
  </si>
  <si>
    <t>Всего обучающихся
по дополнительным образовательным программам спортивной подготовки</t>
  </si>
  <si>
    <t>по дополнительным образовательным программам спортивной подготовки</t>
  </si>
  <si>
    <t>по возрастам (из гр. 6)</t>
  </si>
  <si>
    <t>по договорам платных образовательных услуг (из гр. 6)</t>
  </si>
  <si>
    <t>по дополнительным общеразвивающим программам
(спортивно-оздоровительный этап)</t>
  </si>
  <si>
    <t xml:space="preserve"> мальчиков, юношей, юниоров, мужчин</t>
  </si>
  <si>
    <t>девочек, девушек, юниорок, женщин</t>
  </si>
  <si>
    <t>начальной подготовки</t>
  </si>
  <si>
    <t>учебно - тренировочный</t>
  </si>
  <si>
    <t>совершен-ствования спортивного мастерства</t>
  </si>
  <si>
    <t>высшего спортивного мастерства</t>
  </si>
  <si>
    <t>старше 18 лет</t>
  </si>
  <si>
    <t>Авиамодельный спорт</t>
  </si>
  <si>
    <t>01</t>
  </si>
  <si>
    <t>Авиационные гонки</t>
  </si>
  <si>
    <t>02</t>
  </si>
  <si>
    <t>Автомобильный спорт</t>
  </si>
  <si>
    <t>03</t>
  </si>
  <si>
    <t>Автомодельный спорт</t>
  </si>
  <si>
    <t>04</t>
  </si>
  <si>
    <t>Айкидо</t>
  </si>
  <si>
    <t>05</t>
  </si>
  <si>
    <t>Акробатический рок-н-ролл</t>
  </si>
  <si>
    <t>06</t>
  </si>
  <si>
    <t>Альпинизм - всего</t>
  </si>
  <si>
    <t>07</t>
  </si>
  <si>
    <t>в том числе:
Ски-альпинизм</t>
  </si>
  <si>
    <t>08</t>
  </si>
  <si>
    <t>Иные дисциплины вида спорта "альпинизм"</t>
  </si>
  <si>
    <t>09</t>
  </si>
  <si>
    <t>Американский футбол</t>
  </si>
  <si>
    <t>10</t>
  </si>
  <si>
    <t>Армейская высокоточная стрельба</t>
  </si>
  <si>
    <t>11</t>
  </si>
  <si>
    <t>Армейский рукопашный бой</t>
  </si>
  <si>
    <t>12</t>
  </si>
  <si>
    <t>Армейское тактико-стрелковое многоборье</t>
  </si>
  <si>
    <t>13</t>
  </si>
  <si>
    <t>Армрестлинг</t>
  </si>
  <si>
    <t>14</t>
  </si>
  <si>
    <t>Бадминтон</t>
  </si>
  <si>
    <t>15</t>
  </si>
  <si>
    <t>Баскетбол - всего</t>
  </si>
  <si>
    <t>16</t>
  </si>
  <si>
    <t>17</t>
  </si>
  <si>
    <t>Баскетбол 3х3</t>
  </si>
  <si>
    <t>18</t>
  </si>
  <si>
    <t>Интерактивный баскетбол</t>
  </si>
  <si>
    <t>19</t>
  </si>
  <si>
    <t>Иные дисциплины вида спорта "баскетбол"</t>
  </si>
  <si>
    <t>20</t>
  </si>
  <si>
    <t>Бейсбол</t>
  </si>
  <si>
    <t>21</t>
  </si>
  <si>
    <t>Биатлон</t>
  </si>
  <si>
    <t>22</t>
  </si>
  <si>
    <t>Бильярдный спорт</t>
  </si>
  <si>
    <t>23</t>
  </si>
  <si>
    <t>Бобслей - всего</t>
  </si>
  <si>
    <t>24</t>
  </si>
  <si>
    <t>в том числе:
Скелетон</t>
  </si>
  <si>
    <t>25</t>
  </si>
  <si>
    <t>Экипаж</t>
  </si>
  <si>
    <t>26</t>
  </si>
  <si>
    <t>Монобоб</t>
  </si>
  <si>
    <t>27</t>
  </si>
  <si>
    <t>Иные дисциплины вида спорта "бобслей"</t>
  </si>
  <si>
    <t>28</t>
  </si>
  <si>
    <t>Бодибилдинг</t>
  </si>
  <si>
    <t>29</t>
  </si>
  <si>
    <t>Бокс</t>
  </si>
  <si>
    <t>30</t>
  </si>
  <si>
    <t>Борьба на поясах</t>
  </si>
  <si>
    <t>31</t>
  </si>
  <si>
    <t>Боулинг</t>
  </si>
  <si>
    <t>32</t>
  </si>
  <si>
    <t>Боулспорт</t>
  </si>
  <si>
    <t>33</t>
  </si>
  <si>
    <t>Брейкинг</t>
  </si>
  <si>
    <t>34</t>
  </si>
  <si>
    <t>Велосипедный спорт - всего</t>
  </si>
  <si>
    <t>35</t>
  </si>
  <si>
    <t>в том числе:
BMX (гонка, эстафета)</t>
  </si>
  <si>
    <t>36</t>
  </si>
  <si>
    <t>BMX - фристайл</t>
  </si>
  <si>
    <t>37</t>
  </si>
  <si>
    <t>Маунтинбайк</t>
  </si>
  <si>
    <t>38</t>
  </si>
  <si>
    <t>Трек</t>
  </si>
  <si>
    <t>39</t>
  </si>
  <si>
    <t>Шоссе</t>
  </si>
  <si>
    <t>40</t>
  </si>
  <si>
    <t xml:space="preserve">Технический симулятор </t>
  </si>
  <si>
    <t>41</t>
  </si>
  <si>
    <t>Вертолетный спорт</t>
  </si>
  <si>
    <t>Водное поло - всего</t>
  </si>
  <si>
    <t>43</t>
  </si>
  <si>
    <t>44</t>
  </si>
  <si>
    <t>Иные дисциплины вида спорта "водное поло"</t>
  </si>
  <si>
    <t>45</t>
  </si>
  <si>
    <t>Воднолыжный спорт</t>
  </si>
  <si>
    <t>46</t>
  </si>
  <si>
    <t>Водно-моторный спорт</t>
  </si>
  <si>
    <t>47</t>
  </si>
  <si>
    <t>Водно-спасательное многоборье</t>
  </si>
  <si>
    <t>48</t>
  </si>
  <si>
    <t>Военно-прикладной спорт</t>
  </si>
  <si>
    <t>49</t>
  </si>
  <si>
    <t>Военно-спортивное многоборье</t>
  </si>
  <si>
    <t>50</t>
  </si>
  <si>
    <t>Воздухоплавательный спорт</t>
  </si>
  <si>
    <t>51</t>
  </si>
  <si>
    <t>Воздушная гимнастика</t>
  </si>
  <si>
    <t>52</t>
  </si>
  <si>
    <t>Воздушно-силовая атлетика</t>
  </si>
  <si>
    <t>53</t>
  </si>
  <si>
    <t>Волейбол - всего</t>
  </si>
  <si>
    <t>54</t>
  </si>
  <si>
    <t>55</t>
  </si>
  <si>
    <t>Пляжный волейбол</t>
  </si>
  <si>
    <t>56</t>
  </si>
  <si>
    <t>Волейбол на снегу</t>
  </si>
  <si>
    <t>57</t>
  </si>
  <si>
    <t>Восточное боевое единоборство</t>
  </si>
  <si>
    <t>58</t>
  </si>
  <si>
    <t>Всестилевое каратэ</t>
  </si>
  <si>
    <t>59</t>
  </si>
  <si>
    <t>Гандбол - всего</t>
  </si>
  <si>
    <t>60</t>
  </si>
  <si>
    <t>61</t>
  </si>
  <si>
    <t>Пляжный гандбол</t>
  </si>
  <si>
    <t>62</t>
  </si>
  <si>
    <t>Гиревой спорт</t>
  </si>
  <si>
    <t>63</t>
  </si>
  <si>
    <t>Го</t>
  </si>
  <si>
    <t>64</t>
  </si>
  <si>
    <t>Гольф</t>
  </si>
  <si>
    <t>65</t>
  </si>
  <si>
    <t>Гонки дронов (беспилотных воздушных судов) - всего</t>
  </si>
  <si>
    <t>66</t>
  </si>
  <si>
    <t>в том числе:
Класс 75 мм</t>
  </si>
  <si>
    <t>67</t>
  </si>
  <si>
    <t>Класс 200 мм</t>
  </si>
  <si>
    <t>68</t>
  </si>
  <si>
    <t>Класс 330 мм</t>
  </si>
  <si>
    <t>69</t>
  </si>
  <si>
    <t>Технический симулятор</t>
  </si>
  <si>
    <t>70</t>
  </si>
  <si>
    <t>Гонки на охотничьих лыжах</t>
  </si>
  <si>
    <t>71</t>
  </si>
  <si>
    <t>Гонки с препятствиями</t>
  </si>
  <si>
    <t>72</t>
  </si>
  <si>
    <t>Горнолыжный спорт</t>
  </si>
  <si>
    <t>73</t>
  </si>
  <si>
    <t>Городошный спорт</t>
  </si>
  <si>
    <t>74</t>
  </si>
  <si>
    <t>Гребля на байдарках и каноэ</t>
  </si>
  <si>
    <t>75</t>
  </si>
  <si>
    <t>Гребля на шлюпках</t>
  </si>
  <si>
    <t>76</t>
  </si>
  <si>
    <t>Гребной слалом</t>
  </si>
  <si>
    <t>77</t>
  </si>
  <si>
    <t>Гребной спорт - всего</t>
  </si>
  <si>
    <t>78</t>
  </si>
  <si>
    <t>в том числе:
Академическая гребля</t>
  </si>
  <si>
    <t>79</t>
  </si>
  <si>
    <t>Иные дисциплины вида спорта "гребной спорт"</t>
  </si>
  <si>
    <t>80</t>
  </si>
  <si>
    <t>Гребно-парусное двоеборье</t>
  </si>
  <si>
    <t>81</t>
  </si>
  <si>
    <t>Дартс</t>
  </si>
  <si>
    <t>82</t>
  </si>
  <si>
    <t>Джиу-джитсу</t>
  </si>
  <si>
    <t>83</t>
  </si>
  <si>
    <t>Джутайдо</t>
  </si>
  <si>
    <t>84</t>
  </si>
  <si>
    <t>Дзюдо</t>
  </si>
  <si>
    <t>85</t>
  </si>
  <si>
    <t>Ездовой спорт</t>
  </si>
  <si>
    <t>86</t>
  </si>
  <si>
    <t>Зимнее плавание</t>
  </si>
  <si>
    <t>87</t>
  </si>
  <si>
    <t>Капоэйра</t>
  </si>
  <si>
    <t>88</t>
  </si>
  <si>
    <t>Каратэ</t>
  </si>
  <si>
    <t>89</t>
  </si>
  <si>
    <t>Кендо</t>
  </si>
  <si>
    <t>90</t>
  </si>
  <si>
    <t>Керешу</t>
  </si>
  <si>
    <t>91</t>
  </si>
  <si>
    <t>Кёрлинг - всего</t>
  </si>
  <si>
    <t>92</t>
  </si>
  <si>
    <t>93</t>
  </si>
  <si>
    <t>94</t>
  </si>
  <si>
    <t>Кикбоксинг</t>
  </si>
  <si>
    <t>95</t>
  </si>
  <si>
    <t>Кинологический спорт</t>
  </si>
  <si>
    <t>96</t>
  </si>
  <si>
    <t>Киокусинкай</t>
  </si>
  <si>
    <t>97</t>
  </si>
  <si>
    <t>Киокушин</t>
  </si>
  <si>
    <t>98</t>
  </si>
  <si>
    <t>Комплексное единоборство</t>
  </si>
  <si>
    <t>99</t>
  </si>
  <si>
    <t>Компьютерный спорт - всего</t>
  </si>
  <si>
    <t>100</t>
  </si>
  <si>
    <t>в том числе:
Боевая арена</t>
  </si>
  <si>
    <t>101</t>
  </si>
  <si>
    <t>Соревновательные головоломки</t>
  </si>
  <si>
    <t>102</t>
  </si>
  <si>
    <t>Спортивный симулятор</t>
  </si>
  <si>
    <t>103</t>
  </si>
  <si>
    <t>Стратегия в реальном времени</t>
  </si>
  <si>
    <t>104</t>
  </si>
  <si>
    <t>Тактический трехмерный бой</t>
  </si>
  <si>
    <t>105</t>
  </si>
  <si>
    <t>106</t>
  </si>
  <si>
    <t>Файтинг</t>
  </si>
  <si>
    <t>107</t>
  </si>
  <si>
    <t>Конный спорт</t>
  </si>
  <si>
    <t>108</t>
  </si>
  <si>
    <t>Конькобежный спорт - всего</t>
  </si>
  <si>
    <t>109</t>
  </si>
  <si>
    <t>110</t>
  </si>
  <si>
    <t>Масс-старт</t>
  </si>
  <si>
    <t>111</t>
  </si>
  <si>
    <t>Командный забег</t>
  </si>
  <si>
    <t>112</t>
  </si>
  <si>
    <t>Иные дисциплины вида спорта "конькобежный спорт"</t>
  </si>
  <si>
    <t>113</t>
  </si>
  <si>
    <t>Корэш</t>
  </si>
  <si>
    <t>114</t>
  </si>
  <si>
    <t>Крикет</t>
  </si>
  <si>
    <t>115</t>
  </si>
  <si>
    <t>Кудо</t>
  </si>
  <si>
    <t>116</t>
  </si>
  <si>
    <t>Лазерный бой</t>
  </si>
  <si>
    <t>117</t>
  </si>
  <si>
    <t>Лапта</t>
  </si>
  <si>
    <t>118</t>
  </si>
  <si>
    <t>Легкая атлетика</t>
  </si>
  <si>
    <t>119</t>
  </si>
  <si>
    <t>Лыжное двоеборье</t>
  </si>
  <si>
    <t>120</t>
  </si>
  <si>
    <t>Лыжные гонки</t>
  </si>
  <si>
    <t>121</t>
  </si>
  <si>
    <t>Мас-рестлинг</t>
  </si>
  <si>
    <t>122</t>
  </si>
  <si>
    <t>Международное военно-спортивное многоборье</t>
  </si>
  <si>
    <t>123</t>
  </si>
  <si>
    <t>Микрофутзал</t>
  </si>
  <si>
    <t>124</t>
  </si>
  <si>
    <t>Многоборье готов к труду и обороне</t>
  </si>
  <si>
    <t>125</t>
  </si>
  <si>
    <t>Многоборье кинологов</t>
  </si>
  <si>
    <t>126</t>
  </si>
  <si>
    <t>Многоборье спасателей МЧС России</t>
  </si>
  <si>
    <t>127</t>
  </si>
  <si>
    <t>Морское многоборье</t>
  </si>
  <si>
    <t>128</t>
  </si>
  <si>
    <t>Мотоциклетный спорт</t>
  </si>
  <si>
    <t>129</t>
  </si>
  <si>
    <t>Муайтай</t>
  </si>
  <si>
    <t>130</t>
  </si>
  <si>
    <t>Нарды</t>
  </si>
  <si>
    <t>131</t>
  </si>
  <si>
    <t>Настольный теннис</t>
  </si>
  <si>
    <t>132</t>
  </si>
  <si>
    <t>Падел</t>
  </si>
  <si>
    <t>133</t>
  </si>
  <si>
    <t>Парашютный спорт</t>
  </si>
  <si>
    <t>134</t>
  </si>
  <si>
    <t>Парусный спорт</t>
  </si>
  <si>
    <t>135</t>
  </si>
  <si>
    <t>Пауэрлифтинг</t>
  </si>
  <si>
    <t>136</t>
  </si>
  <si>
    <t>Перетягивание каната</t>
  </si>
  <si>
    <t>137</t>
  </si>
  <si>
    <t>Пилонный спорт</t>
  </si>
  <si>
    <t>138</t>
  </si>
  <si>
    <t>Плавание - всего</t>
  </si>
  <si>
    <t>139</t>
  </si>
  <si>
    <t>в том числе:
Открытая вода</t>
  </si>
  <si>
    <t>140</t>
  </si>
  <si>
    <t>Иные дисциплины вида спорта "плавание"</t>
  </si>
  <si>
    <t>141</t>
  </si>
  <si>
    <t>Планерный спорт</t>
  </si>
  <si>
    <t>142</t>
  </si>
  <si>
    <t>Подводный спорт</t>
  </si>
  <si>
    <t>143</t>
  </si>
  <si>
    <t>Пожарно-спасательный спорт</t>
  </si>
  <si>
    <t>144</t>
  </si>
  <si>
    <t>Полиатлон</t>
  </si>
  <si>
    <t>145</t>
  </si>
  <si>
    <t>Практическая стрельба</t>
  </si>
  <si>
    <t>146</t>
  </si>
  <si>
    <t>Прыжки в воду</t>
  </si>
  <si>
    <t>147</t>
  </si>
  <si>
    <t>Прыжки на батуте - всего</t>
  </si>
  <si>
    <t>148</t>
  </si>
  <si>
    <t>в том числе:
Акробатическая дорожка</t>
  </si>
  <si>
    <t>149</t>
  </si>
  <si>
    <t>Двойной минитрамп</t>
  </si>
  <si>
    <t>150</t>
  </si>
  <si>
    <t>Индивидуальные прыжки</t>
  </si>
  <si>
    <t>151</t>
  </si>
  <si>
    <t>Синхронные прыжки</t>
  </si>
  <si>
    <t>152</t>
  </si>
  <si>
    <t>Прыжки на лыжах с трамплина</t>
  </si>
  <si>
    <t>153</t>
  </si>
  <si>
    <t>Пулевая стрельба - всего</t>
  </si>
  <si>
    <t>154</t>
  </si>
  <si>
    <t>в том числе:
Пневматическая винтовка</t>
  </si>
  <si>
    <t>155</t>
  </si>
  <si>
    <t>Пневматический пистолет</t>
  </si>
  <si>
    <t>156</t>
  </si>
  <si>
    <t>Малокалиберная винтовка</t>
  </si>
  <si>
    <t>157</t>
  </si>
  <si>
    <t>Малокалиберный пистолет</t>
  </si>
  <si>
    <t>158</t>
  </si>
  <si>
    <t>Иные дисциплины вида спорта "пулевая стрельба"</t>
  </si>
  <si>
    <t>159</t>
  </si>
  <si>
    <t>Пэйнтбол</t>
  </si>
  <si>
    <t>160</t>
  </si>
  <si>
    <t>Радиоспорт</t>
  </si>
  <si>
    <t>161</t>
  </si>
  <si>
    <t>Рафтинг</t>
  </si>
  <si>
    <t>162</t>
  </si>
  <si>
    <t>Регби - всего</t>
  </si>
  <si>
    <t>163</t>
  </si>
  <si>
    <t>в том числе:
Регби</t>
  </si>
  <si>
    <t>164</t>
  </si>
  <si>
    <t>Регби 7</t>
  </si>
  <si>
    <t>165</t>
  </si>
  <si>
    <t>Регби - пляжное</t>
  </si>
  <si>
    <t>166</t>
  </si>
  <si>
    <t>Регби на снегу</t>
  </si>
  <si>
    <t>167</t>
  </si>
  <si>
    <t>Регби бесконтактное</t>
  </si>
  <si>
    <t>168</t>
  </si>
  <si>
    <t>Регбол</t>
  </si>
  <si>
    <t>169</t>
  </si>
  <si>
    <t>Роллер спорт</t>
  </si>
  <si>
    <t>170</t>
  </si>
  <si>
    <t>Роуп скиппинг (спортивная скакалка)</t>
  </si>
  <si>
    <t>171</t>
  </si>
  <si>
    <t>Рукопашный бой</t>
  </si>
  <si>
    <t>172</t>
  </si>
  <si>
    <t>Русская тройка</t>
  </si>
  <si>
    <t>173</t>
  </si>
  <si>
    <t>Рыболовный спорт</t>
  </si>
  <si>
    <t>174</t>
  </si>
  <si>
    <t>Сават</t>
  </si>
  <si>
    <t>175</t>
  </si>
  <si>
    <t>Самбо</t>
  </si>
  <si>
    <t>176</t>
  </si>
  <si>
    <t>Самолетный спорт</t>
  </si>
  <si>
    <t>177</t>
  </si>
  <si>
    <t>Санный спорт</t>
  </si>
  <si>
    <t>178</t>
  </si>
  <si>
    <t>Северное многоборье</t>
  </si>
  <si>
    <t>179</t>
  </si>
  <si>
    <t>Серфинг</t>
  </si>
  <si>
    <t>180</t>
  </si>
  <si>
    <t>Силовой спорт</t>
  </si>
  <si>
    <t>181</t>
  </si>
  <si>
    <t>Силовой экстрим</t>
  </si>
  <si>
    <t>182</t>
  </si>
  <si>
    <t>Синхронное плавание</t>
  </si>
  <si>
    <t>183</t>
  </si>
  <si>
    <t>Скалолазание - всего</t>
  </si>
  <si>
    <t>184</t>
  </si>
  <si>
    <t>в том числе:
Двоеборье</t>
  </si>
  <si>
    <t>185</t>
  </si>
  <si>
    <t>Лазание на скорость</t>
  </si>
  <si>
    <t>186</t>
  </si>
  <si>
    <t>Иные дисциплины вида спорта "скалолазание"</t>
  </si>
  <si>
    <t>187</t>
  </si>
  <si>
    <t>Сквош</t>
  </si>
  <si>
    <t>188</t>
  </si>
  <si>
    <t>Скейтбординг</t>
  </si>
  <si>
    <t>189</t>
  </si>
  <si>
    <t>Служебно-боевая стрельба</t>
  </si>
  <si>
    <t>190</t>
  </si>
  <si>
    <t>Служебное двоеборье</t>
  </si>
  <si>
    <t>191</t>
  </si>
  <si>
    <t>Служебное единоборство</t>
  </si>
  <si>
    <t>192</t>
  </si>
  <si>
    <t>Служебное многоборье</t>
  </si>
  <si>
    <t>193</t>
  </si>
  <si>
    <t>Служебно-прикладной спорт</t>
  </si>
  <si>
    <t>194</t>
  </si>
  <si>
    <t>Служебно-прикладной спорт ФСО России</t>
  </si>
  <si>
    <t>195</t>
  </si>
  <si>
    <t>Служебно-прикладной спорт ФТС России</t>
  </si>
  <si>
    <t>196</t>
  </si>
  <si>
    <t>Служебный биатлон</t>
  </si>
  <si>
    <t>197</t>
  </si>
  <si>
    <t>Смешанное боевое единоборство (ММА)</t>
  </si>
  <si>
    <t>198</t>
  </si>
  <si>
    <t>Сноуборд - всего</t>
  </si>
  <si>
    <t>199</t>
  </si>
  <si>
    <t>в том числе:
Сноуборд-кросс</t>
  </si>
  <si>
    <t>200</t>
  </si>
  <si>
    <t>Параллельный слалом</t>
  </si>
  <si>
    <t>201</t>
  </si>
  <si>
    <t>Хаф-пайп</t>
  </si>
  <si>
    <t>202</t>
  </si>
  <si>
    <t>Биг-эйр</t>
  </si>
  <si>
    <t>203</t>
  </si>
  <si>
    <t>Слоупстайл</t>
  </si>
  <si>
    <t>204</t>
  </si>
  <si>
    <t>Скольжение по фигурам</t>
  </si>
  <si>
    <t>205</t>
  </si>
  <si>
    <t>Современное пятиборье</t>
  </si>
  <si>
    <t>206</t>
  </si>
  <si>
    <t>Софтбол</t>
  </si>
  <si>
    <t>207</t>
  </si>
  <si>
    <t>Спасательный спорт</t>
  </si>
  <si>
    <t>208</t>
  </si>
  <si>
    <t>Спорт сверхлегкой авиации</t>
  </si>
  <si>
    <t>209</t>
  </si>
  <si>
    <t>Спортивная акробатика</t>
  </si>
  <si>
    <t>210</t>
  </si>
  <si>
    <t>Спортивная аэробика</t>
  </si>
  <si>
    <t>211</t>
  </si>
  <si>
    <t>Спортивная борьба - всего</t>
  </si>
  <si>
    <t>212</t>
  </si>
  <si>
    <t>в том числе:
Вольная борьба</t>
  </si>
  <si>
    <t>213</t>
  </si>
  <si>
    <t>Греко-римская борьба</t>
  </si>
  <si>
    <t>214</t>
  </si>
  <si>
    <t>Грэпплинг</t>
  </si>
  <si>
    <t>215</t>
  </si>
  <si>
    <t>Панкратион</t>
  </si>
  <si>
    <t>216</t>
  </si>
  <si>
    <t>Пляжная борьба</t>
  </si>
  <si>
    <t>217</t>
  </si>
  <si>
    <t>Спортивная гимнастика</t>
  </si>
  <si>
    <t>218</t>
  </si>
  <si>
    <t>Спортивная йога</t>
  </si>
  <si>
    <t>219</t>
  </si>
  <si>
    <t>Спортивное метание ножа</t>
  </si>
  <si>
    <t>220</t>
  </si>
  <si>
    <t>Спортивное ориентирование</t>
  </si>
  <si>
    <t>221</t>
  </si>
  <si>
    <t>Спортивное программирование - всего</t>
  </si>
  <si>
    <t>222</t>
  </si>
  <si>
    <t>в том числе:
Программирование алгоритмическое</t>
  </si>
  <si>
    <t>223</t>
  </si>
  <si>
    <t>Программирование продуктовое</t>
  </si>
  <si>
    <t>224</t>
  </si>
  <si>
    <t>Программирование беспилотных авиационных систем</t>
  </si>
  <si>
    <t>225</t>
  </si>
  <si>
    <t>Программирование робототехники</t>
  </si>
  <si>
    <t>226</t>
  </si>
  <si>
    <t>Программирование систем информационной безопасности</t>
  </si>
  <si>
    <t>227</t>
  </si>
  <si>
    <t>228</t>
  </si>
  <si>
    <t>Спортивно-прикладное собаководство</t>
  </si>
  <si>
    <t>229</t>
  </si>
  <si>
    <t>Спортивный бридж</t>
  </si>
  <si>
    <t>230</t>
  </si>
  <si>
    <t>Спортивный туризм</t>
  </si>
  <si>
    <t>231</t>
  </si>
  <si>
    <t>Стендовая стрельба - всего</t>
  </si>
  <si>
    <t>232</t>
  </si>
  <si>
    <t>в том числе:
Трап</t>
  </si>
  <si>
    <t>233</t>
  </si>
  <si>
    <t>Скит</t>
  </si>
  <si>
    <t>234</t>
  </si>
  <si>
    <t>Иные дисциплины вида спорта "стендовая стрельба"</t>
  </si>
  <si>
    <t>235</t>
  </si>
  <si>
    <t>Страйкбол</t>
  </si>
  <si>
    <t>236</t>
  </si>
  <si>
    <t>Стрельба из арбалета</t>
  </si>
  <si>
    <t>237</t>
  </si>
  <si>
    <t>Стрельба из боевого ручного стрелкового оружия</t>
  </si>
  <si>
    <t>238</t>
  </si>
  <si>
    <t>Стрельба из лука - всего</t>
  </si>
  <si>
    <t>239</t>
  </si>
  <si>
    <t>в том числе:
Классический лук</t>
  </si>
  <si>
    <t>240</t>
  </si>
  <si>
    <t>Блочный лук</t>
  </si>
  <si>
    <t>241</t>
  </si>
  <si>
    <t xml:space="preserve">Ачери </t>
  </si>
  <si>
    <t>242</t>
  </si>
  <si>
    <t>Иные дисциплины вида спорта "стрельба из лука"</t>
  </si>
  <si>
    <t>243</t>
  </si>
  <si>
    <t>Стрельба из штатного или табельного оружия</t>
  </si>
  <si>
    <t>244</t>
  </si>
  <si>
    <t>Стрельба на дальние дистанции</t>
  </si>
  <si>
    <t>245</t>
  </si>
  <si>
    <t>Судомодельный спорт</t>
  </si>
  <si>
    <t>246</t>
  </si>
  <si>
    <t>Сумо</t>
  </si>
  <si>
    <t>247</t>
  </si>
  <si>
    <t>Таврели</t>
  </si>
  <si>
    <t>248</t>
  </si>
  <si>
    <t>Танцевальный спорт</t>
  </si>
  <si>
    <t>249</t>
  </si>
  <si>
    <t>Теннис</t>
  </si>
  <si>
    <t>250</t>
  </si>
  <si>
    <t>Триатлон</t>
  </si>
  <si>
    <t>251</t>
  </si>
  <si>
    <t>Тхэквондо ВТФ</t>
  </si>
  <si>
    <t>252</t>
  </si>
  <si>
    <t>Тхэквондо ГТФ</t>
  </si>
  <si>
    <t>253</t>
  </si>
  <si>
    <t>Тхэквондо ИТФ</t>
  </si>
  <si>
    <t>254</t>
  </si>
  <si>
    <t>Тхэквондо МФТ</t>
  </si>
  <si>
    <t>255</t>
  </si>
  <si>
    <t>Тяжелая атлетика</t>
  </si>
  <si>
    <t>256</t>
  </si>
  <si>
    <t>Универсальный бой</t>
  </si>
  <si>
    <t>257</t>
  </si>
  <si>
    <t>Ушу</t>
  </si>
  <si>
    <t>258</t>
  </si>
  <si>
    <t>Фехтование - всего</t>
  </si>
  <si>
    <t>259</t>
  </si>
  <si>
    <t>в том числе:
Рапира</t>
  </si>
  <si>
    <t>260</t>
  </si>
  <si>
    <t>Сабля</t>
  </si>
  <si>
    <t>261</t>
  </si>
  <si>
    <t>Шпага</t>
  </si>
  <si>
    <t>262</t>
  </si>
  <si>
    <t>Арт-фехтование</t>
  </si>
  <si>
    <t>263</t>
  </si>
  <si>
    <t>Фигурное катание на коньках</t>
  </si>
  <si>
    <t>264</t>
  </si>
  <si>
    <t>Фиджитал спорт (функционально-цифровой спорт) - всего</t>
  </si>
  <si>
    <t>265</t>
  </si>
  <si>
    <t>в том числе:
Двоеборье - автомодель</t>
  </si>
  <si>
    <t>266</t>
  </si>
  <si>
    <t>Двоеборье - единоборство</t>
  </si>
  <si>
    <t>267</t>
  </si>
  <si>
    <t>Двоеборье - тактическая стрельба</t>
  </si>
  <si>
    <t>268</t>
  </si>
  <si>
    <t>Преследование с препятствиями</t>
  </si>
  <si>
    <t>269</t>
  </si>
  <si>
    <t>270</t>
  </si>
  <si>
    <t>Фитнес-аэробика</t>
  </si>
  <si>
    <t>271</t>
  </si>
  <si>
    <t>Флаинг диск</t>
  </si>
  <si>
    <t>272</t>
  </si>
  <si>
    <t>Флорбол</t>
  </si>
  <si>
    <t>273</t>
  </si>
  <si>
    <t>Фристайл - всего</t>
  </si>
  <si>
    <t>274</t>
  </si>
  <si>
    <t>в том числе:
Акробатика</t>
  </si>
  <si>
    <t>275</t>
  </si>
  <si>
    <t>276</t>
  </si>
  <si>
    <t>Могул</t>
  </si>
  <si>
    <t>277</t>
  </si>
  <si>
    <t>Ски-кросс</t>
  </si>
  <si>
    <t>278</t>
  </si>
  <si>
    <t>279</t>
  </si>
  <si>
    <t>280</t>
  </si>
  <si>
    <t>Функциональное многоборье</t>
  </si>
  <si>
    <t>281</t>
  </si>
  <si>
    <t>Футбол - всего</t>
  </si>
  <si>
    <t>282</t>
  </si>
  <si>
    <t>283</t>
  </si>
  <si>
    <t>Интерактивный футбол</t>
  </si>
  <si>
    <t>284</t>
  </si>
  <si>
    <t>Мини-футбол</t>
  </si>
  <si>
    <t>285</t>
  </si>
  <si>
    <t>Пляжный футбол</t>
  </si>
  <si>
    <t>286</t>
  </si>
  <si>
    <t>Футбольное двоеборье</t>
  </si>
  <si>
    <t>287</t>
  </si>
  <si>
    <t>Футзал</t>
  </si>
  <si>
    <t>288</t>
  </si>
  <si>
    <t>Хапкидо</t>
  </si>
  <si>
    <t>289</t>
  </si>
  <si>
    <t>Хапсагай</t>
  </si>
  <si>
    <t>290</t>
  </si>
  <si>
    <t>Хоккей - всего</t>
  </si>
  <si>
    <t>291</t>
  </si>
  <si>
    <t>292</t>
  </si>
  <si>
    <t>Хоккейное двоеборье</t>
  </si>
  <si>
    <t>293</t>
  </si>
  <si>
    <t>Хоккей 2х2, 3х3, 4х4</t>
  </si>
  <si>
    <t>294</t>
  </si>
  <si>
    <t>Интерактивный хоккей</t>
  </si>
  <si>
    <t>295</t>
  </si>
  <si>
    <t>Бросок шайбы на силу</t>
  </si>
  <si>
    <t>296</t>
  </si>
  <si>
    <t>Хоккей на траве - всего</t>
  </si>
  <si>
    <t>297</t>
  </si>
  <si>
    <t>298</t>
  </si>
  <si>
    <t>Иные дисциплины вида спорта "хоккей на траве"</t>
  </si>
  <si>
    <t>299</t>
  </si>
  <si>
    <t>Хоккей с мячом</t>
  </si>
  <si>
    <t>300</t>
  </si>
  <si>
    <t>Художественная гимнастика</t>
  </si>
  <si>
    <t>301</t>
  </si>
  <si>
    <t>Хуреш</t>
  </si>
  <si>
    <t>302</t>
  </si>
  <si>
    <t>Чир спорт</t>
  </si>
  <si>
    <t>303</t>
  </si>
  <si>
    <t>Шахбокс</t>
  </si>
  <si>
    <t>304</t>
  </si>
  <si>
    <t>Шахматы</t>
  </si>
  <si>
    <t>305</t>
  </si>
  <si>
    <t>Шашки</t>
  </si>
  <si>
    <t>306</t>
  </si>
  <si>
    <t>Шодсанлат</t>
  </si>
  <si>
    <t>307</t>
  </si>
  <si>
    <t>Эстетическая гимнастика</t>
  </si>
  <si>
    <t>308</t>
  </si>
  <si>
    <t>Якутские национальные прыжки</t>
  </si>
  <si>
    <t>309</t>
  </si>
  <si>
    <t>ИТОГО</t>
  </si>
  <si>
    <t>310</t>
  </si>
  <si>
    <t>по возрастам (из гр. 18)</t>
  </si>
  <si>
    <t>по договорам платных образовательных услуг (из гр. 18)</t>
  </si>
  <si>
    <t>Всего</t>
  </si>
  <si>
    <t>Раздел III. Численность обучающихся по дополнительным образовательным программам спортивной подготовки, человек</t>
  </si>
  <si>
    <r>
      <t>Численность обучающихся по дополнительным образовательным программам спортивной подготовки на 31 декабря отчетного периода (из гр</t>
    </r>
    <r>
      <rPr>
        <sz val="8"/>
        <rFont val="Tahoma"/>
        <family val="2"/>
        <charset val="204"/>
      </rPr>
      <t>.6</t>
    </r>
    <r>
      <rPr>
        <sz val="8"/>
        <color rgb="FFFF0000"/>
        <rFont val="Tahoma"/>
        <family val="2"/>
        <charset val="204"/>
      </rPr>
      <t xml:space="preserve"> </t>
    </r>
    <r>
      <rPr>
        <sz val="8"/>
        <color rgb="FF000000"/>
        <rFont val="Tahoma"/>
        <family val="2"/>
        <charset val="204"/>
      </rPr>
      <t>раздела II)</t>
    </r>
  </si>
  <si>
    <t>Численность обучающихся, зачисленных на дополнительные образовательные программы 
спортивной подготовки в отчетном периоде</t>
  </si>
  <si>
    <t>Численность обучающихся, отчисленных с дополнительных образовательных программ 
спортивной подготовки в отчетном периоде</t>
  </si>
  <si>
    <t>в том числе по этапам и годам подготовки</t>
  </si>
  <si>
    <t>в том числе по этапам подготовки</t>
  </si>
  <si>
    <t>учебно-тренировочный</t>
  </si>
  <si>
    <t>совершенствования спортивного мастерства</t>
  </si>
  <si>
    <t>более 2</t>
  </si>
  <si>
    <t>более 5</t>
  </si>
  <si>
    <t>более 4</t>
  </si>
  <si>
    <t>42</t>
  </si>
  <si>
    <t>Раздел IV. Спортивные разряды, спортивные звания</t>
  </si>
  <si>
    <t>Итого</t>
  </si>
  <si>
    <t>спортивные разряды</t>
  </si>
  <si>
    <t>спортивные звания</t>
  </si>
  <si>
    <t>спортивные разряды присвоенные</t>
  </si>
  <si>
    <t>спортивные звания присвоенные</t>
  </si>
  <si>
    <t>в том числе:</t>
  </si>
  <si>
    <t>КМС</t>
  </si>
  <si>
    <t>1 разряд</t>
  </si>
  <si>
    <t>ЗМС</t>
  </si>
  <si>
    <t>МСМК</t>
  </si>
  <si>
    <t>МС</t>
  </si>
  <si>
    <t>гроссмейстер</t>
  </si>
  <si>
    <t>2 разряд</t>
  </si>
  <si>
    <t>3 разряд</t>
  </si>
  <si>
    <t>юношеские разряды</t>
  </si>
  <si>
    <t>Кандидаты, подготовленные в отчетном периоде</t>
  </si>
  <si>
    <t>Юношеский состав</t>
  </si>
  <si>
    <t>Юниорский состав</t>
  </si>
  <si>
    <t>Основной состав</t>
  </si>
  <si>
    <t>Всего по юношескому составу</t>
  </si>
  <si>
    <t>СШ</t>
  </si>
  <si>
    <t>СШОР</t>
  </si>
  <si>
    <t>УОР</t>
  </si>
  <si>
    <t>Всего по юниорскому составу</t>
  </si>
  <si>
    <t>Всего по основному составу</t>
  </si>
  <si>
    <t>основной</t>
  </si>
  <si>
    <t>резерв</t>
  </si>
  <si>
    <t>Всего подготовлено 
по юношескому составу</t>
  </si>
  <si>
    <t>Всего подготовлено 
по юниорскому составу</t>
  </si>
  <si>
    <t>Всего подготовлено 
по основному составу</t>
  </si>
  <si>
    <t>Раздел VI. Всероссийские спортивные соревнования, единица</t>
  </si>
  <si>
    <t>Результаты выступлений на соревнованиях</t>
  </si>
  <si>
    <t>Чемпионат России</t>
  </si>
  <si>
    <t>Первенство России среди юниоров и юниорок</t>
  </si>
  <si>
    <t>Первенство России среди юношей и девушек</t>
  </si>
  <si>
    <t>Кубок России</t>
  </si>
  <si>
    <t xml:space="preserve">Всероссийские спартакиады между спортсменами субъектов Российской Федерации по летним и зимним видам спорта </t>
  </si>
  <si>
    <t>Прочие официальные всероссийские соревнования</t>
  </si>
  <si>
    <t>медали 
(1-3 место)</t>
  </si>
  <si>
    <t>4-6</t>
  </si>
  <si>
    <t>учас-тие</t>
  </si>
  <si>
    <t>Раздел VII. Международные спортивные соревнования, единица</t>
  </si>
  <si>
    <t>Олимпийские игры</t>
  </si>
  <si>
    <t>Чемпионат мира</t>
  </si>
  <si>
    <t>Юношеские Олимпийские игры</t>
  </si>
  <si>
    <t>Первенство мира</t>
  </si>
  <si>
    <t>Кубок мира</t>
  </si>
  <si>
    <t>Этапы Кубка мира</t>
  </si>
  <si>
    <t>Чемпионат Европы</t>
  </si>
  <si>
    <t>Первенство Европы</t>
  </si>
  <si>
    <t>Кубок Европы</t>
  </si>
  <si>
    <t>Прочие официальные международные соревнования</t>
  </si>
  <si>
    <t>Раздел VIII. Тренерско-преподавательский состав, человек</t>
  </si>
  <si>
    <t>Тренеры-преподаватели</t>
  </si>
  <si>
    <t xml:space="preserve">Всего тренеров-преподавателей </t>
  </si>
  <si>
    <t xml:space="preserve"> Всего по основному месту работы</t>
  </si>
  <si>
    <t>внутреннее совмещение/ совместительство</t>
  </si>
  <si>
    <t>по основному месту работы:</t>
  </si>
  <si>
    <t>внешние совместители:</t>
  </si>
  <si>
    <t>из гр.4:</t>
  </si>
  <si>
    <t>профессиональное образование</t>
  </si>
  <si>
    <t>Прошедшие профессиональную переподготовку (за отчетный период)</t>
  </si>
  <si>
    <t>Прошедшие повышение квалификации (за отчетный период)</t>
  </si>
  <si>
    <t>квалификационные категории</t>
  </si>
  <si>
    <t>Всего внешних совместителей</t>
  </si>
  <si>
    <t>в возрасте:</t>
  </si>
  <si>
    <t>Звание «Заслуженный тренер России»</t>
  </si>
  <si>
    <t>высшее</t>
  </si>
  <si>
    <t>среднее</t>
  </si>
  <si>
    <t>имеющие дополнительное профессиональное образование в области физической культуры и спорта (из гр.6 и 7)</t>
  </si>
  <si>
    <t>высшая</t>
  </si>
  <si>
    <t>первая</t>
  </si>
  <si>
    <t>имеющие дополнительное профессиональное образование в области физической культуры и спорта (из гр.16 и 17)</t>
  </si>
  <si>
    <t>по основному месту работы</t>
  </si>
  <si>
    <t>внешние совместители</t>
  </si>
  <si>
    <t>до 35 лет</t>
  </si>
  <si>
    <t>от 36 до 64 лет</t>
  </si>
  <si>
    <t>старше 64 лет</t>
  </si>
  <si>
    <t>Раздел IX. Кадровый состав, человек</t>
  </si>
  <si>
    <t>Наименование должности</t>
  </si>
  <si>
    <t>Численность работников</t>
  </si>
  <si>
    <t>из численности работников по основному месту работы (гр.4)</t>
  </si>
  <si>
    <t>почетные звания</t>
  </si>
  <si>
    <t>в том числе по основному месту работы</t>
  </si>
  <si>
    <t>в том числе
физкультурное</t>
  </si>
  <si>
    <t>имеющие дополнительное профессиональное образование в области физической культуры и спорта (из гр.5 и 6)</t>
  </si>
  <si>
    <t>вторая</t>
  </si>
  <si>
    <t>Заслуженный тренер России</t>
  </si>
  <si>
    <t>Заслуженный работник физической культуры Российской Федерации</t>
  </si>
  <si>
    <t>Директор (руководитель)</t>
  </si>
  <si>
    <t>Руководители обособленных структурных подразделений</t>
  </si>
  <si>
    <t>Тренеры ЦСП</t>
  </si>
  <si>
    <t>Спортсмены, спортсмены-инструкторы</t>
  </si>
  <si>
    <t>в том числе:
врачи</t>
  </si>
  <si>
    <t>средний медицинский персонал</t>
  </si>
  <si>
    <t>младший медицинский персонал</t>
  </si>
  <si>
    <t>Прочий персонал</t>
  </si>
  <si>
    <t>Раздел XI. Финансовая деятельность организаций, тысяча рублей</t>
  </si>
  <si>
    <t>Расходы на содержание организаций</t>
  </si>
  <si>
    <t>в том числе по источникам финансирования</t>
  </si>
  <si>
    <t>федеральный бюджет</t>
  </si>
  <si>
    <t xml:space="preserve">муниципальный бюджет </t>
  </si>
  <si>
    <t xml:space="preserve">внебюджетные источники </t>
  </si>
  <si>
    <t>2</t>
  </si>
  <si>
    <t>Итого расходов</t>
  </si>
  <si>
    <t>в том числе: 
Заработная плата</t>
  </si>
  <si>
    <t>Организация и проведение спортивных мероприятий</t>
  </si>
  <si>
    <t>Участие в соревнованиях и тренировочных сборах</t>
  </si>
  <si>
    <t>Медико-восстановительные мероприятия</t>
  </si>
  <si>
    <t>в том числе: 
экипировка</t>
  </si>
  <si>
    <t>оборудование и спортивный инвентарь</t>
  </si>
  <si>
    <t>прочее</t>
  </si>
  <si>
    <t>в том числе: 
тренеры ЦСП</t>
  </si>
  <si>
    <t>тренеры-преподаватели</t>
  </si>
  <si>
    <t>инструкторы-методисты</t>
  </si>
  <si>
    <t>другие специалисты</t>
  </si>
  <si>
    <t>в том числе: 
аренда (услуги объектов спорта / спортивных сооружений)</t>
  </si>
  <si>
    <t>собственные объекты спорта и иные спортивные сооружения и/или в оперативном управлении</t>
  </si>
  <si>
    <t>используемых на безвозмездной основе, в том числе с компенсацией коммунальных платежей</t>
  </si>
  <si>
    <t>Прочие расходы</t>
  </si>
  <si>
    <r>
      <t xml:space="preserve">Поступило средств от </t>
    </r>
    <r>
      <rPr>
        <sz val="8"/>
        <rFont val="Tahoma"/>
        <family val="2"/>
        <charset val="204"/>
      </rPr>
      <t>приносящей доход деятельности</t>
    </r>
    <r>
      <rPr>
        <sz val="8"/>
        <color rgb="FF000000"/>
        <rFont val="Tahoma"/>
        <family val="2"/>
        <charset val="204"/>
      </rPr>
      <t>, тысяча рублей</t>
    </r>
  </si>
  <si>
    <t>(Ф.И.О.)</t>
  </si>
  <si>
    <t>(подпись)</t>
  </si>
  <si>
    <t>(электронная почта)</t>
  </si>
  <si>
    <t>(дата составления документа)</t>
  </si>
  <si>
    <t>до 4 лет</t>
  </si>
  <si>
    <t>Из численности обучающихся и спортсменов, спортсменов-инструкторов на ставках (гр.5 раздела II и стр. 05 раздела IX), имеющих разряды, звания, человек</t>
  </si>
  <si>
    <t xml:space="preserve"> Раздел V. Кандидаты в спортивные сборные команды Российской Федерации, человек</t>
  </si>
  <si>
    <t xml:space="preserve"> Впервые трудоустроенные тренеры-преподаватели в отчетном периоде</t>
  </si>
  <si>
    <t>в том числе физкультурное или педагогическое с направленностью "физическая культура"</t>
  </si>
  <si>
    <t>в возрасте до 35 лет
(из гр. 30)</t>
  </si>
  <si>
    <t>бюджет субъекта Российской Федерации, федеральной территории "Сириус"</t>
  </si>
  <si>
    <t>Раздел X. Спортивная инфраструктура, единица</t>
  </si>
  <si>
    <t>Наименование объектов спорта и иных спортивных сооружений</t>
  </si>
  <si>
    <t xml:space="preserve">Находящихся в собственности и/или оперативном управлении </t>
  </si>
  <si>
    <t>Арендуемых</t>
  </si>
  <si>
    <t>Используемых на безвозмездной основе</t>
  </si>
  <si>
    <t>в том числе по формам собственности:</t>
  </si>
  <si>
    <t>федеральной</t>
  </si>
  <si>
    <t>субъектов Российской Федерации</t>
  </si>
  <si>
    <t>муниципальной</t>
  </si>
  <si>
    <t>другой</t>
  </si>
  <si>
    <t>Стадионы с трибунами – всего</t>
  </si>
  <si>
    <t>в том числе:
футбольные поля</t>
  </si>
  <si>
    <t>"умные" спортивные площадки</t>
  </si>
  <si>
    <t>иные плоскостные спортивные сооружения</t>
  </si>
  <si>
    <t>Спортивные залы – всего</t>
  </si>
  <si>
    <t>в том числе размером:
(42 х 24 м)</t>
  </si>
  <si>
    <t>(36 х 18 м); (30 х 18 м) и (30 х 15 м)</t>
  </si>
  <si>
    <t>(24 х 12 м) и (18 х 9 м)</t>
  </si>
  <si>
    <t>иных размеров</t>
  </si>
  <si>
    <t>Манежи легкоатлетические</t>
  </si>
  <si>
    <t>Манежи футбольные</t>
  </si>
  <si>
    <t>Велотреки</t>
  </si>
  <si>
    <t>Велодромы</t>
  </si>
  <si>
    <t>Бассейны – всего</t>
  </si>
  <si>
    <t>в том числе: 
с длиной чаши 50 метров</t>
  </si>
  <si>
    <t>с длиной чаши 25 метров</t>
  </si>
  <si>
    <t>нестандартных размеров</t>
  </si>
  <si>
    <t>для прыжков в воду</t>
  </si>
  <si>
    <t>Гребные базы</t>
  </si>
  <si>
    <t>Гребные каналы</t>
  </si>
  <si>
    <t>Спортивные объекты с искусственным льдом – всего</t>
  </si>
  <si>
    <t xml:space="preserve">в том числе:
крытые спортивные объекты с искусственным льдом </t>
  </si>
  <si>
    <t xml:space="preserve">открытые спортивные объекты с искусственным льдом </t>
  </si>
  <si>
    <t>конькобежные</t>
  </si>
  <si>
    <t>Лыжные базы</t>
  </si>
  <si>
    <t>Лыжные стадионы</t>
  </si>
  <si>
    <t>Биатлонные комплексы</t>
  </si>
  <si>
    <t>Сооружения для стрелковых видов спорта – всего</t>
  </si>
  <si>
    <t>в том числе: 
тиры</t>
  </si>
  <si>
    <t>стрельбища</t>
  </si>
  <si>
    <t>стенды</t>
  </si>
  <si>
    <t>лукодромы</t>
  </si>
  <si>
    <t>Автодромы</t>
  </si>
  <si>
    <t>Площадка открытая универсальная с искусственным покрытием по авиационным и другим техническим видам спорта с сопутствующей инфраструктурой</t>
  </si>
  <si>
    <t>Комплексы конноспортивные</t>
  </si>
  <si>
    <t>Фиджитал центры</t>
  </si>
  <si>
    <t>Другие объекты спорта и спортивные сооружения</t>
  </si>
  <si>
    <t xml:space="preserve">Справочно: </t>
  </si>
  <si>
    <t>Раздел I. Число организаций, единица</t>
  </si>
  <si>
    <t>Ведомственная 
принадлежность</t>
  </si>
  <si>
    <t>Число организаций и обособленных структурных подразделений – всего</t>
  </si>
  <si>
    <t>в том числе по наименованию организации:</t>
  </si>
  <si>
    <t>ЦСП</t>
  </si>
  <si>
    <t>Другие
организации</t>
  </si>
  <si>
    <t>Организации в ведении органов управления в сфере физической культуры и спорта</t>
  </si>
  <si>
    <t>Обособленные структурные подразделения в сфере физической культуры и спорта, реализующие дополнительные общеобразовательные программы в области физической культуры и спорта</t>
  </si>
  <si>
    <t>Организации в ведении органов управления в сфере образования</t>
  </si>
  <si>
    <t>Обособленные структурные подразделения в сфере образования, реализующие дополнительные общеобразовательные программы в области физической культуры и спорта</t>
  </si>
  <si>
    <t>Организации другой ведомственной принадлежности</t>
  </si>
  <si>
    <t>Обособленные структурные подразделения другой ведомственной принадлежности, реализующие дополнительные общеобразовательные программы в области физической культуры и спорта</t>
  </si>
  <si>
    <t>Частные организации (из стр. 05)</t>
  </si>
  <si>
    <t>Итого организаций</t>
  </si>
  <si>
    <t>Итого обособленных структурных подразделений, реализующих дополнительные общеобразовательные программы в области физической культуры и спорта</t>
  </si>
  <si>
    <t>Виды правовых образований</t>
  </si>
  <si>
    <t>Публичные правовые образования</t>
  </si>
  <si>
    <t>Иные правовые образования 
(в том числе частные)</t>
  </si>
  <si>
    <t>Российская Федерация</t>
  </si>
  <si>
    <t>Субъект Российской Федерации</t>
  </si>
  <si>
    <t>Муниципальное образование</t>
  </si>
  <si>
    <t>ФЕДЕРАЛЬНОЕ СТАТИСТИЧЕСКОЕ НАБЛЮДЕНИЕ</t>
  </si>
  <si>
    <t>КОНФИДЕНЦИАЛЬНОСТЬ ГАРАНТИРУЕТСЯ ПОЛУЧАТЕЛЕМ ИНФОРМАЦИИ</t>
  </si>
  <si>
    <t>Нарушение порядка предоставления первичных статистических данных или несвоевременное предоставление этих данных,
либо предоставление недостоверных первичных статистических данных влечет ответственность, установленную
Кодексом Российской Федерации об административных правонарушениях</t>
  </si>
  <si>
    <t>Обязанность предоставления административных данных предусмотрена статьей 8 Федерального закона от 29 ноября 2007 г. 
№ 282-ФЗ «Об официальном статистическом учете и системе государственной статистики в Российской Федерации»</t>
  </si>
  <si>
    <t>СВЕДЕНИЯ ПО ПОДГОТОВКЕ СПОРТИВНОГО РЕЗЕРВА</t>
  </si>
  <si>
    <t>по состоянию на 31 декабря 20__ г.</t>
  </si>
  <si>
    <t>Предоставляют:</t>
  </si>
  <si>
    <t>Сроки предоставления</t>
  </si>
  <si>
    <t>Приказ Росстата: 
Об утверждении формы 
от _________ № ___
О внесении изменений 
(при наличии)  
от  __________ № ___
от  __________ № ___</t>
  </si>
  <si>
    <t>Годовая</t>
  </si>
  <si>
    <t>Наименование отчитывающейся организации</t>
  </si>
  <si>
    <t>Почтовый адрес</t>
  </si>
  <si>
    <t>Код</t>
  </si>
  <si>
    <t>0609403</t>
  </si>
  <si>
    <t>Из численности обучающихся и спортсменов, спортсменов-инструкторов на ставках (гр. 5 раздела II и стр. 05 раздела IX) – кандидаты, состоящие в списках спортивных сборных команд</t>
  </si>
  <si>
    <r>
      <t>Включенные в лицензию на образовательную деятельность (из гр.</t>
    </r>
    <r>
      <rPr>
        <sz val="8"/>
        <rFont val="Tahoma"/>
        <family val="2"/>
        <charset val="204"/>
      </rPr>
      <t>3)</t>
    </r>
  </si>
  <si>
    <t>5-17 лет</t>
  </si>
  <si>
    <t xml:space="preserve"> 5-17 лет </t>
  </si>
  <si>
    <t>в возрасте 5-17 лет (из гр. 11)</t>
  </si>
  <si>
    <t>Наличие собственного лицензированного медицинского кабинета</t>
  </si>
  <si>
    <t>Наличие договора о медицинском обеспечении с медицинской организацией (врачебно-физкультурный диспансер, центр спортивной медицины и др.)</t>
  </si>
  <si>
    <t xml:space="preserve">Код: нет - 0, да - 1 </t>
  </si>
  <si>
    <t>Кёрлинг - смешанные пары</t>
  </si>
  <si>
    <t>Ритм-симулятор</t>
  </si>
  <si>
    <t>в том числе:
Баскетбол</t>
  </si>
  <si>
    <t>в том числе:
Водное поло</t>
  </si>
  <si>
    <t>в том числе:
Волейбол</t>
  </si>
  <si>
    <t>в том числе:
Гандбол</t>
  </si>
  <si>
    <t>в том числе:
Кёрлинг</t>
  </si>
  <si>
    <t>в том числе:
Шорт-трек</t>
  </si>
  <si>
    <t>в том числе:
Футбол</t>
  </si>
  <si>
    <t>в том числе:
Хоккей</t>
  </si>
  <si>
    <t>в том числе
Хоккей на траве</t>
  </si>
  <si>
    <t>Инструкторы-методисты (включая старшего)</t>
  </si>
  <si>
    <t>Плоскостные спортивные сооружения – всего</t>
  </si>
  <si>
    <t xml:space="preserve">Форма № 5-ФК </t>
  </si>
  <si>
    <t>Краткое наименование отчитывающейся организации</t>
  </si>
  <si>
    <t>Муниципальный район</t>
  </si>
  <si>
    <t>Городской округ</t>
  </si>
  <si>
    <t>Муниципальный округ</t>
  </si>
  <si>
    <t>Сельское поселение</t>
  </si>
  <si>
    <t>Код субъекта Российской Федерации</t>
  </si>
  <si>
    <t>Код ОКТМО</t>
  </si>
  <si>
    <t>(22)</t>
  </si>
  <si>
    <t>Код формы 
по ОКУД</t>
  </si>
  <si>
    <t>Регистрационный номер лицензии 
на осуществление образовательной деятельности</t>
  </si>
  <si>
    <t>Программирование систем искусственного интеллекта</t>
  </si>
  <si>
    <t>в том числе:
Хоккей на траве</t>
  </si>
  <si>
    <t>Код региона</t>
  </si>
  <si>
    <t>ОГРН</t>
  </si>
  <si>
    <t>Ведоственная принадлежность</t>
  </si>
  <si>
    <t>Вид организации</t>
  </si>
  <si>
    <t>Вид правового образования</t>
  </si>
  <si>
    <t>ОСП</t>
  </si>
  <si>
    <t>Логические игры</t>
  </si>
  <si>
    <t>Тэйкэв</t>
  </si>
  <si>
    <t>Интерактивное фехтование</t>
  </si>
  <si>
    <t>311</t>
  </si>
  <si>
    <t>312</t>
  </si>
  <si>
    <t>313</t>
  </si>
  <si>
    <t>Должностное лицо, ответственное за предоставление первичных статистических и (или) административных данных (лицо, уполномоченное предоставлять первичные статистические и (или) административные данные от имени респондента</t>
  </si>
  <si>
    <t>Материально-техническое обеспечение - всего</t>
  </si>
  <si>
    <t>Профессиональная переподготовка и повышение квалификации специалистов, осуществляющих деятельность в области физической культуры и спорта - всего</t>
  </si>
  <si>
    <t>Содержание объектов спорта и иных спортивных сооружений - всего</t>
  </si>
  <si>
    <t>Медицинские работники</t>
  </si>
  <si>
    <t xml:space="preserve">
до 15 января после отчетного периода
до 19 января после отчетного периода
до 25 января после отчетного периода</t>
  </si>
  <si>
    <t xml:space="preserve"> отчитывающейся организации по ОКПО (для обособленного подразделения и головного подразделения юридического лица – идентификационный номер) </t>
  </si>
  <si>
    <t>ОГРН/для обособленных структурных подразделений ОГРН головной организации</t>
  </si>
  <si>
    <t>Наличие структурного подразделения интерната</t>
  </si>
  <si>
    <t>Код: нет - 0, да - 1</t>
  </si>
  <si>
    <t xml:space="preserve">5-17 лет </t>
  </si>
  <si>
    <t>из них:
впервые трудоустроены в отчетном периоде</t>
  </si>
  <si>
    <t>из них:
проходящие дополнительные общеобразовательные программы в области физической культуры и спорта в организациях, реализующих дополнительные образовательные программы спортивной подготовки</t>
  </si>
  <si>
    <t xml:space="preserve">из них: 
Всероссийских спартакиад между спортсменами субъектов Российской Федерации по летним и зимним видам спорта </t>
  </si>
  <si>
    <t xml:space="preserve">из них: 
Всероссийских спартакиадах между спортсменами субъектов Российской Федерации по летним и зимним видам спорта </t>
  </si>
  <si>
    <t>юридические лица – организации государственной, муниципальной и иной формы собственности (кроме субъектов малого и среднего предпринимательства), реализующие дополнительные образовательные программы спортивной подготовки или обеспечивающие подготовку спортивного резерва (полный перечень категорий респондентов приведен в указаниях по заполнению формы федерального статистического наблюдения):
– исполнительно-распорядительным органам местного самоуправления муниципального образования, уполномоченному органу публичной власти федеральной территории «Сириус» (схема предоставления приведена в указаниях по заполнению формы);
исполнительно-распорядительные органы местного самоуправления муниципального образования:
– органам исполнительной власти субъектов Российской Федерации в области физической культуры и спорта;
органы исполнительной власти субъектов Российской Федерации в области физической культуры и спорта, уполномоченный орган публичной власти федеральной территории «Сириус»:
– Министерству спорта Российской Федерации.</t>
  </si>
  <si>
    <t>(44)</t>
  </si>
  <si>
    <t>(45)</t>
  </si>
  <si>
    <t>(46)</t>
  </si>
  <si>
    <t>из них:
по спортивной медицине</t>
  </si>
  <si>
    <t>из них:
крытые</t>
  </si>
  <si>
    <t>Находится на территории сельского поселения
Код: нет - 0, да - 1</t>
  </si>
  <si>
    <t>из них:
на 1500 мест и более</t>
  </si>
  <si>
    <t>Отсутствие собственного лицензированного медицинского кабинета и договора с медицинской организацией</t>
  </si>
  <si>
    <t>Разряды, звания, присвоенные в отчетном периоде, единица</t>
  </si>
  <si>
    <t xml:space="preserve">имеющие стаж работы 25 лет и более </t>
  </si>
  <si>
    <t>«15» января 2027 года</t>
  </si>
  <si>
    <t>НЕОЛИМП</t>
  </si>
  <si>
    <t>ОЛИМП зима</t>
  </si>
  <si>
    <t>ОЛИМП лето</t>
  </si>
  <si>
    <t>ПРИКЛАДН</t>
  </si>
  <si>
    <t>НАЦИОНАЛЬН</t>
  </si>
  <si>
    <t>(должность руководителя организации)</t>
  </si>
  <si>
    <t>(номер телефона физкультурно-спортивной организации)</t>
  </si>
  <si>
    <t>из строки 16 – крытые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</si>
</sst>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19]dd/mmm"/>
    <numFmt numFmtId="165" formatCode="#"/>
    <numFmt numFmtId="166" formatCode="#,##0.0"/>
    <numFmt numFmtId="167" formatCode="#,##0;\-#,##0;;"/>
    <numFmt numFmtId="168" formatCode="#,##0_ ;\-#,##0\ "/>
    <numFmt numFmtId="169" formatCode="#,##0.0;[Red]\-#,##0.0;;"/>
    <numFmt numFmtId="170" formatCode="#,##0;[Red]\-#,##0;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  <charset val="204"/>
    </font>
    <font>
      <sz val="8"/>
      <color theme="1"/>
      <name val="Tahoma"/>
      <family val="2"/>
      <charset val="204"/>
    </font>
    <font>
      <sz val="8"/>
      <name val="Tahoma"/>
      <family val="2"/>
      <charset val="204"/>
    </font>
    <font>
      <sz val="8"/>
      <color rgb="FF000000"/>
      <name val="Tahoma"/>
      <family val="2"/>
      <charset val="204"/>
    </font>
    <font>
      <sz val="10"/>
      <name val="Arial Cyr"/>
      <charset val="204"/>
    </font>
    <font>
      <sz val="8"/>
      <color rgb="FFFF0000"/>
      <name val="Tahoma"/>
      <family val="2"/>
      <charset val="204"/>
    </font>
    <font>
      <b/>
      <sz val="8"/>
      <name val="Tahoma"/>
      <family val="2"/>
      <charset val="204"/>
    </font>
    <font>
      <strike/>
      <sz val="8"/>
      <color rgb="FFFF0000"/>
      <name val="Tahoma"/>
      <family val="2"/>
      <charset val="204"/>
    </font>
    <font>
      <b/>
      <sz val="10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  <font>
      <sz val="8"/>
      <color rgb="FF9C6500"/>
      <name val="Tahoma"/>
      <family val="2"/>
      <charset val="204"/>
    </font>
    <font>
      <b/>
      <sz val="10"/>
      <name val="Tahoma"/>
      <family val="2"/>
      <charset val="204"/>
    </font>
    <font>
      <sz val="8"/>
      <color rgb="FF000000"/>
      <name val="Calibri"/>
      <family val="2"/>
      <charset val="204"/>
    </font>
    <font>
      <sz val="1"/>
      <color rgb="FF000000"/>
      <name val="Tahoma"/>
      <family val="2"/>
      <charset val="204"/>
    </font>
    <font>
      <sz val="11"/>
      <color rgb="FF000000"/>
      <name val="Tahoma"/>
      <family val="2"/>
      <charset val="204"/>
    </font>
    <font>
      <sz val="5"/>
      <color rgb="FF000000"/>
      <name val="Tahoma"/>
      <family val="2"/>
      <charset val="204"/>
    </font>
    <font>
      <sz val="10"/>
      <name val="Tahoma"/>
      <family val="2"/>
      <charset val="204"/>
    </font>
    <font>
      <sz val="10"/>
      <color rgb="FF000000"/>
      <name val="Tahoma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8"/>
      <color theme="0"/>
      <name val="Tahoma"/>
      <family val="2"/>
      <charset val="204"/>
    </font>
    <font>
      <sz val="9"/>
      <name val="Tahoma"/>
      <family val="2"/>
      <charset val="204"/>
    </font>
    <font>
      <sz val="10"/>
      <color theme="1"/>
      <name val="Tahoma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C6EFCE"/>
        <bgColor rgb="FFC7EECE"/>
      </patternFill>
    </fill>
    <fill>
      <patternFill patternType="solid">
        <fgColor rgb="FFC7EECE"/>
        <bgColor rgb="FFC6EFCE"/>
      </patternFill>
    </fill>
    <fill>
      <patternFill patternType="solid">
        <fgColor rgb="FFC6EFCE"/>
        <bgColor rgb="FFFFFFCC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0B4"/>
        <bgColor rgb="FF000000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6" fillId="0" borderId="0"/>
    <xf numFmtId="0" fontId="4" fillId="4" borderId="0" applyBorder="0" applyProtection="0"/>
    <xf numFmtId="0" fontId="12" fillId="8" borderId="0" applyBorder="0" applyProtection="0"/>
    <xf numFmtId="165" fontId="5" fillId="4" borderId="0" applyBorder="0">
      <alignment horizontal="center" vertical="center" wrapText="1"/>
    </xf>
  </cellStyleXfs>
  <cellXfs count="392">
    <xf numFmtId="0" fontId="0" fillId="0" borderId="0" xfId="0"/>
    <xf numFmtId="0" fontId="3" fillId="0" borderId="0" xfId="1" applyFont="1"/>
    <xf numFmtId="0" fontId="3" fillId="0" borderId="2" xfId="1" applyFont="1" applyBorder="1" applyAlignment="1">
      <alignment horizontal="center" vertical="center" wrapText="1"/>
    </xf>
    <xf numFmtId="0" fontId="3" fillId="0" borderId="6" xfId="1" applyFont="1" applyBorder="1" applyAlignment="1">
      <alignment vertical="center" wrapText="1"/>
    </xf>
    <xf numFmtId="1" fontId="5" fillId="0" borderId="2" xfId="1" applyNumberFormat="1" applyFont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1" fontId="3" fillId="3" borderId="2" xfId="1" applyNumberFormat="1" applyFont="1" applyFill="1" applyBorder="1" applyAlignment="1" applyProtection="1">
      <alignment horizontal="center" vertical="center" wrapText="1"/>
      <protection locked="0"/>
    </xf>
    <xf numFmtId="1" fontId="3" fillId="0" borderId="2" xfId="1" applyNumberFormat="1" applyFont="1" applyBorder="1" applyAlignment="1">
      <alignment horizontal="center" vertical="center" wrapText="1"/>
    </xf>
    <xf numFmtId="1" fontId="3" fillId="0" borderId="2" xfId="1" applyNumberFormat="1" applyFont="1" applyBorder="1" applyAlignment="1" applyProtection="1">
      <alignment horizontal="center" vertical="center" wrapText="1"/>
      <protection locked="0"/>
    </xf>
    <xf numFmtId="1" fontId="3" fillId="3" borderId="2" xfId="1" applyNumberFormat="1" applyFont="1" applyFill="1" applyBorder="1" applyAlignment="1">
      <alignment horizontal="center" vertical="center" wrapText="1"/>
    </xf>
    <xf numFmtId="0" fontId="4" fillId="0" borderId="0" xfId="1" applyFont="1"/>
    <xf numFmtId="1" fontId="3" fillId="0" borderId="0" xfId="1" applyNumberFormat="1" applyFont="1"/>
    <xf numFmtId="0" fontId="3" fillId="0" borderId="0" xfId="0" applyFont="1"/>
    <xf numFmtId="0" fontId="4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" fontId="3" fillId="0" borderId="0" xfId="0" applyNumberFormat="1" applyFont="1"/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/>
    <xf numFmtId="164" fontId="5" fillId="0" borderId="9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left" vertical="center" wrapText="1"/>
    </xf>
    <xf numFmtId="0" fontId="5" fillId="0" borderId="0" xfId="1" applyFont="1"/>
    <xf numFmtId="0" fontId="5" fillId="3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/>
    </xf>
    <xf numFmtId="49" fontId="4" fillId="0" borderId="2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11" fillId="0" borderId="0" xfId="1" applyFont="1" applyAlignment="1">
      <alignment horizontal="left" vertical="center" wrapText="1"/>
    </xf>
    <xf numFmtId="49" fontId="5" fillId="0" borderId="0" xfId="1" applyNumberFormat="1" applyFont="1" applyAlignment="1">
      <alignment horizontal="center" vertical="center"/>
    </xf>
    <xf numFmtId="1" fontId="3" fillId="0" borderId="0" xfId="3" applyNumberFormat="1" applyFont="1" applyFill="1" applyBorder="1" applyAlignment="1" applyProtection="1">
      <alignment horizontal="center" vertical="center"/>
    </xf>
    <xf numFmtId="1" fontId="3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left"/>
    </xf>
    <xf numFmtId="0" fontId="5" fillId="3" borderId="8" xfId="1" applyFont="1" applyFill="1" applyBorder="1" applyAlignment="1">
      <alignment horizontal="center" vertical="center" wrapText="1"/>
    </xf>
    <xf numFmtId="0" fontId="14" fillId="0" borderId="0" xfId="1" applyFont="1"/>
    <xf numFmtId="49" fontId="5" fillId="0" borderId="4" xfId="1" applyNumberFormat="1" applyFont="1" applyBorder="1" applyAlignment="1">
      <alignment horizontal="center" vertical="center"/>
    </xf>
    <xf numFmtId="1" fontId="3" fillId="0" borderId="2" xfId="1" applyNumberFormat="1" applyFont="1" applyBorder="1" applyAlignment="1" applyProtection="1">
      <alignment horizontal="center" vertical="center"/>
      <protection locked="0"/>
    </xf>
    <xf numFmtId="0" fontId="3" fillId="9" borderId="0" xfId="0" applyFont="1" applyFill="1" applyAlignment="1">
      <alignment horizontal="center"/>
    </xf>
    <xf numFmtId="0" fontId="3" fillId="9" borderId="0" xfId="1" applyFont="1" applyFill="1" applyAlignment="1">
      <alignment horizontal="center"/>
    </xf>
    <xf numFmtId="167" fontId="3" fillId="5" borderId="2" xfId="3" applyNumberFormat="1" applyFont="1" applyFill="1" applyBorder="1" applyAlignment="1" applyProtection="1">
      <alignment horizontal="center" vertical="center" wrapText="1"/>
      <protection hidden="1"/>
    </xf>
    <xf numFmtId="167" fontId="3" fillId="4" borderId="2" xfId="3" applyNumberFormat="1" applyFont="1" applyBorder="1" applyAlignment="1" applyProtection="1">
      <alignment horizontal="center" vertical="center" wrapText="1"/>
      <protection hidden="1"/>
    </xf>
    <xf numFmtId="167" fontId="3" fillId="6" borderId="2" xfId="1" applyNumberFormat="1" applyFont="1" applyFill="1" applyBorder="1" applyAlignment="1" applyProtection="1">
      <alignment horizontal="center" vertical="center" wrapText="1"/>
      <protection hidden="1"/>
    </xf>
    <xf numFmtId="167" fontId="3" fillId="7" borderId="2" xfId="1" applyNumberFormat="1" applyFont="1" applyFill="1" applyBorder="1" applyAlignment="1" applyProtection="1">
      <alignment horizontal="center" vertical="center" wrapText="1"/>
      <protection hidden="1"/>
    </xf>
    <xf numFmtId="0" fontId="5" fillId="9" borderId="0" xfId="0" applyFont="1" applyFill="1" applyAlignment="1">
      <alignment horizontal="center" wrapText="1"/>
    </xf>
    <xf numFmtId="1" fontId="5" fillId="0" borderId="0" xfId="0" applyNumberFormat="1" applyFont="1" applyAlignment="1">
      <alignment wrapText="1"/>
    </xf>
    <xf numFmtId="0" fontId="5" fillId="9" borderId="0" xfId="0" applyFont="1" applyFill="1" applyAlignment="1">
      <alignment wrapText="1"/>
    </xf>
    <xf numFmtId="168" fontId="5" fillId="0" borderId="0" xfId="0" applyNumberFormat="1" applyFont="1" applyAlignment="1">
      <alignment wrapText="1"/>
    </xf>
    <xf numFmtId="1" fontId="5" fillId="0" borderId="9" xfId="1" applyNumberFormat="1" applyFont="1" applyBorder="1" applyAlignment="1">
      <alignment horizontal="center" vertical="center" wrapText="1"/>
    </xf>
    <xf numFmtId="1" fontId="3" fillId="0" borderId="9" xfId="1" applyNumberFormat="1" applyFont="1" applyBorder="1" applyAlignment="1" applyProtection="1">
      <alignment horizontal="center" vertical="center" wrapText="1"/>
      <protection locked="0"/>
    </xf>
    <xf numFmtId="0" fontId="5" fillId="9" borderId="16" xfId="0" applyFont="1" applyFill="1" applyBorder="1" applyAlignment="1">
      <alignment horizontal="center" vertical="center" wrapText="1"/>
    </xf>
    <xf numFmtId="167" fontId="3" fillId="5" borderId="9" xfId="3" applyNumberFormat="1" applyFont="1" applyFill="1" applyBorder="1" applyAlignment="1" applyProtection="1">
      <alignment horizontal="center" vertical="center" wrapText="1"/>
      <protection hidden="1"/>
    </xf>
    <xf numFmtId="0" fontId="5" fillId="9" borderId="16" xfId="0" applyFont="1" applyFill="1" applyBorder="1" applyAlignment="1">
      <alignment horizontal="center" vertical="center"/>
    </xf>
    <xf numFmtId="1" fontId="3" fillId="3" borderId="9" xfId="1" applyNumberFormat="1" applyFont="1" applyFill="1" applyBorder="1" applyAlignment="1" applyProtection="1">
      <alignment horizontal="center" vertical="center" wrapText="1"/>
      <protection locked="0"/>
    </xf>
    <xf numFmtId="1" fontId="3" fillId="3" borderId="9" xfId="1" applyNumberFormat="1" applyFont="1" applyFill="1" applyBorder="1" applyAlignment="1">
      <alignment horizontal="center" vertical="center" wrapText="1"/>
    </xf>
    <xf numFmtId="167" fontId="3" fillId="4" borderId="9" xfId="3" applyNumberFormat="1" applyFont="1" applyBorder="1" applyAlignment="1" applyProtection="1">
      <alignment horizontal="center" vertical="center" wrapText="1"/>
      <protection hidden="1"/>
    </xf>
    <xf numFmtId="0" fontId="4" fillId="9" borderId="16" xfId="1" applyFont="1" applyFill="1" applyBorder="1" applyAlignment="1">
      <alignment horizontal="center" vertical="center" wrapText="1"/>
    </xf>
    <xf numFmtId="1" fontId="5" fillId="9" borderId="16" xfId="1" applyNumberFormat="1" applyFont="1" applyFill="1" applyBorder="1" applyAlignment="1">
      <alignment horizontal="center" vertical="center" wrapText="1"/>
    </xf>
    <xf numFmtId="0" fontId="5" fillId="10" borderId="16" xfId="1" applyFont="1" applyFill="1" applyBorder="1" applyAlignment="1">
      <alignment horizontal="center" vertical="center" wrapText="1"/>
    </xf>
    <xf numFmtId="0" fontId="5" fillId="9" borderId="16" xfId="1" applyFont="1" applyFill="1" applyBorder="1" applyAlignment="1">
      <alignment horizontal="center" vertical="center" wrapText="1"/>
    </xf>
    <xf numFmtId="0" fontId="5" fillId="0" borderId="0" xfId="0" applyFont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9" borderId="16" xfId="0" applyFont="1" applyFill="1" applyBorder="1" applyAlignment="1" applyProtection="1">
      <alignment horizontal="center" vertical="center" wrapText="1"/>
      <protection hidden="1"/>
    </xf>
    <xf numFmtId="0" fontId="5" fillId="9" borderId="16" xfId="0" applyFont="1" applyFill="1" applyBorder="1" applyAlignment="1" applyProtection="1">
      <alignment horizontal="center" vertical="center"/>
      <protection hidden="1"/>
    </xf>
    <xf numFmtId="0" fontId="5" fillId="9" borderId="17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9" xfId="0" applyFont="1" applyBorder="1" applyAlignment="1" applyProtection="1">
      <alignment vertical="center" wrapText="1"/>
      <protection hidden="1"/>
    </xf>
    <xf numFmtId="49" fontId="5" fillId="0" borderId="9" xfId="0" applyNumberFormat="1" applyFont="1" applyBorder="1" applyAlignment="1" applyProtection="1">
      <alignment horizontal="center" vertical="center" wrapText="1"/>
      <protection hidden="1"/>
    </xf>
    <xf numFmtId="1" fontId="5" fillId="0" borderId="0" xfId="0" applyNumberFormat="1" applyFont="1" applyProtection="1">
      <protection hidden="1"/>
    </xf>
    <xf numFmtId="0" fontId="4" fillId="0" borderId="2" xfId="0" applyFont="1" applyBorder="1" applyAlignment="1" applyProtection="1">
      <alignment vertical="center" wrapText="1"/>
      <protection hidden="1"/>
    </xf>
    <xf numFmtId="49" fontId="5" fillId="0" borderId="2" xfId="0" applyNumberFormat="1" applyFont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vertical="center" wrapText="1"/>
      <protection hidden="1"/>
    </xf>
    <xf numFmtId="0" fontId="4" fillId="0" borderId="2" xfId="0" applyFont="1" applyBorder="1" applyAlignment="1" applyProtection="1">
      <alignment horizontal="left" vertical="center" wrapText="1" indent="1"/>
      <protection hidden="1"/>
    </xf>
    <xf numFmtId="49" fontId="4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center" wrapText="1" indent="2"/>
      <protection hidden="1"/>
    </xf>
    <xf numFmtId="0" fontId="8" fillId="0" borderId="2" xfId="0" applyFont="1" applyBorder="1" applyAlignment="1" applyProtection="1">
      <alignment vertical="center" wrapText="1"/>
      <protection hidden="1"/>
    </xf>
    <xf numFmtId="1" fontId="3" fillId="0" borderId="9" xfId="0" applyNumberFormat="1" applyFont="1" applyBorder="1" applyAlignment="1" applyProtection="1">
      <alignment horizontal="center" vertical="center"/>
      <protection locked="0"/>
    </xf>
    <xf numFmtId="1" fontId="3" fillId="0" borderId="2" xfId="0" applyNumberFormat="1" applyFont="1" applyBorder="1" applyAlignment="1" applyProtection="1">
      <alignment horizontal="center" vertical="center"/>
      <protection locked="0"/>
    </xf>
    <xf numFmtId="167" fontId="3" fillId="4" borderId="2" xfId="5" applyNumberFormat="1" applyFont="1" applyBorder="1" applyProtection="1">
      <alignment horizontal="center" vertical="center" wrapText="1"/>
      <protection hidden="1"/>
    </xf>
    <xf numFmtId="0" fontId="3" fillId="0" borderId="0" xfId="1" applyFont="1" applyProtection="1">
      <protection hidden="1"/>
    </xf>
    <xf numFmtId="0" fontId="3" fillId="2" borderId="2" xfId="1" applyFont="1" applyFill="1" applyBorder="1" applyAlignment="1" applyProtection="1">
      <alignment horizontal="center" vertical="center" wrapText="1"/>
      <protection hidden="1"/>
    </xf>
    <xf numFmtId="0" fontId="5" fillId="9" borderId="16" xfId="1" applyFont="1" applyFill="1" applyBorder="1" applyAlignment="1" applyProtection="1">
      <alignment horizontal="center" vertical="center"/>
      <protection hidden="1"/>
    </xf>
    <xf numFmtId="0" fontId="3" fillId="9" borderId="17" xfId="1" applyFont="1" applyFill="1" applyBorder="1" applyProtection="1">
      <protection hidden="1"/>
    </xf>
    <xf numFmtId="0" fontId="5" fillId="0" borderId="9" xfId="1" applyFont="1" applyBorder="1" applyAlignment="1" applyProtection="1">
      <alignment vertical="center" wrapText="1"/>
      <protection hidden="1"/>
    </xf>
    <xf numFmtId="49" fontId="5" fillId="0" borderId="9" xfId="1" applyNumberFormat="1" applyFont="1" applyBorder="1" applyAlignment="1" applyProtection="1">
      <alignment horizontal="center" vertical="center" wrapText="1"/>
      <protection hidden="1"/>
    </xf>
    <xf numFmtId="167" fontId="3" fillId="4" borderId="9" xfId="5" applyNumberFormat="1" applyFont="1" applyBorder="1" applyProtection="1">
      <alignment horizontal="center" vertical="center" wrapText="1"/>
      <protection hidden="1"/>
    </xf>
    <xf numFmtId="1" fontId="3" fillId="0" borderId="0" xfId="1" applyNumberFormat="1" applyFont="1" applyProtection="1">
      <protection hidden="1"/>
    </xf>
    <xf numFmtId="0" fontId="4" fillId="0" borderId="2" xfId="1" applyFont="1" applyBorder="1" applyAlignment="1" applyProtection="1">
      <alignment horizontal="left" vertical="center" wrapText="1" indent="1"/>
      <protection hidden="1"/>
    </xf>
    <xf numFmtId="49" fontId="5" fillId="0" borderId="2" xfId="1" applyNumberFormat="1" applyFont="1" applyBorder="1" applyAlignment="1" applyProtection="1">
      <alignment horizontal="center" vertical="center" wrapText="1"/>
      <protection hidden="1"/>
    </xf>
    <xf numFmtId="0" fontId="5" fillId="0" borderId="2" xfId="1" applyFont="1" applyBorder="1" applyAlignment="1" applyProtection="1">
      <alignment vertical="center" wrapText="1"/>
      <protection hidden="1"/>
    </xf>
    <xf numFmtId="0" fontId="5" fillId="0" borderId="2" xfId="1" applyFont="1" applyBorder="1" applyAlignment="1" applyProtection="1">
      <alignment horizontal="left" vertical="center" wrapText="1" indent="1"/>
      <protection hidden="1"/>
    </xf>
    <xf numFmtId="0" fontId="5" fillId="0" borderId="2" xfId="1" applyFont="1" applyBorder="1" applyAlignment="1" applyProtection="1">
      <alignment horizontal="left" vertical="center" indent="1"/>
      <protection hidden="1"/>
    </xf>
    <xf numFmtId="0" fontId="5" fillId="0" borderId="2" xfId="1" applyFont="1" applyBorder="1" applyAlignment="1" applyProtection="1">
      <alignment vertical="center"/>
      <protection hidden="1"/>
    </xf>
    <xf numFmtId="0" fontId="5" fillId="0" borderId="2" xfId="1" applyFont="1" applyBorder="1" applyAlignment="1" applyProtection="1">
      <alignment horizontal="left" vertical="center"/>
      <protection hidden="1"/>
    </xf>
    <xf numFmtId="0" fontId="5" fillId="2" borderId="2" xfId="1" applyFont="1" applyFill="1" applyBorder="1" applyAlignment="1" applyProtection="1">
      <alignment horizontal="left" vertical="center" wrapText="1" indent="1"/>
      <protection hidden="1"/>
    </xf>
    <xf numFmtId="0" fontId="5" fillId="2" borderId="2" xfId="1" applyFont="1" applyFill="1" applyBorder="1" applyAlignment="1" applyProtection="1">
      <alignment horizontal="left" vertical="center" indent="1"/>
      <protection hidden="1"/>
    </xf>
    <xf numFmtId="0" fontId="5" fillId="0" borderId="2" xfId="1" applyFont="1" applyBorder="1" applyAlignment="1" applyProtection="1">
      <alignment horizontal="left" indent="2"/>
      <protection hidden="1"/>
    </xf>
    <xf numFmtId="0" fontId="7" fillId="0" borderId="0" xfId="1" applyFont="1" applyProtection="1">
      <protection hidden="1"/>
    </xf>
    <xf numFmtId="0" fontId="4" fillId="2" borderId="2" xfId="1" applyFont="1" applyFill="1" applyBorder="1" applyAlignment="1" applyProtection="1">
      <alignment horizontal="left" vertical="center" wrapText="1" indent="1"/>
      <protection hidden="1"/>
    </xf>
    <xf numFmtId="0" fontId="5" fillId="2" borderId="2" xfId="1" applyFont="1" applyFill="1" applyBorder="1" applyAlignment="1" applyProtection="1">
      <alignment vertical="center"/>
      <protection hidden="1"/>
    </xf>
    <xf numFmtId="0" fontId="5" fillId="2" borderId="2" xfId="1" applyFont="1" applyFill="1" applyBorder="1" applyAlignment="1" applyProtection="1">
      <alignment vertical="center" wrapText="1"/>
      <protection hidden="1"/>
    </xf>
    <xf numFmtId="0" fontId="11" fillId="0" borderId="2" xfId="1" applyFont="1" applyBorder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1" fontId="3" fillId="0" borderId="0" xfId="3" applyNumberFormat="1" applyFont="1" applyFill="1" applyBorder="1" applyAlignment="1" applyProtection="1">
      <alignment vertical="center" wrapText="1"/>
      <protection hidden="1"/>
    </xf>
    <xf numFmtId="0" fontId="3" fillId="0" borderId="0" xfId="1" applyFont="1" applyAlignment="1" applyProtection="1">
      <alignment vertical="center" wrapText="1"/>
      <protection hidden="1"/>
    </xf>
    <xf numFmtId="1" fontId="3" fillId="0" borderId="9" xfId="1" applyNumberFormat="1" applyFont="1" applyBorder="1" applyAlignment="1" applyProtection="1">
      <alignment horizontal="center" vertical="center"/>
      <protection locked="0"/>
    </xf>
    <xf numFmtId="1" fontId="3" fillId="0" borderId="2" xfId="5" applyNumberFormat="1" applyFont="1" applyFill="1" applyBorder="1" applyProtection="1">
      <alignment horizontal="center" vertical="center" wrapText="1"/>
      <protection locked="0"/>
    </xf>
    <xf numFmtId="1" fontId="3" fillId="0" borderId="9" xfId="5" applyNumberFormat="1" applyFont="1" applyFill="1" applyBorder="1" applyProtection="1">
      <alignment horizontal="center" vertical="center" wrapText="1"/>
      <protection locked="0"/>
    </xf>
    <xf numFmtId="0" fontId="3" fillId="0" borderId="11" xfId="1" applyFont="1" applyBorder="1" applyAlignment="1" applyProtection="1">
      <alignment horizontal="center" vertical="center"/>
      <protection hidden="1"/>
    </xf>
    <xf numFmtId="0" fontId="3" fillId="0" borderId="0" xfId="1" applyFont="1" applyAlignment="1" applyProtection="1">
      <alignment horizontal="center" vertical="center"/>
      <protection hidden="1"/>
    </xf>
    <xf numFmtId="49" fontId="3" fillId="0" borderId="0" xfId="1" applyNumberFormat="1" applyFont="1" applyAlignment="1" applyProtection="1">
      <alignment horizontal="center" vertical="center"/>
      <protection hidden="1"/>
    </xf>
    <xf numFmtId="49" fontId="5" fillId="0" borderId="2" xfId="0" applyNumberFormat="1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left" vertical="center" wrapText="1" indent="1"/>
      <protection hidden="1"/>
    </xf>
    <xf numFmtId="49" fontId="5" fillId="0" borderId="0" xfId="0" applyNumberFormat="1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horizontal="left" vertical="center" wrapText="1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166" fontId="3" fillId="0" borderId="0" xfId="0" applyNumberFormat="1" applyFont="1" applyProtection="1">
      <protection hidden="1"/>
    </xf>
    <xf numFmtId="0" fontId="11" fillId="0" borderId="9" xfId="0" applyFont="1" applyBorder="1" applyAlignment="1" applyProtection="1">
      <alignment horizontal="left" vertical="center" wrapText="1"/>
      <protection hidden="1"/>
    </xf>
    <xf numFmtId="49" fontId="5" fillId="0" borderId="9" xfId="0" applyNumberFormat="1" applyFont="1" applyBorder="1" applyAlignment="1" applyProtection="1">
      <alignment horizontal="center" vertical="center"/>
      <protection hidden="1"/>
    </xf>
    <xf numFmtId="49" fontId="5" fillId="9" borderId="16" xfId="0" applyNumberFormat="1" applyFont="1" applyFill="1" applyBorder="1" applyAlignment="1" applyProtection="1">
      <alignment horizontal="center" vertical="center"/>
      <protection hidden="1"/>
    </xf>
    <xf numFmtId="0" fontId="3" fillId="9" borderId="17" xfId="0" applyFont="1" applyFill="1" applyBorder="1" applyProtection="1">
      <protection hidden="1"/>
    </xf>
    <xf numFmtId="0" fontId="3" fillId="0" borderId="0" xfId="0" applyFont="1" applyAlignment="1" applyProtection="1">
      <alignment vertical="center"/>
      <protection hidden="1"/>
    </xf>
    <xf numFmtId="1" fontId="3" fillId="0" borderId="0" xfId="3" applyNumberFormat="1" applyFont="1" applyFill="1" applyBorder="1" applyAlignment="1" applyProtection="1">
      <alignment horizontal="left" vertical="center"/>
      <protection hidden="1"/>
    </xf>
    <xf numFmtId="169" fontId="3" fillId="4" borderId="9" xfId="5" applyNumberFormat="1" applyFont="1" applyBorder="1" applyProtection="1">
      <alignment horizontal="center" vertical="center" wrapText="1"/>
      <protection hidden="1"/>
    </xf>
    <xf numFmtId="169" fontId="3" fillId="4" borderId="2" xfId="5" applyNumberFormat="1" applyFont="1" applyBorder="1" applyProtection="1">
      <alignment horizontal="center" vertical="center" wrapText="1"/>
      <protection hidden="1"/>
    </xf>
    <xf numFmtId="0" fontId="5" fillId="0" borderId="0" xfId="0" applyFont="1" applyAlignment="1" applyProtection="1">
      <alignment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1" fontId="5" fillId="9" borderId="0" xfId="0" applyNumberFormat="1" applyFont="1" applyFill="1" applyAlignment="1" applyProtection="1">
      <alignment horizontal="center" wrapText="1"/>
      <protection hidden="1"/>
    </xf>
    <xf numFmtId="1" fontId="5" fillId="0" borderId="9" xfId="1" applyNumberFormat="1" applyFont="1" applyBorder="1" applyAlignment="1" applyProtection="1">
      <alignment horizontal="center" vertical="center" wrapText="1"/>
      <protection hidden="1"/>
    </xf>
    <xf numFmtId="1" fontId="5" fillId="0" borderId="0" xfId="0" applyNumberFormat="1" applyFont="1" applyAlignment="1" applyProtection="1">
      <alignment wrapText="1"/>
      <protection hidden="1"/>
    </xf>
    <xf numFmtId="1" fontId="5" fillId="0" borderId="2" xfId="1" applyNumberFormat="1" applyFont="1" applyBorder="1" applyAlignment="1" applyProtection="1">
      <alignment horizontal="center" vertical="center" wrapText="1"/>
      <protection hidden="1"/>
    </xf>
    <xf numFmtId="1" fontId="3" fillId="9" borderId="16" xfId="1" applyNumberFormat="1" applyFont="1" applyFill="1" applyBorder="1" applyAlignment="1" applyProtection="1">
      <alignment horizontal="center" vertical="center" wrapText="1"/>
      <protection hidden="1"/>
    </xf>
    <xf numFmtId="0" fontId="3" fillId="9" borderId="0" xfId="0" applyFont="1" applyFill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13" fillId="0" borderId="0" xfId="0" applyFont="1" applyAlignment="1" applyProtection="1">
      <alignment vertical="center"/>
      <protection hidden="1"/>
    </xf>
    <xf numFmtId="0" fontId="4" fillId="9" borderId="16" xfId="0" applyFont="1" applyFill="1" applyBorder="1" applyAlignment="1">
      <alignment horizontal="center" vertical="center" wrapText="1"/>
    </xf>
    <xf numFmtId="0" fontId="3" fillId="0" borderId="2" xfId="1" applyFont="1" applyBorder="1" applyAlignment="1" applyProtection="1">
      <alignment horizontal="center" vertical="center" wrapText="1"/>
      <protection locked="0"/>
    </xf>
    <xf numFmtId="0" fontId="3" fillId="3" borderId="2" xfId="3" applyFont="1" applyFill="1" applyBorder="1" applyAlignment="1" applyProtection="1">
      <alignment horizontal="center" vertical="center"/>
    </xf>
    <xf numFmtId="0" fontId="3" fillId="0" borderId="2" xfId="1" applyFont="1" applyBorder="1" applyAlignment="1" applyProtection="1">
      <alignment horizontal="center" vertical="center"/>
      <protection locked="0"/>
    </xf>
    <xf numFmtId="170" fontId="3" fillId="4" borderId="2" xfId="3" applyNumberFormat="1" applyFont="1" applyBorder="1" applyAlignment="1" applyProtection="1">
      <alignment horizontal="center" vertical="center"/>
      <protection hidden="1"/>
    </xf>
    <xf numFmtId="0" fontId="11" fillId="0" borderId="2" xfId="1" applyFont="1" applyBorder="1" applyAlignment="1">
      <alignment vertical="center" wrapText="1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vertical="center"/>
    </xf>
    <xf numFmtId="0" fontId="16" fillId="0" borderId="0" xfId="0" applyFont="1"/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top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1" fillId="12" borderId="2" xfId="0" applyFont="1" applyFill="1" applyBorder="1" applyAlignment="1">
      <alignment horizontal="center" vertical="center" wrapText="1"/>
    </xf>
    <xf numFmtId="0" fontId="3" fillId="3" borderId="2" xfId="3" applyFont="1" applyFill="1" applyBorder="1" applyAlignment="1" applyProtection="1">
      <alignment horizontal="center" vertical="center"/>
      <protection locked="0"/>
    </xf>
    <xf numFmtId="0" fontId="3" fillId="0" borderId="2" xfId="1" applyFont="1" applyBorder="1" applyAlignment="1">
      <alignment horizontal="center" vertical="center"/>
    </xf>
    <xf numFmtId="0" fontId="3" fillId="0" borderId="8" xfId="1" applyFont="1" applyBorder="1" applyAlignment="1" applyProtection="1">
      <alignment horizontal="center" vertical="center"/>
      <protection locked="0"/>
    </xf>
    <xf numFmtId="0" fontId="5" fillId="0" borderId="2" xfId="1" applyFont="1" applyBorder="1" applyAlignment="1" applyProtection="1">
      <alignment horizontal="center" vertical="center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" fontId="21" fillId="12" borderId="2" xfId="0" applyNumberFormat="1" applyFont="1" applyFill="1" applyBorder="1" applyAlignment="1">
      <alignment horizontal="center" vertical="center" wrapText="1"/>
    </xf>
    <xf numFmtId="1" fontId="22" fillId="0" borderId="0" xfId="3" applyNumberFormat="1" applyFont="1" applyFill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2" borderId="0" xfId="1" applyFont="1" applyFill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11" borderId="0" xfId="1" applyFont="1" applyFill="1" applyAlignment="1">
      <alignment horizontal="center"/>
    </xf>
    <xf numFmtId="1" fontId="3" fillId="11" borderId="0" xfId="1" applyNumberFormat="1" applyFont="1" applyFill="1" applyAlignment="1">
      <alignment horizontal="left"/>
    </xf>
    <xf numFmtId="0" fontId="3" fillId="11" borderId="0" xfId="0" applyFont="1" applyFill="1"/>
    <xf numFmtId="0" fontId="3" fillId="11" borderId="0" xfId="0" applyFont="1" applyFill="1" applyProtection="1">
      <protection hidden="1"/>
    </xf>
    <xf numFmtId="0" fontId="5" fillId="11" borderId="0" xfId="0" applyFont="1" applyFill="1" applyAlignment="1" applyProtection="1">
      <alignment horizontal="center" vertical="center"/>
      <protection hidden="1"/>
    </xf>
    <xf numFmtId="0" fontId="3" fillId="11" borderId="0" xfId="1" applyFont="1" applyFill="1" applyProtection="1">
      <protection hidden="1"/>
    </xf>
    <xf numFmtId="1" fontId="3" fillId="0" borderId="2" xfId="0" applyNumberFormat="1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2" xfId="0" applyFont="1" applyBorder="1" applyAlignment="1" applyProtection="1">
      <alignment horizontal="left" vertical="center" wrapText="1" indent="2"/>
      <protection hidden="1"/>
    </xf>
    <xf numFmtId="0" fontId="3" fillId="0" borderId="2" xfId="0" applyFont="1" applyBorder="1" applyAlignment="1" applyProtection="1">
      <alignment horizontal="left" vertical="center" wrapText="1" indent="2"/>
      <protection hidden="1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>
      <alignment horizontal="center" vertical="center" wrapText="1"/>
    </xf>
    <xf numFmtId="49" fontId="5" fillId="0" borderId="0" xfId="0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1" fontId="3" fillId="3" borderId="9" xfId="1" applyNumberFormat="1" applyFont="1" applyFill="1" applyBorder="1" applyAlignment="1" applyProtection="1">
      <alignment horizontal="center" vertical="center" wrapText="1"/>
      <protection hidden="1"/>
    </xf>
    <xf numFmtId="1" fontId="3" fillId="3" borderId="2" xfId="1" applyNumberFormat="1" applyFont="1" applyFill="1" applyBorder="1" applyAlignment="1" applyProtection="1">
      <alignment horizontal="center" vertical="center" wrapText="1"/>
      <protection hidden="1"/>
    </xf>
    <xf numFmtId="0" fontId="5" fillId="0" borderId="1" xfId="0" applyFont="1" applyBorder="1" applyProtection="1">
      <protection locked="0"/>
    </xf>
    <xf numFmtId="0" fontId="4" fillId="0" borderId="9" xfId="2" applyFont="1" applyBorder="1" applyAlignment="1">
      <alignment horizontal="left" vertical="center" wrapText="1"/>
    </xf>
    <xf numFmtId="0" fontId="4" fillId="0" borderId="2" xfId="2" applyFont="1" applyBorder="1" applyAlignment="1">
      <alignment horizontal="left" vertical="center" wrapText="1"/>
    </xf>
    <xf numFmtId="0" fontId="4" fillId="0" borderId="2" xfId="2" applyFont="1" applyBorder="1" applyAlignment="1">
      <alignment horizontal="left" vertical="center" wrapText="1" indent="1"/>
    </xf>
    <xf numFmtId="0" fontId="4" fillId="0" borderId="2" xfId="2" applyFont="1" applyBorder="1" applyAlignment="1">
      <alignment wrapText="1"/>
    </xf>
    <xf numFmtId="0" fontId="4" fillId="0" borderId="2" xfId="2" applyFont="1" applyBorder="1" applyAlignment="1">
      <alignment vertical="center" wrapText="1"/>
    </xf>
    <xf numFmtId="0" fontId="8" fillId="0" borderId="2" xfId="1" applyFont="1" applyBorder="1" applyAlignment="1">
      <alignment horizontal="left" vertical="center" wrapText="1"/>
    </xf>
    <xf numFmtId="0" fontId="4" fillId="0" borderId="9" xfId="2" applyFont="1" applyBorder="1" applyAlignment="1" applyProtection="1">
      <alignment horizontal="left" vertical="center" wrapText="1"/>
      <protection hidden="1"/>
    </xf>
    <xf numFmtId="0" fontId="4" fillId="0" borderId="2" xfId="2" applyFont="1" applyBorder="1" applyAlignment="1" applyProtection="1">
      <alignment horizontal="left" vertical="center" wrapText="1"/>
      <protection hidden="1"/>
    </xf>
    <xf numFmtId="0" fontId="4" fillId="0" borderId="2" xfId="2" applyFont="1" applyBorder="1" applyAlignment="1" applyProtection="1">
      <alignment horizontal="left" vertical="center" wrapText="1" indent="1"/>
      <protection hidden="1"/>
    </xf>
    <xf numFmtId="0" fontId="4" fillId="0" borderId="2" xfId="2" applyFont="1" applyBorder="1" applyAlignment="1" applyProtection="1">
      <alignment wrapText="1"/>
      <protection hidden="1"/>
    </xf>
    <xf numFmtId="0" fontId="4" fillId="0" borderId="2" xfId="2" applyFont="1" applyBorder="1" applyAlignment="1" applyProtection="1">
      <alignment vertical="center" wrapText="1"/>
      <protection hidden="1"/>
    </xf>
    <xf numFmtId="0" fontId="8" fillId="0" borderId="2" xfId="1" applyFont="1" applyBorder="1" applyAlignment="1" applyProtection="1">
      <alignment horizontal="left" vertical="center" wrapText="1"/>
      <protection hidden="1"/>
    </xf>
    <xf numFmtId="0" fontId="5" fillId="0" borderId="4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49" fontId="5" fillId="0" borderId="0" xfId="0" applyNumberFormat="1" applyFont="1" applyAlignment="1" applyProtection="1">
      <alignment horizontal="center" vertical="center"/>
      <protection locked="0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hidden="1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5" xfId="0" applyFont="1" applyBorder="1" applyAlignment="1" applyProtection="1">
      <alignment horizontal="center" vertical="center" wrapText="1"/>
      <protection locked="0"/>
    </xf>
    <xf numFmtId="0" fontId="18" fillId="0" borderId="8" xfId="0" applyFont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0" fontId="18" fillId="0" borderId="5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49" fontId="18" fillId="0" borderId="4" xfId="0" applyNumberFormat="1" applyFont="1" applyBorder="1" applyAlignment="1" applyProtection="1">
      <alignment horizontal="center" vertical="center"/>
      <protection locked="0"/>
    </xf>
    <xf numFmtId="49" fontId="18" fillId="0" borderId="5" xfId="0" applyNumberFormat="1" applyFont="1" applyBorder="1" applyAlignment="1" applyProtection="1">
      <alignment horizontal="center" vertical="center"/>
      <protection locked="0"/>
    </xf>
    <xf numFmtId="49" fontId="18" fillId="0" borderId="8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49" fontId="18" fillId="0" borderId="4" xfId="0" applyNumberFormat="1" applyFont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left" vertical="top" wrapText="1"/>
    </xf>
    <xf numFmtId="0" fontId="23" fillId="0" borderId="11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0" borderId="6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13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23" fillId="0" borderId="14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center" vertical="top" wrapText="1"/>
    </xf>
    <xf numFmtId="0" fontId="18" fillId="0" borderId="12" xfId="0" applyFont="1" applyBorder="1" applyAlignment="1">
      <alignment horizontal="center" vertical="top" wrapText="1"/>
    </xf>
    <xf numFmtId="0" fontId="18" fillId="0" borderId="6" xfId="0" applyFont="1" applyBorder="1" applyAlignment="1">
      <alignment horizontal="center" vertical="top" wrapText="1"/>
    </xf>
    <xf numFmtId="0" fontId="18" fillId="0" borderId="15" xfId="0" applyFont="1" applyBorder="1" applyAlignment="1">
      <alignment horizontal="center" vertical="top" wrapText="1"/>
    </xf>
    <xf numFmtId="0" fontId="18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1" fillId="0" borderId="2" xfId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 wrapText="1"/>
    </xf>
    <xf numFmtId="0" fontId="5" fillId="3" borderId="13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3" fillId="0" borderId="2" xfId="1" applyFont="1" applyBorder="1" applyAlignment="1" applyProtection="1">
      <alignment horizontal="center" vertical="center"/>
      <protection locked="0"/>
    </xf>
    <xf numFmtId="0" fontId="3" fillId="0" borderId="4" xfId="1" applyFont="1" applyBorder="1" applyAlignment="1" applyProtection="1">
      <alignment horizontal="center" vertical="center"/>
      <protection locked="0"/>
    </xf>
    <xf numFmtId="0" fontId="3" fillId="3" borderId="4" xfId="1" applyFont="1" applyFill="1" applyBorder="1" applyAlignment="1" applyProtection="1">
      <alignment horizontal="center" vertical="center"/>
      <protection locked="0"/>
    </xf>
    <xf numFmtId="0" fontId="3" fillId="3" borderId="8" xfId="1" applyFont="1" applyFill="1" applyBorder="1" applyAlignment="1" applyProtection="1">
      <alignment horizontal="center" vertical="center"/>
      <protection locked="0"/>
    </xf>
    <xf numFmtId="0" fontId="8" fillId="0" borderId="0" xfId="1" applyFont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1" fontId="3" fillId="0" borderId="2" xfId="1" applyNumberFormat="1" applyFont="1" applyBorder="1" applyAlignment="1">
      <alignment horizontal="center" vertical="center" textRotation="90" wrapText="1"/>
    </xf>
    <xf numFmtId="0" fontId="3" fillId="0" borderId="3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textRotation="90" wrapText="1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5" fillId="0" borderId="10" xfId="0" applyFont="1" applyBorder="1" applyAlignment="1" applyProtection="1">
      <alignment horizontal="center" vertical="center" wrapText="1"/>
      <protection hidden="1"/>
    </xf>
    <xf numFmtId="0" fontId="5" fillId="0" borderId="12" xfId="0" applyFont="1" applyBorder="1" applyAlignment="1" applyProtection="1">
      <alignment horizontal="center" vertical="center" wrapText="1"/>
      <protection hidden="1"/>
    </xf>
    <xf numFmtId="0" fontId="5" fillId="0" borderId="13" xfId="0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0" fontId="5" fillId="0" borderId="14" xfId="0" applyFont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textRotation="90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3" xfId="0" applyFont="1" applyBorder="1" applyAlignment="1" applyProtection="1">
      <alignment horizontal="center" vertical="center" textRotation="90" wrapText="1"/>
      <protection hidden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90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textRotation="90" wrapText="1"/>
    </xf>
    <xf numFmtId="0" fontId="5" fillId="2" borderId="7" xfId="0" applyFont="1" applyFill="1" applyBorder="1" applyAlignment="1">
      <alignment horizontal="center" vertical="center" textRotation="90" wrapText="1"/>
    </xf>
    <xf numFmtId="0" fontId="5" fillId="2" borderId="9" xfId="0" applyFont="1" applyFill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3" fillId="2" borderId="2" xfId="1" applyFont="1" applyFill="1" applyBorder="1" applyAlignment="1" applyProtection="1">
      <alignment horizontal="center" vertical="center" wrapText="1"/>
      <protection hidden="1"/>
    </xf>
    <xf numFmtId="0" fontId="13" fillId="2" borderId="1" xfId="1" applyFont="1" applyFill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 wrapText="1"/>
      <protection hidden="1"/>
    </xf>
    <xf numFmtId="0" fontId="5" fillId="0" borderId="3" xfId="1" applyFont="1" applyBorder="1" applyAlignment="1" applyProtection="1">
      <alignment horizontal="center" vertical="center" textRotation="90" wrapText="1"/>
      <protection hidden="1"/>
    </xf>
    <xf numFmtId="0" fontId="3" fillId="0" borderId="4" xfId="1" applyFont="1" applyBorder="1" applyAlignment="1" applyProtection="1">
      <alignment horizontal="center" vertical="center" wrapText="1"/>
      <protection hidden="1"/>
    </xf>
    <xf numFmtId="0" fontId="3" fillId="0" borderId="5" xfId="1" applyFont="1" applyBorder="1" applyAlignment="1" applyProtection="1">
      <alignment horizontal="center" vertical="center" wrapText="1"/>
      <protection hidden="1"/>
    </xf>
    <xf numFmtId="0" fontId="3" fillId="0" borderId="8" xfId="1" applyFont="1" applyBorder="1" applyAlignment="1" applyProtection="1">
      <alignment horizontal="center" vertical="center" wrapText="1"/>
      <protection hidden="1"/>
    </xf>
    <xf numFmtId="0" fontId="3" fillId="0" borderId="2" xfId="1" applyFont="1" applyBorder="1" applyAlignment="1" applyProtection="1">
      <alignment horizontal="center" vertical="center" wrapText="1"/>
      <protection hidden="1"/>
    </xf>
  </cellXfs>
  <cellStyles count="6">
    <cellStyle name="Excel Built-in Good" xfId="3" xr:uid="{602C8BCA-051A-45F9-9B98-4CE6BC0EE0CB}"/>
    <cellStyle name="Excel Built-in Neutral" xfId="4" xr:uid="{D99F7730-6371-4B4E-A42E-BC3E92BCE3BC}"/>
    <cellStyle name="Обычный" xfId="0" builtinId="0"/>
    <cellStyle name="Обычный 2" xfId="1" xr:uid="{34BF7143-D424-4938-81CB-85685E2BB97D}"/>
    <cellStyle name="Обычный 2 2" xfId="2" xr:uid="{B0D1722B-1DD4-47C8-979C-26D025537C38}"/>
    <cellStyle name="Расчетная ячейка" xfId="5" xr:uid="{729FEBB2-8ED4-441E-9F93-1C660E64F5E4}"/>
  </cellStyles>
  <dxfs count="17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C54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16</xdr:col>
      <xdr:colOff>0</xdr:colOff>
      <xdr:row>41</xdr:row>
      <xdr:rowOff>133350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306300" cy="7077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16</xdr:col>
      <xdr:colOff>0</xdr:colOff>
      <xdr:row>41</xdr:row>
      <xdr:rowOff>133350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306300" cy="7077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16</xdr:col>
      <xdr:colOff>0</xdr:colOff>
      <xdr:row>41</xdr:row>
      <xdr:rowOff>133350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306300" cy="7077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16</xdr:col>
      <xdr:colOff>0</xdr:colOff>
      <xdr:row>41</xdr:row>
      <xdr:rowOff>133350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306300" cy="7077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16</xdr:col>
      <xdr:colOff>0</xdr:colOff>
      <xdr:row>41</xdr:row>
      <xdr:rowOff>133350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306300" cy="7077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16</xdr:col>
      <xdr:colOff>0</xdr:colOff>
      <xdr:row>41</xdr:row>
      <xdr:rowOff>133350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306300" cy="7077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16</xdr:col>
      <xdr:colOff>0</xdr:colOff>
      <xdr:row>41</xdr:row>
      <xdr:rowOff>133350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306300" cy="7077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16</xdr:col>
      <xdr:colOff>0</xdr:colOff>
      <xdr:row>41</xdr:row>
      <xdr:rowOff>133350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306300" cy="7077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16</xdr:col>
      <xdr:colOff>0</xdr:colOff>
      <xdr:row>41</xdr:row>
      <xdr:rowOff>133350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306300" cy="7077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16</xdr:col>
      <xdr:colOff>0</xdr:colOff>
      <xdr:row>41</xdr:row>
      <xdr:rowOff>133350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306300" cy="7077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16</xdr:col>
      <xdr:colOff>0</xdr:colOff>
      <xdr:row>41</xdr:row>
      <xdr:rowOff>133350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306300" cy="7077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16</xdr:col>
      <xdr:colOff>0</xdr:colOff>
      <xdr:row>41</xdr:row>
      <xdr:rowOff>133350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306300" cy="7077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16</xdr:col>
      <xdr:colOff>0</xdr:colOff>
      <xdr:row>41</xdr:row>
      <xdr:rowOff>133350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306300" cy="7077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19</xdr:col>
      <xdr:colOff>495300</xdr:colOff>
      <xdr:row>46</xdr:row>
      <xdr:rowOff>133350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900160" cy="755523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26</xdr:col>
      <xdr:colOff>200025</xdr:colOff>
      <xdr:row>56</xdr:row>
      <xdr:rowOff>190500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990945" cy="89306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</xdr:row>
      <xdr:rowOff>0</xdr:rowOff>
    </xdr:from>
    <xdr:to>
      <xdr:col>26</xdr:col>
      <xdr:colOff>200025</xdr:colOff>
      <xdr:row>56</xdr:row>
      <xdr:rowOff>190500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990945" cy="89306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</xdr:row>
      <xdr:rowOff>0</xdr:rowOff>
    </xdr:from>
    <xdr:to>
      <xdr:col>26</xdr:col>
      <xdr:colOff>200025</xdr:colOff>
      <xdr:row>56</xdr:row>
      <xdr:rowOff>190500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990945" cy="89306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</xdr:row>
      <xdr:rowOff>0</xdr:rowOff>
    </xdr:from>
    <xdr:to>
      <xdr:col>26</xdr:col>
      <xdr:colOff>200025</xdr:colOff>
      <xdr:row>56</xdr:row>
      <xdr:rowOff>190500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7764D5E1-F9E1-46DD-940A-3A0085F40F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7287875" cy="9877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</xdr:row>
      <xdr:rowOff>0</xdr:rowOff>
    </xdr:from>
    <xdr:to>
      <xdr:col>26</xdr:col>
      <xdr:colOff>200025</xdr:colOff>
      <xdr:row>56</xdr:row>
      <xdr:rowOff>190500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5C43F9C1-8AA8-4723-BED0-CD19D8F916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7287875" cy="9877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</xdr:row>
      <xdr:rowOff>0</xdr:rowOff>
    </xdr:from>
    <xdr:to>
      <xdr:col>26</xdr:col>
      <xdr:colOff>200025</xdr:colOff>
      <xdr:row>56</xdr:row>
      <xdr:rowOff>190500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C844D69-83DB-4C43-84F1-938C4C72C4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7287875" cy="9877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21</xdr:col>
      <xdr:colOff>133350</xdr:colOff>
      <xdr:row>21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521690" cy="674751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0</xdr:rowOff>
    </xdr:from>
    <xdr:to>
      <xdr:col>21</xdr:col>
      <xdr:colOff>133350</xdr:colOff>
      <xdr:row>21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521690" cy="674751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0</xdr:rowOff>
    </xdr:from>
    <xdr:to>
      <xdr:col>21</xdr:col>
      <xdr:colOff>133350</xdr:colOff>
      <xdr:row>21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521690" cy="674751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0</xdr:rowOff>
    </xdr:from>
    <xdr:to>
      <xdr:col>21</xdr:col>
      <xdr:colOff>133350</xdr:colOff>
      <xdr:row>21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521690" cy="674751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0</xdr:rowOff>
    </xdr:from>
    <xdr:to>
      <xdr:col>21</xdr:col>
      <xdr:colOff>133350</xdr:colOff>
      <xdr:row>21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521690" cy="674751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0</xdr:rowOff>
    </xdr:from>
    <xdr:to>
      <xdr:col>21</xdr:col>
      <xdr:colOff>133350</xdr:colOff>
      <xdr:row>21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521690" cy="674751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0</xdr:rowOff>
    </xdr:from>
    <xdr:to>
      <xdr:col>21</xdr:col>
      <xdr:colOff>133350</xdr:colOff>
      <xdr:row>21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521690" cy="674751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0</xdr:rowOff>
    </xdr:from>
    <xdr:to>
      <xdr:col>21</xdr:col>
      <xdr:colOff>133350</xdr:colOff>
      <xdr:row>21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521690" cy="674751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0</xdr:rowOff>
    </xdr:from>
    <xdr:to>
      <xdr:col>21</xdr:col>
      <xdr:colOff>133350</xdr:colOff>
      <xdr:row>21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521690" cy="739521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0</xdr:rowOff>
    </xdr:from>
    <xdr:to>
      <xdr:col>21</xdr:col>
      <xdr:colOff>133350</xdr:colOff>
      <xdr:row>21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521690" cy="739521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0</xdr:rowOff>
    </xdr:from>
    <xdr:to>
      <xdr:col>21</xdr:col>
      <xdr:colOff>133350</xdr:colOff>
      <xdr:row>21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521690" cy="739521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0</xdr:rowOff>
    </xdr:from>
    <xdr:to>
      <xdr:col>21</xdr:col>
      <xdr:colOff>133350</xdr:colOff>
      <xdr:row>21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521690" cy="739521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0</xdr:rowOff>
    </xdr:from>
    <xdr:to>
      <xdr:col>21</xdr:col>
      <xdr:colOff>133350</xdr:colOff>
      <xdr:row>21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521690" cy="739521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6479-62BD-4C23-989D-B7798984AF11}">
  <sheetPr>
    <pageSetUpPr fitToPage="1"/>
  </sheetPr>
  <dimension ref="A1:T27"/>
  <sheetViews>
    <sheetView topLeftCell="B15" zoomScaleNormal="100" workbookViewId="0">
      <selection activeCell="S27" sqref="S27"/>
    </sheetView>
  </sheetViews>
  <sheetFormatPr defaultColWidth="9.140625" defaultRowHeight="14.25" x14ac:dyDescent="0.2"/>
  <cols>
    <col min="1" max="1" width="6.7109375" style="157" hidden="1" customWidth="1"/>
    <col min="2" max="2" width="5.85546875" style="157" customWidth="1"/>
    <col min="3" max="3" width="8.140625" style="157" customWidth="1"/>
    <col min="4" max="4" width="5.7109375" style="157" customWidth="1"/>
    <col min="5" max="5" width="8.140625" style="157" customWidth="1"/>
    <col min="6" max="6" width="9.42578125" style="157" customWidth="1"/>
    <col min="7" max="7" width="8.42578125" style="157" customWidth="1"/>
    <col min="8" max="9" width="10" style="157" customWidth="1"/>
    <col min="10" max="10" width="19.42578125" style="157" customWidth="1"/>
    <col min="11" max="11" width="9.140625" style="157"/>
    <col min="12" max="12" width="11" style="157" customWidth="1"/>
    <col min="13" max="15" width="8.140625" style="157" customWidth="1"/>
    <col min="16" max="16" width="3.5703125" style="157" customWidth="1"/>
    <col min="17" max="17" width="14.85546875" style="157" customWidth="1"/>
    <col min="18" max="18" width="3" style="157" customWidth="1"/>
    <col min="19" max="19" width="22.140625" style="157" customWidth="1"/>
    <col min="20" max="20" width="3.140625" style="157" customWidth="1"/>
    <col min="21" max="16384" width="9.140625" style="157"/>
  </cols>
  <sheetData>
    <row r="1" spans="2:20" s="156" customFormat="1" ht="5.25" hidden="1" customHeight="1" x14ac:dyDescent="0.25"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</row>
    <row r="2" spans="2:20" ht="18" customHeight="1" x14ac:dyDescent="0.2">
      <c r="B2" s="275" t="s">
        <v>841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7"/>
      <c r="T2" s="158"/>
    </row>
    <row r="3" spans="2:20" s="159" customFormat="1" ht="8.25" customHeight="1" x14ac:dyDescent="0.25"/>
    <row r="4" spans="2:20" ht="15.75" customHeight="1" x14ac:dyDescent="0.2">
      <c r="B4" s="227" t="s">
        <v>842</v>
      </c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9"/>
      <c r="T4" s="160"/>
    </row>
    <row r="5" spans="2:20" x14ac:dyDescent="0.2"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</row>
    <row r="6" spans="2:20" ht="41.25" customHeight="1" x14ac:dyDescent="0.2">
      <c r="B6" s="224" t="s">
        <v>843</v>
      </c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6"/>
      <c r="T6" s="162"/>
    </row>
    <row r="7" spans="2:20" x14ac:dyDescent="0.2"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</row>
    <row r="8" spans="2:20" ht="31.5" customHeight="1" x14ac:dyDescent="0.2">
      <c r="B8" s="224" t="s">
        <v>844</v>
      </c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6"/>
      <c r="T8" s="161"/>
    </row>
    <row r="9" spans="2:20" x14ac:dyDescent="0.2"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</row>
    <row r="10" spans="2:20" s="161" customFormat="1" ht="21" customHeight="1" x14ac:dyDescent="0.25">
      <c r="B10" s="224" t="s">
        <v>845</v>
      </c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6"/>
      <c r="T10" s="163"/>
    </row>
    <row r="11" spans="2:20" s="161" customFormat="1" ht="18" customHeight="1" x14ac:dyDescent="0.25">
      <c r="B11" s="278" t="s">
        <v>846</v>
      </c>
      <c r="C11" s="279"/>
      <c r="D11" s="279"/>
      <c r="E11" s="279"/>
      <c r="F11" s="279"/>
      <c r="G11" s="279"/>
      <c r="H11" s="279"/>
      <c r="I11" s="279"/>
      <c r="J11" s="279"/>
      <c r="K11" s="279"/>
      <c r="L11" s="279"/>
      <c r="M11" s="279"/>
      <c r="N11" s="279"/>
      <c r="O11" s="279"/>
      <c r="P11" s="279"/>
      <c r="Q11" s="279"/>
      <c r="R11" s="279"/>
      <c r="S11" s="280"/>
      <c r="T11" s="164"/>
    </row>
    <row r="12" spans="2:20" ht="18.75" customHeight="1" x14ac:dyDescent="0.2">
      <c r="B12" s="161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</row>
    <row r="13" spans="2:20" s="165" customFormat="1" ht="13.5" customHeight="1" x14ac:dyDescent="0.25">
      <c r="B13" s="275" t="s">
        <v>847</v>
      </c>
      <c r="C13" s="276"/>
      <c r="D13" s="276"/>
      <c r="E13" s="276"/>
      <c r="F13" s="276"/>
      <c r="G13" s="276"/>
      <c r="H13" s="276"/>
      <c r="I13" s="276"/>
      <c r="J13" s="277"/>
      <c r="K13" s="281" t="s">
        <v>848</v>
      </c>
      <c r="L13" s="282"/>
      <c r="M13" s="166"/>
      <c r="N13" s="166"/>
      <c r="O13" s="166"/>
      <c r="Q13" s="275" t="s">
        <v>876</v>
      </c>
      <c r="R13" s="276"/>
      <c r="S13" s="277"/>
      <c r="T13" s="158"/>
    </row>
    <row r="14" spans="2:20" s="165" customFormat="1" ht="118.5" customHeight="1" x14ac:dyDescent="0.25">
      <c r="B14" s="260" t="s">
        <v>916</v>
      </c>
      <c r="C14" s="261"/>
      <c r="D14" s="261"/>
      <c r="E14" s="261"/>
      <c r="F14" s="261"/>
      <c r="G14" s="261"/>
      <c r="H14" s="261"/>
      <c r="I14" s="261"/>
      <c r="J14" s="262"/>
      <c r="K14" s="269" t="s">
        <v>906</v>
      </c>
      <c r="L14" s="270"/>
      <c r="M14" s="167"/>
      <c r="N14" s="167"/>
      <c r="O14" s="167"/>
      <c r="P14" s="168"/>
      <c r="Q14" s="224" t="s">
        <v>849</v>
      </c>
      <c r="R14" s="225"/>
      <c r="S14" s="226"/>
      <c r="T14" s="168"/>
    </row>
    <row r="15" spans="2:20" s="165" customFormat="1" ht="21" customHeight="1" x14ac:dyDescent="0.25">
      <c r="B15" s="263"/>
      <c r="C15" s="264"/>
      <c r="D15" s="264"/>
      <c r="E15" s="264"/>
      <c r="F15" s="264"/>
      <c r="G15" s="264"/>
      <c r="H15" s="264"/>
      <c r="I15" s="264"/>
      <c r="J15" s="265"/>
      <c r="K15" s="271"/>
      <c r="L15" s="272"/>
      <c r="M15" s="167"/>
      <c r="N15" s="167"/>
      <c r="O15" s="167"/>
      <c r="P15" s="168"/>
      <c r="Q15" s="228"/>
      <c r="R15" s="228"/>
      <c r="S15" s="228"/>
      <c r="T15" s="160"/>
    </row>
    <row r="16" spans="2:20" s="165" customFormat="1" ht="24" customHeight="1" x14ac:dyDescent="0.25">
      <c r="B16" s="263"/>
      <c r="C16" s="264"/>
      <c r="D16" s="264"/>
      <c r="E16" s="264"/>
      <c r="F16" s="264"/>
      <c r="G16" s="264"/>
      <c r="H16" s="264"/>
      <c r="I16" s="264"/>
      <c r="J16" s="265"/>
      <c r="K16" s="271"/>
      <c r="L16" s="272"/>
      <c r="M16" s="167"/>
      <c r="N16" s="167"/>
      <c r="O16" s="167"/>
      <c r="P16" s="168"/>
      <c r="Q16" s="275" t="s">
        <v>850</v>
      </c>
      <c r="R16" s="276"/>
      <c r="S16" s="277"/>
      <c r="T16" s="168"/>
    </row>
    <row r="17" spans="1:20" s="165" customFormat="1" ht="24.75" customHeight="1" x14ac:dyDescent="0.25">
      <c r="B17" s="263"/>
      <c r="C17" s="264"/>
      <c r="D17" s="264"/>
      <c r="E17" s="264"/>
      <c r="F17" s="264"/>
      <c r="G17" s="264"/>
      <c r="H17" s="264"/>
      <c r="I17" s="264"/>
      <c r="J17" s="265"/>
      <c r="K17" s="271"/>
      <c r="L17" s="272"/>
      <c r="M17" s="167"/>
      <c r="N17" s="167"/>
      <c r="O17" s="167"/>
      <c r="P17" s="168"/>
      <c r="Q17" s="158"/>
      <c r="R17" s="158"/>
      <c r="S17" s="158"/>
      <c r="T17" s="158"/>
    </row>
    <row r="18" spans="1:20" s="165" customFormat="1" ht="28.5" customHeight="1" x14ac:dyDescent="0.25">
      <c r="B18" s="266"/>
      <c r="C18" s="267"/>
      <c r="D18" s="267"/>
      <c r="E18" s="267"/>
      <c r="F18" s="267"/>
      <c r="G18" s="267"/>
      <c r="H18" s="267"/>
      <c r="I18" s="267"/>
      <c r="J18" s="268"/>
      <c r="K18" s="273"/>
      <c r="L18" s="274"/>
      <c r="M18" s="167"/>
      <c r="N18" s="167"/>
      <c r="O18" s="167"/>
      <c r="P18" s="168"/>
      <c r="Q18" s="168"/>
      <c r="R18" s="168"/>
      <c r="S18" s="168"/>
      <c r="T18" s="168"/>
    </row>
    <row r="19" spans="1:20" s="165" customFormat="1" ht="16.5" customHeight="1" x14ac:dyDescent="0.25">
      <c r="R19" s="168"/>
      <c r="S19" s="168"/>
      <c r="T19" s="168"/>
    </row>
    <row r="20" spans="1:20" s="170" customFormat="1" ht="39.75" customHeight="1" x14ac:dyDescent="0.2">
      <c r="A20" s="169">
        <v>1</v>
      </c>
      <c r="B20" s="227" t="s">
        <v>851</v>
      </c>
      <c r="C20" s="228"/>
      <c r="D20" s="228"/>
      <c r="E20" s="228"/>
      <c r="F20" s="228"/>
      <c r="G20" s="229"/>
      <c r="H20" s="230"/>
      <c r="I20" s="231"/>
      <c r="J20" s="231"/>
      <c r="K20" s="232"/>
      <c r="L20" s="251" t="s">
        <v>877</v>
      </c>
      <c r="M20" s="252"/>
      <c r="N20" s="253"/>
      <c r="O20" s="254"/>
      <c r="P20" s="255"/>
      <c r="Q20" s="255"/>
      <c r="R20" s="255"/>
      <c r="S20" s="256"/>
      <c r="T20" s="168"/>
    </row>
    <row r="21" spans="1:20" s="170" customFormat="1" ht="26.25" customHeight="1" x14ac:dyDescent="0.2">
      <c r="A21" s="169">
        <v>2</v>
      </c>
      <c r="B21" s="227" t="s">
        <v>852</v>
      </c>
      <c r="C21" s="228"/>
      <c r="D21" s="229"/>
      <c r="E21" s="230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2"/>
      <c r="T21" s="168"/>
    </row>
    <row r="22" spans="1:20" s="170" customFormat="1" ht="26.25" customHeight="1" x14ac:dyDescent="0.2">
      <c r="A22" s="169"/>
      <c r="B22" s="227" t="s">
        <v>878</v>
      </c>
      <c r="C22" s="228"/>
      <c r="D22" s="228"/>
      <c r="E22" s="228"/>
      <c r="F22" s="228"/>
      <c r="G22" s="228"/>
      <c r="H22" s="229"/>
      <c r="I22" s="224" t="s">
        <v>879</v>
      </c>
      <c r="J22" s="225"/>
      <c r="K22" s="225"/>
      <c r="L22" s="226"/>
      <c r="M22" s="224" t="s">
        <v>880</v>
      </c>
      <c r="N22" s="225"/>
      <c r="O22" s="225"/>
      <c r="P22" s="225"/>
      <c r="Q22" s="225"/>
      <c r="R22" s="226"/>
      <c r="S22" s="198" t="s">
        <v>881</v>
      </c>
      <c r="T22" s="168"/>
    </row>
    <row r="23" spans="1:20" s="170" customFormat="1" ht="26.25" customHeight="1" x14ac:dyDescent="0.2">
      <c r="A23" s="169">
        <v>3</v>
      </c>
      <c r="B23" s="239"/>
      <c r="C23" s="240"/>
      <c r="D23" s="240"/>
      <c r="E23" s="240"/>
      <c r="F23" s="240"/>
      <c r="G23" s="240"/>
      <c r="H23" s="241"/>
      <c r="I23" s="242"/>
      <c r="J23" s="243"/>
      <c r="K23" s="243"/>
      <c r="L23" s="244"/>
      <c r="M23" s="242"/>
      <c r="N23" s="243"/>
      <c r="O23" s="243"/>
      <c r="P23" s="243"/>
      <c r="Q23" s="243"/>
      <c r="R23" s="244"/>
      <c r="S23" s="155"/>
      <c r="T23" s="168"/>
    </row>
    <row r="24" spans="1:20" s="165" customFormat="1" ht="13.5" customHeight="1" x14ac:dyDescent="0.25">
      <c r="A24" s="171"/>
      <c r="B24" s="245" t="s">
        <v>885</v>
      </c>
      <c r="C24" s="246"/>
      <c r="D24" s="247"/>
      <c r="E24" s="224" t="s">
        <v>853</v>
      </c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6"/>
      <c r="T24" s="168"/>
    </row>
    <row r="25" spans="1:20" s="165" customFormat="1" ht="75" customHeight="1" x14ac:dyDescent="0.25">
      <c r="A25" s="171"/>
      <c r="B25" s="248"/>
      <c r="C25" s="249"/>
      <c r="D25" s="250"/>
      <c r="E25" s="224" t="s">
        <v>907</v>
      </c>
      <c r="F25" s="225"/>
      <c r="G25" s="225"/>
      <c r="H25" s="226"/>
      <c r="I25" s="224" t="s">
        <v>886</v>
      </c>
      <c r="J25" s="225"/>
      <c r="K25" s="225"/>
      <c r="L25" s="226"/>
      <c r="M25" s="224" t="s">
        <v>882</v>
      </c>
      <c r="N25" s="225"/>
      <c r="O25" s="226"/>
      <c r="P25" s="224" t="s">
        <v>883</v>
      </c>
      <c r="Q25" s="225"/>
      <c r="R25" s="226"/>
      <c r="S25" s="198" t="s">
        <v>922</v>
      </c>
      <c r="T25" s="168"/>
    </row>
    <row r="26" spans="1:20" s="165" customFormat="1" ht="12.75" x14ac:dyDescent="0.25">
      <c r="A26" s="171">
        <v>4</v>
      </c>
      <c r="B26" s="227">
        <v>1</v>
      </c>
      <c r="C26" s="228"/>
      <c r="D26" s="229"/>
      <c r="E26" s="227">
        <v>2</v>
      </c>
      <c r="F26" s="228"/>
      <c r="G26" s="228"/>
      <c r="H26" s="229"/>
      <c r="I26" s="227">
        <v>3</v>
      </c>
      <c r="J26" s="228"/>
      <c r="K26" s="228"/>
      <c r="L26" s="229"/>
      <c r="M26" s="227">
        <v>4</v>
      </c>
      <c r="N26" s="228"/>
      <c r="O26" s="229"/>
      <c r="P26" s="227">
        <v>5</v>
      </c>
      <c r="Q26" s="228"/>
      <c r="R26" s="229"/>
      <c r="S26" s="172">
        <v>6</v>
      </c>
      <c r="T26" s="168"/>
    </row>
    <row r="27" spans="1:20" s="165" customFormat="1" ht="12.75" x14ac:dyDescent="0.25">
      <c r="A27" s="171">
        <v>5</v>
      </c>
      <c r="B27" s="257" t="s">
        <v>854</v>
      </c>
      <c r="C27" s="258"/>
      <c r="D27" s="259"/>
      <c r="E27" s="236"/>
      <c r="F27" s="237"/>
      <c r="G27" s="237"/>
      <c r="H27" s="238"/>
      <c r="I27" s="233"/>
      <c r="J27" s="234"/>
      <c r="K27" s="234"/>
      <c r="L27" s="235"/>
      <c r="M27" s="233"/>
      <c r="N27" s="234"/>
      <c r="O27" s="235"/>
      <c r="P27" s="236"/>
      <c r="Q27" s="237"/>
      <c r="R27" s="238"/>
      <c r="S27" s="178"/>
      <c r="T27" s="168"/>
    </row>
  </sheetData>
  <sheetProtection algorithmName="SHA-512" hashValue="ddFNU8mtMTucQrFWiOQLOEvvtsycw6YeZLF5FSf3zM9/M1aKgVgQ/daLwoBQFKEA6sk6mGC9u5nW7yxXUEDhrQ==" saltValue="apJFLsxI/yS5ChKXdFc1QA==" spinCount="100000" sheet="1" objects="1" scenarios="1" selectLockedCells="1"/>
  <mergeCells count="43">
    <mergeCell ref="B1:T1"/>
    <mergeCell ref="B2:S2"/>
    <mergeCell ref="B4:S4"/>
    <mergeCell ref="B6:S6"/>
    <mergeCell ref="B8:S8"/>
    <mergeCell ref="B10:S10"/>
    <mergeCell ref="B11:S11"/>
    <mergeCell ref="B13:J13"/>
    <mergeCell ref="K13:L13"/>
    <mergeCell ref="Q13:S13"/>
    <mergeCell ref="B14:J18"/>
    <mergeCell ref="K14:L18"/>
    <mergeCell ref="Q14:S14"/>
    <mergeCell ref="Q15:S15"/>
    <mergeCell ref="Q16:S16"/>
    <mergeCell ref="B21:D21"/>
    <mergeCell ref="E21:S21"/>
    <mergeCell ref="B22:H22"/>
    <mergeCell ref="I22:L22"/>
    <mergeCell ref="M22:R22"/>
    <mergeCell ref="B26:D26"/>
    <mergeCell ref="E26:H26"/>
    <mergeCell ref="I26:L26"/>
    <mergeCell ref="M26:O26"/>
    <mergeCell ref="B27:D27"/>
    <mergeCell ref="E27:H27"/>
    <mergeCell ref="I27:L27"/>
    <mergeCell ref="P25:R25"/>
    <mergeCell ref="P26:R26"/>
    <mergeCell ref="H20:K20"/>
    <mergeCell ref="M27:O27"/>
    <mergeCell ref="P27:R27"/>
    <mergeCell ref="B23:H23"/>
    <mergeCell ref="I23:L23"/>
    <mergeCell ref="M23:R23"/>
    <mergeCell ref="B24:D25"/>
    <mergeCell ref="E24:S24"/>
    <mergeCell ref="E25:H25"/>
    <mergeCell ref="I25:L25"/>
    <mergeCell ref="M25:O25"/>
    <mergeCell ref="B20:G20"/>
    <mergeCell ref="L20:N20"/>
    <mergeCell ref="O20:S20"/>
  </mergeCells>
  <conditionalFormatting sqref="B23:S23">
    <cfRule type="expression" dxfId="172" priority="13">
      <formula>ISNUMBER(B23)</formula>
    </cfRule>
  </conditionalFormatting>
  <conditionalFormatting sqref="E27 M27:R27">
    <cfRule type="expression" dxfId="171" priority="17">
      <formula>NOT(EXACT(LOWER(E27),UPPER(E27)))</formula>
    </cfRule>
  </conditionalFormatting>
  <conditionalFormatting sqref="E27:H27">
    <cfRule type="expression" dxfId="170" priority="16">
      <formula>AND(LEN($E$27)&lt;&gt;8,LEN($E$27)&lt;&gt;14,LEN($E$27)&lt;&gt;0)</formula>
    </cfRule>
  </conditionalFormatting>
  <conditionalFormatting sqref="E21:S21">
    <cfRule type="expression" dxfId="169" priority="3">
      <formula>ISBLANK(E21)</formula>
    </cfRule>
  </conditionalFormatting>
  <conditionalFormatting sqref="E27:S27">
    <cfRule type="expression" dxfId="168" priority="2">
      <formula>ISBLANK(E27)</formula>
    </cfRule>
  </conditionalFormatting>
  <conditionalFormatting sqref="H20:K20">
    <cfRule type="expression" dxfId="167" priority="5">
      <formula>ISBLANK($H$20)</formula>
    </cfRule>
  </conditionalFormatting>
  <conditionalFormatting sqref="M27:O27">
    <cfRule type="expression" dxfId="166" priority="10">
      <formula>LEN($M$27)&gt;2</formula>
    </cfRule>
  </conditionalFormatting>
  <conditionalFormatting sqref="O20:S20">
    <cfRule type="expression" dxfId="165" priority="4">
      <formula>ISBLANK($O$20)</formula>
    </cfRule>
  </conditionalFormatting>
  <conditionalFormatting sqref="P27:R27">
    <cfRule type="expression" dxfId="164" priority="8">
      <formula>AND(LEN($P$27)&lt;&gt;8,LEN($P$27)&lt;&gt;11,LEN($P$27)&lt;&gt;0)</formula>
    </cfRule>
  </conditionalFormatting>
  <conditionalFormatting sqref="S23">
    <cfRule type="expression" dxfId="163" priority="1">
      <formula>AND(S27=1,ISBLANK(S23))</formula>
    </cfRule>
  </conditionalFormatting>
  <conditionalFormatting sqref="S27">
    <cfRule type="expression" dxfId="162" priority="6">
      <formula>ISTEXT($S$27)</formula>
    </cfRule>
    <cfRule type="expression" dxfId="161" priority="7">
      <formula>$S$27&gt;1</formula>
    </cfRule>
  </conditionalFormatting>
  <dataValidations count="4">
    <dataValidation type="whole" allowBlank="1" showInputMessage="1" showErrorMessage="1" sqref="S27" xr:uid="{78B5051F-502C-47A3-90DD-ACE08FC5C782}">
      <formula1>0</formula1>
      <formula2>1</formula2>
    </dataValidation>
    <dataValidation operator="lessThan" allowBlank="1" showInputMessage="1" showErrorMessage="1" sqref="P27:R27 E27:H27" xr:uid="{F192FCEC-9DEF-4899-9863-FE264685EC5E}"/>
    <dataValidation type="whole" allowBlank="1" showInputMessage="1" showErrorMessage="1" sqref="M27:O27" xr:uid="{43B09B0A-01DA-4AE0-98D8-E90B8CA2E227}">
      <formula1>0</formula1>
      <formula2>99</formula2>
    </dataValidation>
    <dataValidation type="textLength" operator="greaterThan" allowBlank="1" showInputMessage="1" showErrorMessage="1" sqref="B23:S23" xr:uid="{151ECA5E-E5AF-4B11-8A1B-FC4FAA956493}">
      <formula1>0</formula1>
    </dataValidation>
  </dataValidations>
  <pageMargins left="0.7" right="0.7" top="0.75" bottom="0.75" header="0.3" footer="0.3"/>
  <pageSetup paperSize="9" scale="4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DE78-A87D-4DE7-8D32-F7FA288EDA1E}">
  <sheetPr>
    <pageSetUpPr fitToPage="1"/>
  </sheetPr>
  <dimension ref="A1:I21"/>
  <sheetViews>
    <sheetView topLeftCell="B1" zoomScaleNormal="100" workbookViewId="0">
      <selection activeCell="H19" sqref="H19:I19"/>
    </sheetView>
  </sheetViews>
  <sheetFormatPr defaultColWidth="9.140625" defaultRowHeight="11.25" x14ac:dyDescent="0.2"/>
  <cols>
    <col min="1" max="1" width="7.140625" style="25" hidden="1" customWidth="1"/>
    <col min="2" max="2" width="58" style="25" customWidth="1"/>
    <col min="3" max="3" width="7.85546875" style="28" customWidth="1"/>
    <col min="4" max="4" width="25" style="25" customWidth="1"/>
    <col min="5" max="9" width="17.140625" style="25" customWidth="1"/>
    <col min="10" max="16384" width="9.140625" style="40"/>
  </cols>
  <sheetData>
    <row r="1" spans="1:9" x14ac:dyDescent="0.2">
      <c r="A1" s="33"/>
      <c r="B1" s="297" t="s">
        <v>820</v>
      </c>
      <c r="C1" s="297"/>
      <c r="D1" s="297"/>
      <c r="E1" s="297"/>
      <c r="F1" s="297"/>
      <c r="G1" s="297"/>
      <c r="H1" s="297"/>
      <c r="I1" s="297"/>
    </row>
    <row r="2" spans="1:9" s="25" customFormat="1" ht="15" customHeight="1" x14ac:dyDescent="0.15">
      <c r="A2" s="33"/>
      <c r="B2" s="298" t="s">
        <v>821</v>
      </c>
      <c r="C2" s="299" t="s">
        <v>2</v>
      </c>
      <c r="D2" s="300" t="s">
        <v>822</v>
      </c>
      <c r="E2" s="301" t="s">
        <v>823</v>
      </c>
      <c r="F2" s="301"/>
      <c r="G2" s="301"/>
      <c r="H2" s="301"/>
      <c r="I2" s="301"/>
    </row>
    <row r="3" spans="1:9" s="25" customFormat="1" ht="34.5" customHeight="1" x14ac:dyDescent="0.15">
      <c r="A3" s="33"/>
      <c r="B3" s="298"/>
      <c r="C3" s="299"/>
      <c r="D3" s="300"/>
      <c r="E3" s="5" t="s">
        <v>660</v>
      </c>
      <c r="F3" s="26" t="s">
        <v>661</v>
      </c>
      <c r="G3" s="27" t="s">
        <v>662</v>
      </c>
      <c r="H3" s="27" t="s">
        <v>824</v>
      </c>
      <c r="I3" s="23" t="s">
        <v>825</v>
      </c>
    </row>
    <row r="4" spans="1:9" s="28" customFormat="1" ht="10.5" x14ac:dyDescent="0.15">
      <c r="A4" s="33"/>
      <c r="B4" s="27">
        <v>1</v>
      </c>
      <c r="C4" s="27">
        <v>2</v>
      </c>
      <c r="D4" s="27">
        <v>3</v>
      </c>
      <c r="E4" s="27">
        <v>4</v>
      </c>
      <c r="F4" s="27">
        <v>5</v>
      </c>
      <c r="G4" s="27">
        <v>6</v>
      </c>
      <c r="H4" s="27">
        <v>7</v>
      </c>
      <c r="I4" s="27">
        <v>8</v>
      </c>
    </row>
    <row r="5" spans="1:9" ht="26.25" customHeight="1" x14ac:dyDescent="0.2">
      <c r="A5" s="33"/>
      <c r="B5" s="24" t="s">
        <v>826</v>
      </c>
      <c r="C5" s="29" t="s">
        <v>22</v>
      </c>
      <c r="D5" s="153">
        <f>E5+F5+G5+H5+I5</f>
        <v>1</v>
      </c>
      <c r="E5" s="152"/>
      <c r="F5" s="152"/>
      <c r="G5" s="152"/>
      <c r="H5" s="152">
        <v>1</v>
      </c>
      <c r="I5" s="152"/>
    </row>
    <row r="6" spans="1:9" ht="31.5" x14ac:dyDescent="0.2">
      <c r="A6" s="33"/>
      <c r="B6" s="30" t="s">
        <v>827</v>
      </c>
      <c r="C6" s="29" t="s">
        <v>24</v>
      </c>
      <c r="D6" s="153">
        <f t="shared" ref="D6:D11" si="0">E6+F6+G6+H6+I6</f>
        <v>0</v>
      </c>
      <c r="E6" s="152"/>
      <c r="F6" s="152"/>
      <c r="G6" s="175"/>
      <c r="H6" s="175"/>
      <c r="I6" s="152"/>
    </row>
    <row r="7" spans="1:9" ht="26.25" customHeight="1" x14ac:dyDescent="0.2">
      <c r="A7" s="33"/>
      <c r="B7" s="24" t="s">
        <v>828</v>
      </c>
      <c r="C7" s="29" t="s">
        <v>26</v>
      </c>
      <c r="D7" s="153">
        <f t="shared" si="0"/>
        <v>0</v>
      </c>
      <c r="E7" s="152"/>
      <c r="F7" s="152"/>
      <c r="G7" s="175"/>
      <c r="H7" s="175"/>
      <c r="I7" s="152"/>
    </row>
    <row r="8" spans="1:9" ht="31.5" x14ac:dyDescent="0.2">
      <c r="A8" s="33"/>
      <c r="B8" s="30" t="s">
        <v>829</v>
      </c>
      <c r="C8" s="29" t="s">
        <v>28</v>
      </c>
      <c r="D8" s="153">
        <f t="shared" si="0"/>
        <v>0</v>
      </c>
      <c r="E8" s="152"/>
      <c r="F8" s="152"/>
      <c r="G8" s="175"/>
      <c r="H8" s="175"/>
      <c r="I8" s="152"/>
    </row>
    <row r="9" spans="1:9" ht="26.25" customHeight="1" x14ac:dyDescent="0.2">
      <c r="A9" s="33"/>
      <c r="B9" s="24" t="s">
        <v>830</v>
      </c>
      <c r="C9" s="29" t="s">
        <v>30</v>
      </c>
      <c r="D9" s="153">
        <f t="shared" si="0"/>
        <v>0</v>
      </c>
      <c r="E9" s="152"/>
      <c r="F9" s="152"/>
      <c r="G9" s="175"/>
      <c r="H9" s="175"/>
      <c r="I9" s="152"/>
    </row>
    <row r="10" spans="1:9" ht="31.5" x14ac:dyDescent="0.2">
      <c r="A10" s="33"/>
      <c r="B10" s="30" t="s">
        <v>831</v>
      </c>
      <c r="C10" s="29" t="s">
        <v>32</v>
      </c>
      <c r="D10" s="153">
        <f t="shared" si="0"/>
        <v>0</v>
      </c>
      <c r="E10" s="152"/>
      <c r="F10" s="152"/>
      <c r="G10" s="175"/>
      <c r="H10" s="175"/>
      <c r="I10" s="152"/>
    </row>
    <row r="11" spans="1:9" ht="18.75" customHeight="1" x14ac:dyDescent="0.2">
      <c r="A11" s="33"/>
      <c r="B11" s="31" t="s">
        <v>832</v>
      </c>
      <c r="C11" s="32" t="s">
        <v>34</v>
      </c>
      <c r="D11" s="153">
        <f t="shared" si="0"/>
        <v>0</v>
      </c>
      <c r="E11" s="174"/>
      <c r="F11" s="174"/>
      <c r="G11" s="151"/>
      <c r="H11" s="151"/>
      <c r="I11" s="174"/>
    </row>
    <row r="12" spans="1:9" ht="18.75" customHeight="1" x14ac:dyDescent="0.2">
      <c r="A12" s="33"/>
      <c r="B12" s="24" t="s">
        <v>833</v>
      </c>
      <c r="C12" s="29" t="s">
        <v>36</v>
      </c>
      <c r="D12" s="153">
        <f>D5+D7+D9</f>
        <v>1</v>
      </c>
      <c r="E12" s="153">
        <f t="shared" ref="E12:I12" si="1">E5+E7+E9</f>
        <v>0</v>
      </c>
      <c r="F12" s="153">
        <f t="shared" si="1"/>
        <v>0</v>
      </c>
      <c r="G12" s="153">
        <f t="shared" si="1"/>
        <v>0</v>
      </c>
      <c r="H12" s="153">
        <f t="shared" si="1"/>
        <v>1</v>
      </c>
      <c r="I12" s="153">
        <f t="shared" si="1"/>
        <v>0</v>
      </c>
    </row>
    <row r="13" spans="1:9" ht="31.5" x14ac:dyDescent="0.2">
      <c r="A13" s="33"/>
      <c r="B13" s="24" t="s">
        <v>834</v>
      </c>
      <c r="C13" s="29" t="s">
        <v>38</v>
      </c>
      <c r="D13" s="153">
        <f>D6+D8+D10</f>
        <v>0</v>
      </c>
      <c r="E13" s="153">
        <f t="shared" ref="E13:I13" si="2">E6+E8+E10</f>
        <v>0</v>
      </c>
      <c r="F13" s="153">
        <f t="shared" si="2"/>
        <v>0</v>
      </c>
      <c r="G13" s="153">
        <f t="shared" si="2"/>
        <v>0</v>
      </c>
      <c r="H13" s="153">
        <f t="shared" si="2"/>
        <v>0</v>
      </c>
      <c r="I13" s="153">
        <f t="shared" si="2"/>
        <v>0</v>
      </c>
    </row>
    <row r="14" spans="1:9" x14ac:dyDescent="0.2">
      <c r="A14" s="33"/>
      <c r="B14" s="34"/>
      <c r="C14" s="35"/>
      <c r="D14" s="36"/>
      <c r="E14" s="36"/>
      <c r="F14" s="36"/>
      <c r="G14" s="36"/>
      <c r="H14" s="36"/>
      <c r="I14" s="36"/>
    </row>
    <row r="15" spans="1:9" ht="24" customHeight="1" x14ac:dyDescent="0.2">
      <c r="B15" s="154" t="s">
        <v>908</v>
      </c>
      <c r="C15" s="41" t="s">
        <v>40</v>
      </c>
      <c r="D15" s="42"/>
      <c r="E15" s="180">
        <f>IF($D$12=1,$D$15,"")</f>
        <v>0</v>
      </c>
      <c r="G15" s="37"/>
    </row>
    <row r="16" spans="1:9" x14ac:dyDescent="0.2">
      <c r="H16" s="38"/>
      <c r="I16" s="10"/>
    </row>
    <row r="17" spans="1:9" ht="20.25" customHeight="1" x14ac:dyDescent="0.2">
      <c r="B17" s="284" t="s">
        <v>835</v>
      </c>
      <c r="C17" s="285" t="s">
        <v>42</v>
      </c>
      <c r="D17" s="286" t="s">
        <v>836</v>
      </c>
      <c r="E17" s="286"/>
      <c r="F17" s="286"/>
      <c r="G17" s="287"/>
      <c r="H17" s="288" t="s">
        <v>837</v>
      </c>
      <c r="I17" s="289"/>
    </row>
    <row r="18" spans="1:9" ht="31.5" customHeight="1" x14ac:dyDescent="0.2">
      <c r="B18" s="284"/>
      <c r="C18" s="285"/>
      <c r="D18" s="5" t="s">
        <v>838</v>
      </c>
      <c r="E18" s="39" t="s">
        <v>839</v>
      </c>
      <c r="F18" s="292" t="s">
        <v>840</v>
      </c>
      <c r="G18" s="288"/>
      <c r="H18" s="290"/>
      <c r="I18" s="291"/>
    </row>
    <row r="19" spans="1:9" ht="21.75" customHeight="1" x14ac:dyDescent="0.2">
      <c r="A19" s="25">
        <v>11</v>
      </c>
      <c r="B19" s="284"/>
      <c r="C19" s="285"/>
      <c r="D19" s="152"/>
      <c r="E19" s="176"/>
      <c r="F19" s="293"/>
      <c r="G19" s="294"/>
      <c r="H19" s="295"/>
      <c r="I19" s="296"/>
    </row>
    <row r="20" spans="1:9" ht="13.5" customHeight="1" x14ac:dyDescent="0.2"/>
    <row r="21" spans="1:9" ht="25.5" customHeight="1" x14ac:dyDescent="0.2">
      <c r="A21" s="33"/>
      <c r="B21" s="24" t="s">
        <v>909</v>
      </c>
      <c r="C21" s="29" t="s">
        <v>44</v>
      </c>
      <c r="D21" s="177"/>
      <c r="E21" s="36" t="s">
        <v>910</v>
      </c>
      <c r="F21" s="36"/>
      <c r="G21" s="36"/>
      <c r="H21" s="36"/>
      <c r="I21" s="36"/>
    </row>
  </sheetData>
  <sheetProtection algorithmName="SHA-512" hashValue="JNHOfx6D5PGcgnVZ8hJdRmbqE2iv8AVz3zxApaMpvkhE8MlCv5aibb1b2yB19Fx6QdttjLzzFeJ/b54aHFi5ug==" saltValue="2NHfAD7X8xpjVUCdgOe+og==" spinCount="100000" sheet="1" objects="1" scenarios="1" selectLockedCells="1"/>
  <mergeCells count="12">
    <mergeCell ref="B1:I1"/>
    <mergeCell ref="B2:B3"/>
    <mergeCell ref="C2:C3"/>
    <mergeCell ref="D2:D3"/>
    <mergeCell ref="E2:I2"/>
    <mergeCell ref="B17:B19"/>
    <mergeCell ref="C17:C19"/>
    <mergeCell ref="D17:G17"/>
    <mergeCell ref="H17:I18"/>
    <mergeCell ref="F18:G18"/>
    <mergeCell ref="F19:G19"/>
    <mergeCell ref="H19:I19"/>
  </mergeCells>
  <conditionalFormatting sqref="D15 D19:I19 D21">
    <cfRule type="expression" dxfId="160" priority="4">
      <formula>_xlfn.ISFORMULA(D15)</formula>
    </cfRule>
    <cfRule type="expression" dxfId="159" priority="6">
      <formula>ISTEXT(D15)</formula>
    </cfRule>
  </conditionalFormatting>
  <conditionalFormatting sqref="D15">
    <cfRule type="expression" dxfId="158" priority="10">
      <formula>OR(LEN($D$15)&lt;&gt;13,ISTEXT($D$15))</formula>
    </cfRule>
  </conditionalFormatting>
  <conditionalFormatting sqref="D21">
    <cfRule type="expression" dxfId="157" priority="3">
      <formula>D21&gt;1</formula>
    </cfRule>
    <cfRule type="expression" dxfId="156" priority="8">
      <formula>OR(ISBLANK($D$21),AND(NOT($D$21=0),NOT($D$21=1)))</formula>
    </cfRule>
  </conditionalFormatting>
  <conditionalFormatting sqref="D19:I19">
    <cfRule type="expression" dxfId="155" priority="1">
      <formula>AND($D$12=0,$D$13=1,SUM($D$19:$H$19)&gt;0)</formula>
    </cfRule>
    <cfRule type="expression" dxfId="154" priority="2">
      <formula>SUM($D$19:$H$19)&gt;1</formula>
    </cfRule>
    <cfRule type="expression" dxfId="153" priority="9">
      <formula>AND($D$12=1,SUM($D$19:$H$19)=0)</formula>
    </cfRule>
  </conditionalFormatting>
  <conditionalFormatting sqref="E5:I11">
    <cfRule type="expression" dxfId="152" priority="5">
      <formula>_xlfn.ISFORMULA(E5)</formula>
    </cfRule>
    <cfRule type="expression" dxfId="151" priority="7">
      <formula>ISTEXT(E5)</formula>
    </cfRule>
    <cfRule type="expression" dxfId="150" priority="11">
      <formula>NOT(MOD(SUM(E5),1)=0)</formula>
    </cfRule>
    <cfRule type="expression" dxfId="149" priority="16">
      <formula>OR(AND(SUM($D$5:$D$6)&gt;0,SUM($D$7:$D$8)&gt;0),AND(SUM($D$5:$D$6)&gt;0,SUM($D$9:$D$11)&gt;0),AND(SUM($D$7:$D$8)&gt;0,SUM($D$9:$D$11)&gt;0))</formula>
    </cfRule>
    <cfRule type="expression" dxfId="148" priority="17">
      <formula>AND($D$12=0,$D$13&gt;1)</formula>
    </cfRule>
    <cfRule type="expression" dxfId="147" priority="18">
      <formula>AND($D$12&gt;1)</formula>
    </cfRule>
  </conditionalFormatting>
  <conditionalFormatting sqref="E11:I11">
    <cfRule type="expression" dxfId="146" priority="12">
      <formula>OR(AND(E11=1,E9=0),$D$11&gt;1)</formula>
    </cfRule>
  </conditionalFormatting>
  <conditionalFormatting sqref="F6 F8 F10">
    <cfRule type="expression" dxfId="145" priority="14">
      <formula>AND($F$13&gt;0,$E$12&gt;0)</formula>
    </cfRule>
  </conditionalFormatting>
  <conditionalFormatting sqref="G6:H11">
    <cfRule type="expression" dxfId="144" priority="15">
      <formula>SUM($G$6:$H$11)&gt;0</formula>
    </cfRule>
  </conditionalFormatting>
  <conditionalFormatting sqref="H5 E6:F6 I6">
    <cfRule type="expression" dxfId="143" priority="13">
      <formula>AND($H$5=1,SUM($E$6:$F$6,$I$6)&gt;0)</formula>
    </cfRule>
  </conditionalFormatting>
  <pageMargins left="0.7" right="0.7" top="0.75" bottom="0.75" header="0.3" footer="0.3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4900-1477-4BC7-A018-B386E6473116}">
  <dimension ref="A1:AH323"/>
  <sheetViews>
    <sheetView tabSelected="1" topLeftCell="A5" zoomScaleNormal="100" workbookViewId="0">
      <pane xSplit="11" ySplit="6" topLeftCell="L291" activePane="bottomRight" state="frozen"/>
      <selection activeCell="H19" sqref="H19:I19"/>
      <selection pane="topRight" activeCell="H19" sqref="H19:I19"/>
      <selection pane="bottomLeft" activeCell="H19" sqref="H19:I19"/>
      <selection pane="bottomRight" activeCell="M296" sqref="M296"/>
    </sheetView>
  </sheetViews>
  <sheetFormatPr defaultColWidth="9.140625" defaultRowHeight="10.5" x14ac:dyDescent="0.15"/>
  <cols>
    <col min="1" max="1" width="4.140625" style="1" hidden="1" customWidth="1"/>
    <col min="2" max="2" width="12.42578125" style="11" hidden="1" customWidth="1"/>
    <col min="3" max="3" width="10.28515625" style="1" hidden="1" customWidth="1"/>
    <col min="4" max="4" width="8.140625" style="1" hidden="1" customWidth="1"/>
    <col min="5" max="5" width="8.5703125" style="1" hidden="1" customWidth="1"/>
    <col min="6" max="6" width="8.42578125" style="1" hidden="1" customWidth="1"/>
    <col min="7" max="7" width="30.42578125" style="10" bestFit="1" customWidth="1"/>
    <col min="8" max="8" width="7.42578125" style="11" customWidth="1"/>
    <col min="9" max="9" width="12.7109375" style="1" customWidth="1"/>
    <col min="10" max="10" width="10.42578125" style="1" customWidth="1"/>
    <col min="11" max="11" width="15.140625" style="1" customWidth="1"/>
    <col min="12" max="12" width="16.5703125" style="1" customWidth="1"/>
    <col min="13" max="16" width="12.85546875" style="1" customWidth="1"/>
    <col min="17" max="18" width="10.28515625" style="1" customWidth="1"/>
    <col min="19" max="19" width="9.85546875" style="1" customWidth="1"/>
    <col min="20" max="20" width="13.7109375" style="1" customWidth="1"/>
    <col min="21" max="21" width="11" style="1" customWidth="1"/>
    <col min="22" max="23" width="11.28515625" style="1" customWidth="1"/>
    <col min="24" max="24" width="15.28515625" style="1" customWidth="1"/>
    <col min="25" max="30" width="10.28515625" style="1" customWidth="1"/>
    <col min="31" max="32" width="12.42578125" style="1" customWidth="1"/>
    <col min="33" max="33" width="6.28515625" style="1" customWidth="1"/>
    <col min="34" max="34" width="9.140625" style="1" customWidth="1"/>
    <col min="35" max="16384" width="9.140625" style="1"/>
  </cols>
  <sheetData>
    <row r="1" spans="1:34" hidden="1" x14ac:dyDescent="0.15"/>
    <row r="2" spans="1:34" hidden="1" x14ac:dyDescent="0.15"/>
    <row r="3" spans="1:34" hidden="1" x14ac:dyDescent="0.15"/>
    <row r="4" spans="1:34" hidden="1" x14ac:dyDescent="0.15"/>
    <row r="5" spans="1:34" ht="14.25" customHeight="1" x14ac:dyDescent="0.15">
      <c r="G5" s="308" t="s">
        <v>0</v>
      </c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</row>
    <row r="6" spans="1:34" ht="15" customHeight="1" x14ac:dyDescent="0.15">
      <c r="G6" s="302" t="s">
        <v>1</v>
      </c>
      <c r="H6" s="309" t="s">
        <v>2</v>
      </c>
      <c r="I6" s="310" t="s">
        <v>3</v>
      </c>
      <c r="J6" s="310" t="s">
        <v>4</v>
      </c>
      <c r="K6" s="313" t="s">
        <v>5</v>
      </c>
      <c r="L6" s="314"/>
      <c r="M6" s="314"/>
      <c r="N6" s="314"/>
      <c r="O6" s="314"/>
      <c r="P6" s="314"/>
      <c r="Q6" s="314"/>
      <c r="R6" s="314"/>
      <c r="S6" s="314"/>
      <c r="T6" s="314"/>
      <c r="U6" s="314"/>
      <c r="V6" s="314"/>
      <c r="W6" s="314"/>
      <c r="X6" s="314"/>
      <c r="Y6" s="314"/>
      <c r="Z6" s="314"/>
      <c r="AA6" s="314"/>
      <c r="AB6" s="314"/>
      <c r="AC6" s="314"/>
      <c r="AD6" s="314"/>
      <c r="AE6" s="314"/>
      <c r="AF6" s="315"/>
      <c r="AG6" s="3"/>
    </row>
    <row r="7" spans="1:34" ht="13.5" customHeight="1" x14ac:dyDescent="0.15">
      <c r="G7" s="302"/>
      <c r="H7" s="309"/>
      <c r="I7" s="311"/>
      <c r="J7" s="311"/>
      <c r="K7" s="302" t="s">
        <v>6</v>
      </c>
      <c r="L7" s="305" t="s">
        <v>7</v>
      </c>
      <c r="M7" s="306"/>
      <c r="N7" s="306"/>
      <c r="O7" s="306"/>
      <c r="P7" s="306"/>
      <c r="Q7" s="306"/>
      <c r="R7" s="306"/>
      <c r="S7" s="306"/>
      <c r="T7" s="306"/>
      <c r="U7" s="306"/>
      <c r="V7" s="306"/>
      <c r="W7" s="306"/>
      <c r="X7" s="306"/>
      <c r="Y7" s="306"/>
      <c r="Z7" s="306"/>
      <c r="AA7" s="306"/>
      <c r="AB7" s="306"/>
      <c r="AC7" s="306"/>
      <c r="AD7" s="306"/>
      <c r="AE7" s="306"/>
      <c r="AF7" s="307"/>
    </row>
    <row r="8" spans="1:34" ht="42.75" customHeight="1" x14ac:dyDescent="0.15">
      <c r="G8" s="302"/>
      <c r="H8" s="309"/>
      <c r="I8" s="311"/>
      <c r="J8" s="311"/>
      <c r="K8" s="302"/>
      <c r="L8" s="302" t="s">
        <v>9</v>
      </c>
      <c r="M8" s="302" t="s">
        <v>10</v>
      </c>
      <c r="N8" s="302"/>
      <c r="O8" s="302"/>
      <c r="P8" s="302"/>
      <c r="Q8" s="302" t="s">
        <v>11</v>
      </c>
      <c r="R8" s="302"/>
      <c r="S8" s="303" t="s">
        <v>12</v>
      </c>
      <c r="T8" s="316"/>
      <c r="U8" s="316"/>
      <c r="V8" s="316"/>
      <c r="W8" s="304"/>
      <c r="X8" s="302" t="s">
        <v>13</v>
      </c>
      <c r="Y8" s="302" t="s">
        <v>624</v>
      </c>
      <c r="Z8" s="302"/>
      <c r="AA8" s="302"/>
      <c r="AB8" s="302" t="s">
        <v>625</v>
      </c>
      <c r="AC8" s="302"/>
      <c r="AD8" s="302"/>
      <c r="AE8" s="303" t="s">
        <v>8</v>
      </c>
      <c r="AF8" s="304"/>
      <c r="AH8" s="11"/>
    </row>
    <row r="9" spans="1:34" ht="51.75" customHeight="1" x14ac:dyDescent="0.15">
      <c r="A9" s="173" t="s">
        <v>889</v>
      </c>
      <c r="B9" s="179" t="s">
        <v>890</v>
      </c>
      <c r="C9" s="173" t="s">
        <v>891</v>
      </c>
      <c r="D9" s="173" t="s">
        <v>892</v>
      </c>
      <c r="E9" s="173" t="s">
        <v>894</v>
      </c>
      <c r="F9" s="173" t="s">
        <v>893</v>
      </c>
      <c r="G9" s="302"/>
      <c r="H9" s="309"/>
      <c r="I9" s="312"/>
      <c r="J9" s="312"/>
      <c r="K9" s="302"/>
      <c r="L9" s="302"/>
      <c r="M9" s="2" t="s">
        <v>16</v>
      </c>
      <c r="N9" s="2" t="s">
        <v>633</v>
      </c>
      <c r="O9" s="2" t="s">
        <v>18</v>
      </c>
      <c r="P9" s="2" t="s">
        <v>19</v>
      </c>
      <c r="Q9" s="2" t="s">
        <v>857</v>
      </c>
      <c r="R9" s="2" t="s">
        <v>20</v>
      </c>
      <c r="S9" s="2" t="s">
        <v>16</v>
      </c>
      <c r="T9" s="2" t="s">
        <v>17</v>
      </c>
      <c r="U9" s="2" t="s">
        <v>18</v>
      </c>
      <c r="V9" s="2" t="s">
        <v>19</v>
      </c>
      <c r="W9" s="2" t="s">
        <v>859</v>
      </c>
      <c r="X9" s="302"/>
      <c r="Y9" s="22" t="s">
        <v>765</v>
      </c>
      <c r="Z9" s="22" t="s">
        <v>858</v>
      </c>
      <c r="AA9" s="22" t="s">
        <v>20</v>
      </c>
      <c r="AB9" s="22" t="s">
        <v>765</v>
      </c>
      <c r="AC9" s="22" t="s">
        <v>911</v>
      </c>
      <c r="AD9" s="22" t="s">
        <v>20</v>
      </c>
      <c r="AE9" s="192" t="s">
        <v>14</v>
      </c>
      <c r="AF9" s="192" t="s">
        <v>15</v>
      </c>
    </row>
    <row r="10" spans="1:34" ht="11.25" thickBot="1" x14ac:dyDescent="0.2">
      <c r="A10" s="184">
        <f>'Раздел 0'!M27</f>
        <v>0</v>
      </c>
      <c r="B10" s="185">
        <f>'Раздел 1'!D15</f>
        <v>0</v>
      </c>
      <c r="C10" s="184" t="str" cm="1">
        <f t="array" ref="C10">_xlfn.IFS(SUM('Раздел 1'!$D$5:$D$6)&gt;0,"ФКиС",SUM('Раздел 1'!$D$7:$D$8)&gt;0,"Образование",SUM('Раздел 1'!$D$9:$D$10)&gt;0,"Другая")</f>
        <v>ФКиС</v>
      </c>
      <c r="D10" s="184" t="str" cm="1">
        <f t="array" ref="D10">_xlfn.IFS(SUM('Раздел 1'!$E$12)&gt;0,"СШ",SUM('Раздел 1'!$F$12)&gt;0,"СШОР",SUM('Раздел 1'!$G$12)&gt;0,"УОР",SUM('Раздел 1'!$H$12)&gt;0,"ЦСП",SUM('Раздел 1'!$I$12)&gt;0,"ДРУГИЕ",SUM('Раздел 1'!$E$13)&gt;0,"ОСП СШ",SUM('Раздел 1'!$F$13)&gt;0,"ОСП СШОР",SUM('Раздел 1'!$I$13)&gt;0,"ОСП ДРУГИЕ")</f>
        <v>ЦСП</v>
      </c>
      <c r="E10" s="184">
        <f>IF(SUM('Раздел 1'!$D$12)&gt;0,SUM('Раздел 1'!$D$13),"")</f>
        <v>0</v>
      </c>
      <c r="F10" s="184" t="e" cm="1">
        <f t="array" ref="F10">_xlfn.IFS(SUM('Раздел 1'!$D$19)&gt;0,"РФ",SUM('Раздел 1'!$E$19)&gt;0,"СУБЪЕКТ",SUM('Раздел 1'!$F$19:$G$19)&gt;0,"МУНИЦИПАЛ",SUM('Раздел 1'!$H$19:$I$19)&gt;0,"ИНЫЕ")</f>
        <v>#N/A</v>
      </c>
      <c r="G10" s="61">
        <v>1</v>
      </c>
      <c r="H10" s="62">
        <v>2</v>
      </c>
      <c r="I10" s="63">
        <v>3</v>
      </c>
      <c r="J10" s="63">
        <v>4</v>
      </c>
      <c r="K10" s="63">
        <v>5</v>
      </c>
      <c r="L10" s="63">
        <v>6</v>
      </c>
      <c r="M10" s="63">
        <v>7</v>
      </c>
      <c r="N10" s="63">
        <v>8</v>
      </c>
      <c r="O10" s="63">
        <v>9</v>
      </c>
      <c r="P10" s="63">
        <v>10</v>
      </c>
      <c r="Q10" s="64">
        <v>11</v>
      </c>
      <c r="R10" s="64">
        <v>12</v>
      </c>
      <c r="S10" s="64">
        <v>13</v>
      </c>
      <c r="T10" s="64">
        <v>14</v>
      </c>
      <c r="U10" s="64">
        <v>15</v>
      </c>
      <c r="V10" s="64">
        <v>16</v>
      </c>
      <c r="W10" s="64">
        <v>17</v>
      </c>
      <c r="X10" s="64">
        <v>18</v>
      </c>
      <c r="Y10" s="64">
        <v>19</v>
      </c>
      <c r="Z10" s="64">
        <v>20</v>
      </c>
      <c r="AA10" s="64">
        <v>21</v>
      </c>
      <c r="AB10" s="64">
        <v>22</v>
      </c>
      <c r="AC10" s="64">
        <v>23</v>
      </c>
      <c r="AD10" s="64">
        <v>24</v>
      </c>
      <c r="AE10" s="63">
        <v>25</v>
      </c>
      <c r="AF10" s="63">
        <v>26</v>
      </c>
      <c r="AG10" s="44">
        <v>27</v>
      </c>
    </row>
    <row r="11" spans="1:34" x14ac:dyDescent="0.15">
      <c r="G11" s="204" t="s">
        <v>21</v>
      </c>
      <c r="H11" s="53" t="s">
        <v>22</v>
      </c>
      <c r="I11" s="58">
        <v>1</v>
      </c>
      <c r="J11" s="59"/>
      <c r="K11" s="60">
        <f>L11+X11</f>
        <v>0</v>
      </c>
      <c r="L11" s="60">
        <f>SUM(M11:P11)</f>
        <v>0</v>
      </c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11">
        <f>SUM(I11:AF11)</f>
        <v>1</v>
      </c>
    </row>
    <row r="12" spans="1:34" x14ac:dyDescent="0.15">
      <c r="G12" s="205" t="s">
        <v>23</v>
      </c>
      <c r="H12" s="4" t="s">
        <v>24</v>
      </c>
      <c r="I12" s="6"/>
      <c r="J12" s="9"/>
      <c r="K12" s="46">
        <f t="shared" ref="K12:K75" si="0">L12+X12</f>
        <v>0</v>
      </c>
      <c r="L12" s="46">
        <f t="shared" ref="L12:L75" si="1">SUM(M12:P12)</f>
        <v>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11">
        <f t="shared" ref="AG12:AG75" si="2">SUM(I12:AF12)</f>
        <v>0</v>
      </c>
    </row>
    <row r="13" spans="1:34" x14ac:dyDescent="0.15">
      <c r="G13" s="205" t="s">
        <v>25</v>
      </c>
      <c r="H13" s="4" t="s">
        <v>26</v>
      </c>
      <c r="I13" s="6"/>
      <c r="J13" s="9"/>
      <c r="K13" s="46">
        <f t="shared" si="0"/>
        <v>0</v>
      </c>
      <c r="L13" s="46">
        <f t="shared" si="1"/>
        <v>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11">
        <f t="shared" si="2"/>
        <v>0</v>
      </c>
    </row>
    <row r="14" spans="1:34" x14ac:dyDescent="0.15">
      <c r="G14" s="205" t="s">
        <v>27</v>
      </c>
      <c r="H14" s="53" t="s">
        <v>28</v>
      </c>
      <c r="I14" s="6"/>
      <c r="J14" s="9"/>
      <c r="K14" s="46">
        <f t="shared" si="0"/>
        <v>0</v>
      </c>
      <c r="L14" s="46">
        <f t="shared" si="1"/>
        <v>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1">
        <f t="shared" si="2"/>
        <v>0</v>
      </c>
    </row>
    <row r="15" spans="1:34" x14ac:dyDescent="0.15">
      <c r="G15" s="205" t="s">
        <v>29</v>
      </c>
      <c r="H15" s="4" t="s">
        <v>30</v>
      </c>
      <c r="I15" s="6"/>
      <c r="J15" s="9"/>
      <c r="K15" s="46">
        <f t="shared" si="0"/>
        <v>0</v>
      </c>
      <c r="L15" s="46">
        <f t="shared" si="1"/>
        <v>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11">
        <f t="shared" si="2"/>
        <v>0</v>
      </c>
    </row>
    <row r="16" spans="1:34" x14ac:dyDescent="0.15">
      <c r="G16" s="205" t="s">
        <v>31</v>
      </c>
      <c r="H16" s="4" t="s">
        <v>32</v>
      </c>
      <c r="I16" s="8"/>
      <c r="J16" s="7"/>
      <c r="K16" s="46">
        <f t="shared" si="0"/>
        <v>0</v>
      </c>
      <c r="L16" s="46">
        <f t="shared" si="1"/>
        <v>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1">
        <f t="shared" si="2"/>
        <v>0</v>
      </c>
    </row>
    <row r="17" spans="7:33" x14ac:dyDescent="0.15">
      <c r="G17" s="205" t="s">
        <v>33</v>
      </c>
      <c r="H17" s="53" t="s">
        <v>34</v>
      </c>
      <c r="I17" s="45">
        <f>IF(SUM(I18:I19)&gt;=1,1,0)</f>
        <v>0</v>
      </c>
      <c r="J17" s="45"/>
      <c r="K17" s="46">
        <f t="shared" si="0"/>
        <v>0</v>
      </c>
      <c r="L17" s="46">
        <f t="shared" si="1"/>
        <v>0</v>
      </c>
      <c r="M17" s="46">
        <f>SUM(M18:M19)</f>
        <v>0</v>
      </c>
      <c r="N17" s="46">
        <f t="shared" ref="N17:AF17" si="3">SUM(N18:N19)</f>
        <v>0</v>
      </c>
      <c r="O17" s="46">
        <f t="shared" si="3"/>
        <v>0</v>
      </c>
      <c r="P17" s="46">
        <f t="shared" si="3"/>
        <v>0</v>
      </c>
      <c r="Q17" s="46">
        <f t="shared" si="3"/>
        <v>0</v>
      </c>
      <c r="R17" s="46">
        <f t="shared" si="3"/>
        <v>0</v>
      </c>
      <c r="S17" s="46">
        <f>SUM(S18:S19)</f>
        <v>0</v>
      </c>
      <c r="T17" s="46">
        <f t="shared" si="3"/>
        <v>0</v>
      </c>
      <c r="U17" s="46">
        <f>SUM(U18:U19)</f>
        <v>0</v>
      </c>
      <c r="V17" s="46">
        <f t="shared" si="3"/>
        <v>0</v>
      </c>
      <c r="W17" s="46">
        <f t="shared" si="3"/>
        <v>0</v>
      </c>
      <c r="X17" s="46">
        <f t="shared" si="3"/>
        <v>0</v>
      </c>
      <c r="Y17" s="46">
        <f t="shared" si="3"/>
        <v>0</v>
      </c>
      <c r="Z17" s="46">
        <f t="shared" si="3"/>
        <v>0</v>
      </c>
      <c r="AA17" s="46">
        <f t="shared" si="3"/>
        <v>0</v>
      </c>
      <c r="AB17" s="46">
        <f t="shared" si="3"/>
        <v>0</v>
      </c>
      <c r="AC17" s="46">
        <f t="shared" si="3"/>
        <v>0</v>
      </c>
      <c r="AD17" s="46">
        <f t="shared" si="3"/>
        <v>0</v>
      </c>
      <c r="AE17" s="46">
        <f t="shared" si="3"/>
        <v>0</v>
      </c>
      <c r="AF17" s="46">
        <f t="shared" si="3"/>
        <v>0</v>
      </c>
      <c r="AG17" s="11">
        <f t="shared" si="2"/>
        <v>0</v>
      </c>
    </row>
    <row r="18" spans="7:33" ht="21" x14ac:dyDescent="0.15">
      <c r="G18" s="206" t="s">
        <v>35</v>
      </c>
      <c r="H18" s="4" t="s">
        <v>36</v>
      </c>
      <c r="I18" s="8"/>
      <c r="J18" s="7"/>
      <c r="K18" s="46">
        <f t="shared" si="0"/>
        <v>0</v>
      </c>
      <c r="L18" s="46">
        <f t="shared" si="1"/>
        <v>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1">
        <f t="shared" si="2"/>
        <v>0</v>
      </c>
    </row>
    <row r="19" spans="7:33" ht="21" x14ac:dyDescent="0.15">
      <c r="G19" s="206" t="s">
        <v>37</v>
      </c>
      <c r="H19" s="4" t="s">
        <v>38</v>
      </c>
      <c r="I19" s="8"/>
      <c r="J19" s="7"/>
      <c r="K19" s="46">
        <f t="shared" si="0"/>
        <v>0</v>
      </c>
      <c r="L19" s="46">
        <f t="shared" si="1"/>
        <v>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1">
        <f t="shared" si="2"/>
        <v>0</v>
      </c>
    </row>
    <row r="20" spans="7:33" x14ac:dyDescent="0.15">
      <c r="G20" s="205" t="s">
        <v>39</v>
      </c>
      <c r="H20" s="53" t="s">
        <v>40</v>
      </c>
      <c r="I20" s="6"/>
      <c r="J20" s="9"/>
      <c r="K20" s="46">
        <f t="shared" si="0"/>
        <v>0</v>
      </c>
      <c r="L20" s="46">
        <f t="shared" si="1"/>
        <v>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1">
        <f t="shared" si="2"/>
        <v>0</v>
      </c>
    </row>
    <row r="21" spans="7:33" x14ac:dyDescent="0.15">
      <c r="G21" s="205" t="s">
        <v>41</v>
      </c>
      <c r="H21" s="4" t="s">
        <v>42</v>
      </c>
      <c r="I21" s="6"/>
      <c r="J21" s="9"/>
      <c r="K21" s="46">
        <f t="shared" si="0"/>
        <v>0</v>
      </c>
      <c r="L21" s="46">
        <f t="shared" si="1"/>
        <v>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11">
        <f t="shared" si="2"/>
        <v>0</v>
      </c>
    </row>
    <row r="22" spans="7:33" x14ac:dyDescent="0.15">
      <c r="G22" s="205" t="s">
        <v>43</v>
      </c>
      <c r="H22" s="4" t="s">
        <v>44</v>
      </c>
      <c r="I22" s="6"/>
      <c r="J22" s="9"/>
      <c r="K22" s="46">
        <f t="shared" si="0"/>
        <v>0</v>
      </c>
      <c r="L22" s="46">
        <f t="shared" si="1"/>
        <v>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11">
        <f t="shared" si="2"/>
        <v>0</v>
      </c>
    </row>
    <row r="23" spans="7:33" ht="21" x14ac:dyDescent="0.15">
      <c r="G23" s="205" t="s">
        <v>45</v>
      </c>
      <c r="H23" s="53" t="s">
        <v>46</v>
      </c>
      <c r="I23" s="6"/>
      <c r="J23" s="9"/>
      <c r="K23" s="46">
        <f t="shared" si="0"/>
        <v>0</v>
      </c>
      <c r="L23" s="46">
        <f t="shared" si="1"/>
        <v>0</v>
      </c>
      <c r="M23" s="8"/>
      <c r="N23" s="8"/>
      <c r="O23" s="150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11">
        <f t="shared" si="2"/>
        <v>0</v>
      </c>
    </row>
    <row r="24" spans="7:33" x14ac:dyDescent="0.15">
      <c r="G24" s="205" t="s">
        <v>47</v>
      </c>
      <c r="H24" s="4" t="s">
        <v>48</v>
      </c>
      <c r="I24" s="6"/>
      <c r="J24" s="9"/>
      <c r="K24" s="46">
        <f t="shared" si="0"/>
        <v>0</v>
      </c>
      <c r="L24" s="46">
        <f t="shared" si="1"/>
        <v>0</v>
      </c>
      <c r="M24" s="8"/>
      <c r="N24" s="8"/>
      <c r="O24" s="8"/>
      <c r="P24" s="8"/>
      <c r="Q24" s="8"/>
      <c r="R24" s="8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11">
        <f t="shared" si="2"/>
        <v>0</v>
      </c>
    </row>
    <row r="25" spans="7:33" x14ac:dyDescent="0.15">
      <c r="G25" s="205" t="s">
        <v>49</v>
      </c>
      <c r="H25" s="4" t="s">
        <v>50</v>
      </c>
      <c r="I25" s="6"/>
      <c r="J25" s="9"/>
      <c r="K25" s="46">
        <f t="shared" si="0"/>
        <v>0</v>
      </c>
      <c r="L25" s="46">
        <f t="shared" si="1"/>
        <v>0</v>
      </c>
      <c r="M25" s="8"/>
      <c r="N25" s="8"/>
      <c r="O25" s="8"/>
      <c r="P25" s="8"/>
      <c r="Q25" s="8"/>
      <c r="R25" s="8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11">
        <f t="shared" si="2"/>
        <v>0</v>
      </c>
    </row>
    <row r="26" spans="7:33" x14ac:dyDescent="0.15">
      <c r="G26" s="205" t="s">
        <v>51</v>
      </c>
      <c r="H26" s="53" t="s">
        <v>52</v>
      </c>
      <c r="I26" s="46">
        <f>IF(SUM(I27:I30)&gt;=1,1,0)</f>
        <v>0</v>
      </c>
      <c r="J26" s="46"/>
      <c r="K26" s="46">
        <f t="shared" si="0"/>
        <v>0</v>
      </c>
      <c r="L26" s="46">
        <f t="shared" si="1"/>
        <v>0</v>
      </c>
      <c r="M26" s="46">
        <f>SUM(M27:M30)</f>
        <v>0</v>
      </c>
      <c r="N26" s="46">
        <f t="shared" ref="N26:AF26" si="4">SUM(N27:N30)</f>
        <v>0</v>
      </c>
      <c r="O26" s="46">
        <f t="shared" si="4"/>
        <v>0</v>
      </c>
      <c r="P26" s="46">
        <f t="shared" si="4"/>
        <v>0</v>
      </c>
      <c r="Q26" s="46">
        <f t="shared" si="4"/>
        <v>0</v>
      </c>
      <c r="R26" s="46">
        <f t="shared" si="4"/>
        <v>0</v>
      </c>
      <c r="S26" s="46">
        <f t="shared" si="4"/>
        <v>0</v>
      </c>
      <c r="T26" s="46">
        <f t="shared" si="4"/>
        <v>0</v>
      </c>
      <c r="U26" s="46">
        <f t="shared" si="4"/>
        <v>0</v>
      </c>
      <c r="V26" s="46">
        <f t="shared" si="4"/>
        <v>0</v>
      </c>
      <c r="W26" s="46">
        <f t="shared" si="4"/>
        <v>0</v>
      </c>
      <c r="X26" s="46">
        <f t="shared" si="4"/>
        <v>0</v>
      </c>
      <c r="Y26" s="46">
        <f t="shared" si="4"/>
        <v>0</v>
      </c>
      <c r="Z26" s="46">
        <f t="shared" si="4"/>
        <v>0</v>
      </c>
      <c r="AA26" s="46">
        <f t="shared" si="4"/>
        <v>0</v>
      </c>
      <c r="AB26" s="46">
        <f t="shared" si="4"/>
        <v>0</v>
      </c>
      <c r="AC26" s="46">
        <f t="shared" si="4"/>
        <v>0</v>
      </c>
      <c r="AD26" s="46">
        <f t="shared" si="4"/>
        <v>0</v>
      </c>
      <c r="AE26" s="46">
        <f t="shared" si="4"/>
        <v>0</v>
      </c>
      <c r="AF26" s="46">
        <f t="shared" si="4"/>
        <v>0</v>
      </c>
      <c r="AG26" s="11">
        <f t="shared" si="2"/>
        <v>0</v>
      </c>
    </row>
    <row r="27" spans="7:33" ht="21" x14ac:dyDescent="0.15">
      <c r="G27" s="206" t="s">
        <v>865</v>
      </c>
      <c r="H27" s="4" t="s">
        <v>53</v>
      </c>
      <c r="I27" s="6"/>
      <c r="J27" s="9"/>
      <c r="K27" s="46">
        <f t="shared" si="0"/>
        <v>0</v>
      </c>
      <c r="L27" s="46">
        <f t="shared" si="1"/>
        <v>0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11">
        <f t="shared" si="2"/>
        <v>0</v>
      </c>
    </row>
    <row r="28" spans="7:33" x14ac:dyDescent="0.15">
      <c r="G28" s="206" t="s">
        <v>54</v>
      </c>
      <c r="H28" s="4" t="s">
        <v>55</v>
      </c>
      <c r="I28" s="6"/>
      <c r="J28" s="9"/>
      <c r="K28" s="46">
        <f t="shared" si="0"/>
        <v>0</v>
      </c>
      <c r="L28" s="46">
        <f t="shared" si="1"/>
        <v>0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11">
        <f t="shared" si="2"/>
        <v>0</v>
      </c>
    </row>
    <row r="29" spans="7:33" x14ac:dyDescent="0.15">
      <c r="G29" s="206" t="s">
        <v>56</v>
      </c>
      <c r="H29" s="53" t="s">
        <v>57</v>
      </c>
      <c r="I29" s="6"/>
      <c r="J29" s="9"/>
      <c r="K29" s="46">
        <f t="shared" si="0"/>
        <v>0</v>
      </c>
      <c r="L29" s="46">
        <f t="shared" si="1"/>
        <v>0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11">
        <f t="shared" si="2"/>
        <v>0</v>
      </c>
    </row>
    <row r="30" spans="7:33" ht="21" x14ac:dyDescent="0.15">
      <c r="G30" s="206" t="s">
        <v>58</v>
      </c>
      <c r="H30" s="4" t="s">
        <v>59</v>
      </c>
      <c r="I30" s="6"/>
      <c r="J30" s="9"/>
      <c r="K30" s="46">
        <f t="shared" si="0"/>
        <v>0</v>
      </c>
      <c r="L30" s="46">
        <f t="shared" si="1"/>
        <v>0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11">
        <f t="shared" si="2"/>
        <v>0</v>
      </c>
    </row>
    <row r="31" spans="7:33" x14ac:dyDescent="0.15">
      <c r="G31" s="205" t="s">
        <v>60</v>
      </c>
      <c r="H31" s="4" t="s">
        <v>61</v>
      </c>
      <c r="I31" s="6"/>
      <c r="J31" s="9"/>
      <c r="K31" s="46">
        <f t="shared" si="0"/>
        <v>0</v>
      </c>
      <c r="L31" s="46">
        <f t="shared" si="1"/>
        <v>0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11">
        <f t="shared" si="2"/>
        <v>0</v>
      </c>
    </row>
    <row r="32" spans="7:33" x14ac:dyDescent="0.15">
      <c r="G32" s="205" t="s">
        <v>62</v>
      </c>
      <c r="H32" s="53" t="s">
        <v>63</v>
      </c>
      <c r="I32" s="6"/>
      <c r="J32" s="9"/>
      <c r="K32" s="46">
        <f t="shared" si="0"/>
        <v>0</v>
      </c>
      <c r="L32" s="46">
        <f t="shared" si="1"/>
        <v>0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11">
        <f t="shared" si="2"/>
        <v>0</v>
      </c>
    </row>
    <row r="33" spans="7:33" x14ac:dyDescent="0.15">
      <c r="G33" s="205" t="s">
        <v>64</v>
      </c>
      <c r="H33" s="4" t="s">
        <v>65</v>
      </c>
      <c r="I33" s="6"/>
      <c r="J33" s="9"/>
      <c r="K33" s="46">
        <f t="shared" si="0"/>
        <v>0</v>
      </c>
      <c r="L33" s="46">
        <f t="shared" si="1"/>
        <v>0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11">
        <f t="shared" si="2"/>
        <v>0</v>
      </c>
    </row>
    <row r="34" spans="7:33" x14ac:dyDescent="0.15">
      <c r="G34" s="205" t="s">
        <v>66</v>
      </c>
      <c r="H34" s="4" t="s">
        <v>67</v>
      </c>
      <c r="I34" s="46">
        <f>IF(SUM(I35:I38)&gt;=1,1,0)</f>
        <v>0</v>
      </c>
      <c r="J34" s="46"/>
      <c r="K34" s="46">
        <f t="shared" si="0"/>
        <v>0</v>
      </c>
      <c r="L34" s="46">
        <f t="shared" si="1"/>
        <v>0</v>
      </c>
      <c r="M34" s="46">
        <f>SUM(M35:M38)</f>
        <v>0</v>
      </c>
      <c r="N34" s="46">
        <f t="shared" ref="N34:AF34" si="5">SUM(N35:N38)</f>
        <v>0</v>
      </c>
      <c r="O34" s="46">
        <f t="shared" si="5"/>
        <v>0</v>
      </c>
      <c r="P34" s="46">
        <f t="shared" si="5"/>
        <v>0</v>
      </c>
      <c r="Q34" s="46">
        <f t="shared" si="5"/>
        <v>0</v>
      </c>
      <c r="R34" s="46">
        <f t="shared" si="5"/>
        <v>0</v>
      </c>
      <c r="S34" s="46">
        <f t="shared" si="5"/>
        <v>0</v>
      </c>
      <c r="T34" s="46">
        <f t="shared" si="5"/>
        <v>0</v>
      </c>
      <c r="U34" s="46">
        <f t="shared" si="5"/>
        <v>0</v>
      </c>
      <c r="V34" s="46">
        <f t="shared" si="5"/>
        <v>0</v>
      </c>
      <c r="W34" s="46">
        <f t="shared" si="5"/>
        <v>0</v>
      </c>
      <c r="X34" s="46">
        <f t="shared" si="5"/>
        <v>0</v>
      </c>
      <c r="Y34" s="46">
        <f t="shared" si="5"/>
        <v>0</v>
      </c>
      <c r="Z34" s="46">
        <f t="shared" si="5"/>
        <v>0</v>
      </c>
      <c r="AA34" s="46">
        <f t="shared" si="5"/>
        <v>0</v>
      </c>
      <c r="AB34" s="46">
        <f t="shared" si="5"/>
        <v>0</v>
      </c>
      <c r="AC34" s="46">
        <f t="shared" si="5"/>
        <v>0</v>
      </c>
      <c r="AD34" s="46">
        <f t="shared" si="5"/>
        <v>0</v>
      </c>
      <c r="AE34" s="46">
        <f t="shared" si="5"/>
        <v>0</v>
      </c>
      <c r="AF34" s="46">
        <f t="shared" si="5"/>
        <v>0</v>
      </c>
      <c r="AG34" s="11">
        <f t="shared" si="2"/>
        <v>0</v>
      </c>
    </row>
    <row r="35" spans="7:33" ht="21" x14ac:dyDescent="0.15">
      <c r="G35" s="206" t="s">
        <v>68</v>
      </c>
      <c r="H35" s="53" t="s">
        <v>69</v>
      </c>
      <c r="I35" s="8"/>
      <c r="J35" s="7"/>
      <c r="K35" s="46">
        <f t="shared" si="0"/>
        <v>0</v>
      </c>
      <c r="L35" s="46">
        <f t="shared" si="1"/>
        <v>0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11">
        <f t="shared" si="2"/>
        <v>0</v>
      </c>
    </row>
    <row r="36" spans="7:33" x14ac:dyDescent="0.15">
      <c r="G36" s="206" t="s">
        <v>70</v>
      </c>
      <c r="H36" s="4" t="s">
        <v>71</v>
      </c>
      <c r="I36" s="6"/>
      <c r="J36" s="9"/>
      <c r="K36" s="46">
        <f t="shared" si="0"/>
        <v>0</v>
      </c>
      <c r="L36" s="46">
        <f t="shared" si="1"/>
        <v>0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11">
        <f t="shared" si="2"/>
        <v>0</v>
      </c>
    </row>
    <row r="37" spans="7:33" x14ac:dyDescent="0.15">
      <c r="G37" s="206" t="s">
        <v>72</v>
      </c>
      <c r="H37" s="4" t="s">
        <v>73</v>
      </c>
      <c r="I37" s="6"/>
      <c r="J37" s="9"/>
      <c r="K37" s="46">
        <f t="shared" si="0"/>
        <v>0</v>
      </c>
      <c r="L37" s="46">
        <f t="shared" si="1"/>
        <v>0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11">
        <f t="shared" si="2"/>
        <v>0</v>
      </c>
    </row>
    <row r="38" spans="7:33" ht="21" x14ac:dyDescent="0.15">
      <c r="G38" s="206" t="s">
        <v>74</v>
      </c>
      <c r="H38" s="53" t="s">
        <v>75</v>
      </c>
      <c r="I38" s="6"/>
      <c r="J38" s="9"/>
      <c r="K38" s="46">
        <f t="shared" si="0"/>
        <v>0</v>
      </c>
      <c r="L38" s="46">
        <f t="shared" si="1"/>
        <v>0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11">
        <f t="shared" si="2"/>
        <v>0</v>
      </c>
    </row>
    <row r="39" spans="7:33" x14ac:dyDescent="0.15">
      <c r="G39" s="205" t="s">
        <v>76</v>
      </c>
      <c r="H39" s="4" t="s">
        <v>77</v>
      </c>
      <c r="I39" s="6"/>
      <c r="J39" s="9"/>
      <c r="K39" s="46">
        <f t="shared" si="0"/>
        <v>0</v>
      </c>
      <c r="L39" s="46">
        <f t="shared" si="1"/>
        <v>0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11">
        <f t="shared" si="2"/>
        <v>0</v>
      </c>
    </row>
    <row r="40" spans="7:33" x14ac:dyDescent="0.15">
      <c r="G40" s="205" t="s">
        <v>78</v>
      </c>
      <c r="H40" s="4" t="s">
        <v>79</v>
      </c>
      <c r="I40" s="6"/>
      <c r="J40" s="9"/>
      <c r="K40" s="46">
        <f t="shared" si="0"/>
        <v>0</v>
      </c>
      <c r="L40" s="46">
        <f t="shared" si="1"/>
        <v>0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11">
        <f t="shared" si="2"/>
        <v>0</v>
      </c>
    </row>
    <row r="41" spans="7:33" x14ac:dyDescent="0.15">
      <c r="G41" s="205" t="s">
        <v>80</v>
      </c>
      <c r="H41" s="53" t="s">
        <v>81</v>
      </c>
      <c r="I41" s="6"/>
      <c r="J41" s="9"/>
      <c r="K41" s="46">
        <f t="shared" si="0"/>
        <v>0</v>
      </c>
      <c r="L41" s="46">
        <f t="shared" si="1"/>
        <v>0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11">
        <f t="shared" si="2"/>
        <v>0</v>
      </c>
    </row>
    <row r="42" spans="7:33" x14ac:dyDescent="0.15">
      <c r="G42" s="205" t="s">
        <v>82</v>
      </c>
      <c r="H42" s="4" t="s">
        <v>83</v>
      </c>
      <c r="I42" s="6"/>
      <c r="J42" s="9"/>
      <c r="K42" s="46">
        <f t="shared" si="0"/>
        <v>0</v>
      </c>
      <c r="L42" s="46">
        <f t="shared" si="1"/>
        <v>0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11">
        <f t="shared" si="2"/>
        <v>0</v>
      </c>
    </row>
    <row r="43" spans="7:33" x14ac:dyDescent="0.15">
      <c r="G43" s="205" t="s">
        <v>84</v>
      </c>
      <c r="H43" s="4" t="s">
        <v>85</v>
      </c>
      <c r="I43" s="6"/>
      <c r="J43" s="9"/>
      <c r="K43" s="46">
        <f t="shared" si="0"/>
        <v>0</v>
      </c>
      <c r="L43" s="46">
        <f t="shared" si="1"/>
        <v>0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11">
        <f t="shared" si="2"/>
        <v>0</v>
      </c>
    </row>
    <row r="44" spans="7:33" x14ac:dyDescent="0.15">
      <c r="G44" s="205" t="s">
        <v>86</v>
      </c>
      <c r="H44" s="53" t="s">
        <v>87</v>
      </c>
      <c r="I44" s="6"/>
      <c r="J44" s="9"/>
      <c r="K44" s="46">
        <f t="shared" si="0"/>
        <v>0</v>
      </c>
      <c r="L44" s="46">
        <f t="shared" si="1"/>
        <v>0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11">
        <f t="shared" si="2"/>
        <v>0</v>
      </c>
    </row>
    <row r="45" spans="7:33" x14ac:dyDescent="0.15">
      <c r="G45" s="205" t="s">
        <v>88</v>
      </c>
      <c r="H45" s="4" t="s">
        <v>89</v>
      </c>
      <c r="I45" s="46">
        <f>IF(SUM(I46:I51)&gt;=1,1,0)</f>
        <v>0</v>
      </c>
      <c r="J45" s="46"/>
      <c r="K45" s="46">
        <f t="shared" si="0"/>
        <v>0</v>
      </c>
      <c r="L45" s="46">
        <f t="shared" si="1"/>
        <v>0</v>
      </c>
      <c r="M45" s="46">
        <f>SUM(M46:M51)</f>
        <v>0</v>
      </c>
      <c r="N45" s="46">
        <f t="shared" ref="N45:AF45" si="6">SUM(N46:N51)</f>
        <v>0</v>
      </c>
      <c r="O45" s="46">
        <f t="shared" si="6"/>
        <v>0</v>
      </c>
      <c r="P45" s="46">
        <f t="shared" si="6"/>
        <v>0</v>
      </c>
      <c r="Q45" s="46">
        <f t="shared" si="6"/>
        <v>0</v>
      </c>
      <c r="R45" s="46">
        <f t="shared" si="6"/>
        <v>0</v>
      </c>
      <c r="S45" s="46">
        <f t="shared" si="6"/>
        <v>0</v>
      </c>
      <c r="T45" s="46">
        <f t="shared" si="6"/>
        <v>0</v>
      </c>
      <c r="U45" s="46">
        <f t="shared" si="6"/>
        <v>0</v>
      </c>
      <c r="V45" s="46">
        <f t="shared" si="6"/>
        <v>0</v>
      </c>
      <c r="W45" s="46">
        <f t="shared" si="6"/>
        <v>0</v>
      </c>
      <c r="X45" s="46">
        <f t="shared" si="6"/>
        <v>0</v>
      </c>
      <c r="Y45" s="46">
        <f t="shared" si="6"/>
        <v>0</v>
      </c>
      <c r="Z45" s="46">
        <f t="shared" si="6"/>
        <v>0</v>
      </c>
      <c r="AA45" s="46">
        <f t="shared" si="6"/>
        <v>0</v>
      </c>
      <c r="AB45" s="46">
        <f t="shared" si="6"/>
        <v>0</v>
      </c>
      <c r="AC45" s="46">
        <f t="shared" si="6"/>
        <v>0</v>
      </c>
      <c r="AD45" s="46">
        <f t="shared" si="6"/>
        <v>0</v>
      </c>
      <c r="AE45" s="46">
        <f t="shared" si="6"/>
        <v>0</v>
      </c>
      <c r="AF45" s="46">
        <f t="shared" si="6"/>
        <v>0</v>
      </c>
      <c r="AG45" s="11">
        <f t="shared" si="2"/>
        <v>0</v>
      </c>
    </row>
    <row r="46" spans="7:33" ht="21" x14ac:dyDescent="0.15">
      <c r="G46" s="206" t="s">
        <v>90</v>
      </c>
      <c r="H46" s="4" t="s">
        <v>91</v>
      </c>
      <c r="I46" s="6"/>
      <c r="J46" s="9"/>
      <c r="K46" s="46">
        <f t="shared" si="0"/>
        <v>0</v>
      </c>
      <c r="L46" s="46">
        <f t="shared" si="1"/>
        <v>0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11">
        <f t="shared" si="2"/>
        <v>0</v>
      </c>
    </row>
    <row r="47" spans="7:33" x14ac:dyDescent="0.15">
      <c r="G47" s="206" t="s">
        <v>92</v>
      </c>
      <c r="H47" s="53" t="s">
        <v>93</v>
      </c>
      <c r="I47" s="6"/>
      <c r="J47" s="9"/>
      <c r="K47" s="46">
        <f t="shared" si="0"/>
        <v>0</v>
      </c>
      <c r="L47" s="46">
        <f t="shared" si="1"/>
        <v>0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11">
        <f t="shared" si="2"/>
        <v>0</v>
      </c>
    </row>
    <row r="48" spans="7:33" x14ac:dyDescent="0.15">
      <c r="G48" s="206" t="s">
        <v>94</v>
      </c>
      <c r="H48" s="4" t="s">
        <v>95</v>
      </c>
      <c r="I48" s="6"/>
      <c r="J48" s="9"/>
      <c r="K48" s="46">
        <f t="shared" si="0"/>
        <v>0</v>
      </c>
      <c r="L48" s="46">
        <f t="shared" si="1"/>
        <v>0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11">
        <f t="shared" si="2"/>
        <v>0</v>
      </c>
    </row>
    <row r="49" spans="7:33" x14ac:dyDescent="0.15">
      <c r="G49" s="206" t="s">
        <v>96</v>
      </c>
      <c r="H49" s="4" t="s">
        <v>97</v>
      </c>
      <c r="I49" s="6"/>
      <c r="J49" s="9"/>
      <c r="K49" s="46">
        <f t="shared" si="0"/>
        <v>0</v>
      </c>
      <c r="L49" s="46">
        <f t="shared" si="1"/>
        <v>0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11">
        <f t="shared" si="2"/>
        <v>0</v>
      </c>
    </row>
    <row r="50" spans="7:33" x14ac:dyDescent="0.15">
      <c r="G50" s="206" t="s">
        <v>98</v>
      </c>
      <c r="H50" s="53" t="s">
        <v>99</v>
      </c>
      <c r="I50" s="6"/>
      <c r="J50" s="9"/>
      <c r="K50" s="46">
        <f t="shared" si="0"/>
        <v>0</v>
      </c>
      <c r="L50" s="46">
        <f t="shared" si="1"/>
        <v>0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11">
        <f t="shared" si="2"/>
        <v>0</v>
      </c>
    </row>
    <row r="51" spans="7:33" ht="9" customHeight="1" x14ac:dyDescent="0.15">
      <c r="G51" s="206" t="s">
        <v>100</v>
      </c>
      <c r="H51" s="4" t="s">
        <v>101</v>
      </c>
      <c r="I51" s="6"/>
      <c r="J51" s="9"/>
      <c r="K51" s="46">
        <f t="shared" si="0"/>
        <v>0</v>
      </c>
      <c r="L51" s="46">
        <f t="shared" si="1"/>
        <v>0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11">
        <f t="shared" si="2"/>
        <v>0</v>
      </c>
    </row>
    <row r="52" spans="7:33" x14ac:dyDescent="0.15">
      <c r="G52" s="205" t="s">
        <v>102</v>
      </c>
      <c r="H52" s="4" t="s">
        <v>638</v>
      </c>
      <c r="I52" s="6"/>
      <c r="J52" s="9"/>
      <c r="K52" s="46">
        <f t="shared" si="0"/>
        <v>0</v>
      </c>
      <c r="L52" s="46">
        <f t="shared" si="1"/>
        <v>0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11">
        <f t="shared" si="2"/>
        <v>0</v>
      </c>
    </row>
    <row r="53" spans="7:33" x14ac:dyDescent="0.15">
      <c r="G53" s="205" t="s">
        <v>103</v>
      </c>
      <c r="H53" s="53" t="s">
        <v>104</v>
      </c>
      <c r="I53" s="46">
        <f>IF(SUM(I54:I55)&gt;=1,1,0)</f>
        <v>0</v>
      </c>
      <c r="J53" s="46"/>
      <c r="K53" s="46">
        <f t="shared" si="0"/>
        <v>0</v>
      </c>
      <c r="L53" s="46">
        <f t="shared" si="1"/>
        <v>0</v>
      </c>
      <c r="M53" s="46">
        <f>SUM(M54:M55)</f>
        <v>0</v>
      </c>
      <c r="N53" s="46">
        <f t="shared" ref="N53:AF53" si="7">SUM(N54:N55)</f>
        <v>0</v>
      </c>
      <c r="O53" s="46">
        <f t="shared" si="7"/>
        <v>0</v>
      </c>
      <c r="P53" s="46">
        <f t="shared" si="7"/>
        <v>0</v>
      </c>
      <c r="Q53" s="46">
        <f t="shared" si="7"/>
        <v>0</v>
      </c>
      <c r="R53" s="46">
        <f t="shared" si="7"/>
        <v>0</v>
      </c>
      <c r="S53" s="46">
        <f t="shared" si="7"/>
        <v>0</v>
      </c>
      <c r="T53" s="46">
        <f t="shared" si="7"/>
        <v>0</v>
      </c>
      <c r="U53" s="46">
        <f t="shared" si="7"/>
        <v>0</v>
      </c>
      <c r="V53" s="46">
        <f t="shared" si="7"/>
        <v>0</v>
      </c>
      <c r="W53" s="46">
        <f t="shared" si="7"/>
        <v>0</v>
      </c>
      <c r="X53" s="46">
        <f t="shared" si="7"/>
        <v>0</v>
      </c>
      <c r="Y53" s="46">
        <f t="shared" si="7"/>
        <v>0</v>
      </c>
      <c r="Z53" s="46">
        <f t="shared" si="7"/>
        <v>0</v>
      </c>
      <c r="AA53" s="46">
        <f t="shared" si="7"/>
        <v>0</v>
      </c>
      <c r="AB53" s="46">
        <f t="shared" si="7"/>
        <v>0</v>
      </c>
      <c r="AC53" s="46">
        <f t="shared" si="7"/>
        <v>0</v>
      </c>
      <c r="AD53" s="46">
        <f t="shared" si="7"/>
        <v>0</v>
      </c>
      <c r="AE53" s="46">
        <f t="shared" si="7"/>
        <v>0</v>
      </c>
      <c r="AF53" s="46">
        <f t="shared" si="7"/>
        <v>0</v>
      </c>
      <c r="AG53" s="11">
        <f t="shared" si="2"/>
        <v>0</v>
      </c>
    </row>
    <row r="54" spans="7:33" ht="21" x14ac:dyDescent="0.15">
      <c r="G54" s="206" t="s">
        <v>866</v>
      </c>
      <c r="H54" s="4" t="s">
        <v>105</v>
      </c>
      <c r="I54" s="6"/>
      <c r="J54" s="9"/>
      <c r="K54" s="46">
        <f t="shared" si="0"/>
        <v>0</v>
      </c>
      <c r="L54" s="46">
        <f t="shared" si="1"/>
        <v>0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11">
        <f t="shared" si="2"/>
        <v>0</v>
      </c>
    </row>
    <row r="55" spans="7:33" ht="21" x14ac:dyDescent="0.15">
      <c r="G55" s="206" t="s">
        <v>106</v>
      </c>
      <c r="H55" s="4" t="s">
        <v>107</v>
      </c>
      <c r="I55" s="8"/>
      <c r="J55" s="7"/>
      <c r="K55" s="46">
        <f t="shared" si="0"/>
        <v>0</v>
      </c>
      <c r="L55" s="46">
        <f t="shared" si="1"/>
        <v>0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11">
        <f t="shared" si="2"/>
        <v>0</v>
      </c>
    </row>
    <row r="56" spans="7:33" x14ac:dyDescent="0.15">
      <c r="G56" s="205" t="s">
        <v>108</v>
      </c>
      <c r="H56" s="53" t="s">
        <v>109</v>
      </c>
      <c r="I56" s="6"/>
      <c r="J56" s="9"/>
      <c r="K56" s="46">
        <f t="shared" si="0"/>
        <v>0</v>
      </c>
      <c r="L56" s="46">
        <f t="shared" si="1"/>
        <v>0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11">
        <f t="shared" si="2"/>
        <v>0</v>
      </c>
    </row>
    <row r="57" spans="7:33" x14ac:dyDescent="0.15">
      <c r="G57" s="205" t="s">
        <v>110</v>
      </c>
      <c r="H57" s="4" t="s">
        <v>111</v>
      </c>
      <c r="I57" s="6"/>
      <c r="J57" s="9"/>
      <c r="K57" s="46">
        <f t="shared" si="0"/>
        <v>0</v>
      </c>
      <c r="L57" s="46">
        <f t="shared" si="1"/>
        <v>0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11">
        <f t="shared" si="2"/>
        <v>0</v>
      </c>
    </row>
    <row r="58" spans="7:33" x14ac:dyDescent="0.15">
      <c r="G58" s="205" t="s">
        <v>112</v>
      </c>
      <c r="H58" s="4" t="s">
        <v>113</v>
      </c>
      <c r="I58" s="8"/>
      <c r="J58" s="7"/>
      <c r="K58" s="46">
        <f t="shared" si="0"/>
        <v>0</v>
      </c>
      <c r="L58" s="46">
        <f t="shared" si="1"/>
        <v>0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11">
        <f t="shared" si="2"/>
        <v>0</v>
      </c>
    </row>
    <row r="59" spans="7:33" x14ac:dyDescent="0.15">
      <c r="G59" s="205" t="s">
        <v>114</v>
      </c>
      <c r="H59" s="53" t="s">
        <v>115</v>
      </c>
      <c r="I59" s="6"/>
      <c r="J59" s="9"/>
      <c r="K59" s="46">
        <f t="shared" si="0"/>
        <v>0</v>
      </c>
      <c r="L59" s="46">
        <f t="shared" si="1"/>
        <v>0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11">
        <f t="shared" si="2"/>
        <v>0</v>
      </c>
    </row>
    <row r="60" spans="7:33" x14ac:dyDescent="0.15">
      <c r="G60" s="205" t="s">
        <v>116</v>
      </c>
      <c r="H60" s="4" t="s">
        <v>117</v>
      </c>
      <c r="I60" s="6"/>
      <c r="J60" s="9"/>
      <c r="K60" s="46">
        <f t="shared" si="0"/>
        <v>0</v>
      </c>
      <c r="L60" s="46">
        <f t="shared" si="1"/>
        <v>0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11">
        <f t="shared" si="2"/>
        <v>0</v>
      </c>
    </row>
    <row r="61" spans="7:33" x14ac:dyDescent="0.15">
      <c r="G61" s="205" t="s">
        <v>118</v>
      </c>
      <c r="H61" s="4" t="s">
        <v>119</v>
      </c>
      <c r="I61" s="6"/>
      <c r="J61" s="9"/>
      <c r="K61" s="46">
        <f t="shared" si="0"/>
        <v>0</v>
      </c>
      <c r="L61" s="46">
        <f t="shared" si="1"/>
        <v>0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11">
        <f t="shared" si="2"/>
        <v>0</v>
      </c>
    </row>
    <row r="62" spans="7:33" x14ac:dyDescent="0.15">
      <c r="G62" s="205" t="s">
        <v>120</v>
      </c>
      <c r="H62" s="53" t="s">
        <v>121</v>
      </c>
      <c r="I62" s="6"/>
      <c r="J62" s="9"/>
      <c r="K62" s="46">
        <f t="shared" si="0"/>
        <v>0</v>
      </c>
      <c r="L62" s="46">
        <f t="shared" si="1"/>
        <v>0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11">
        <f t="shared" si="2"/>
        <v>0</v>
      </c>
    </row>
    <row r="63" spans="7:33" x14ac:dyDescent="0.15">
      <c r="G63" s="205" t="s">
        <v>122</v>
      </c>
      <c r="H63" s="4" t="s">
        <v>123</v>
      </c>
      <c r="I63" s="6"/>
      <c r="J63" s="9"/>
      <c r="K63" s="46">
        <f t="shared" si="0"/>
        <v>0</v>
      </c>
      <c r="L63" s="46">
        <f t="shared" si="1"/>
        <v>0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11">
        <f t="shared" si="2"/>
        <v>0</v>
      </c>
    </row>
    <row r="64" spans="7:33" x14ac:dyDescent="0.15">
      <c r="G64" s="205" t="s">
        <v>124</v>
      </c>
      <c r="H64" s="4" t="s">
        <v>125</v>
      </c>
      <c r="I64" s="46">
        <f>IF(SUM(I65:I67)&gt;=1,1,0)</f>
        <v>0</v>
      </c>
      <c r="J64" s="46"/>
      <c r="K64" s="46">
        <f t="shared" si="0"/>
        <v>0</v>
      </c>
      <c r="L64" s="46">
        <f t="shared" si="1"/>
        <v>0</v>
      </c>
      <c r="M64" s="46">
        <f>SUM(M65:M67)</f>
        <v>0</v>
      </c>
      <c r="N64" s="46">
        <f t="shared" ref="N64:AF64" si="8">SUM(N65:N67)</f>
        <v>0</v>
      </c>
      <c r="O64" s="46">
        <f t="shared" si="8"/>
        <v>0</v>
      </c>
      <c r="P64" s="46">
        <f t="shared" si="8"/>
        <v>0</v>
      </c>
      <c r="Q64" s="46">
        <f t="shared" si="8"/>
        <v>0</v>
      </c>
      <c r="R64" s="46">
        <f t="shared" si="8"/>
        <v>0</v>
      </c>
      <c r="S64" s="46">
        <f t="shared" si="8"/>
        <v>0</v>
      </c>
      <c r="T64" s="46">
        <f t="shared" si="8"/>
        <v>0</v>
      </c>
      <c r="U64" s="46">
        <f t="shared" si="8"/>
        <v>0</v>
      </c>
      <c r="V64" s="46">
        <f t="shared" si="8"/>
        <v>0</v>
      </c>
      <c r="W64" s="46">
        <f t="shared" si="8"/>
        <v>0</v>
      </c>
      <c r="X64" s="46">
        <f t="shared" si="8"/>
        <v>0</v>
      </c>
      <c r="Y64" s="46">
        <f t="shared" si="8"/>
        <v>0</v>
      </c>
      <c r="Z64" s="46">
        <f t="shared" si="8"/>
        <v>0</v>
      </c>
      <c r="AA64" s="46">
        <f t="shared" si="8"/>
        <v>0</v>
      </c>
      <c r="AB64" s="46">
        <f t="shared" si="8"/>
        <v>0</v>
      </c>
      <c r="AC64" s="46">
        <f t="shared" si="8"/>
        <v>0</v>
      </c>
      <c r="AD64" s="46">
        <f t="shared" si="8"/>
        <v>0</v>
      </c>
      <c r="AE64" s="46">
        <f t="shared" si="8"/>
        <v>0</v>
      </c>
      <c r="AF64" s="46">
        <f t="shared" si="8"/>
        <v>0</v>
      </c>
      <c r="AG64" s="11">
        <f t="shared" si="2"/>
        <v>0</v>
      </c>
    </row>
    <row r="65" spans="7:33" ht="21" x14ac:dyDescent="0.15">
      <c r="G65" s="206" t="s">
        <v>867</v>
      </c>
      <c r="H65" s="53" t="s">
        <v>126</v>
      </c>
      <c r="I65" s="6"/>
      <c r="J65" s="9"/>
      <c r="K65" s="46">
        <f t="shared" si="0"/>
        <v>0</v>
      </c>
      <c r="L65" s="46">
        <f t="shared" si="1"/>
        <v>0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11">
        <f t="shared" si="2"/>
        <v>0</v>
      </c>
    </row>
    <row r="66" spans="7:33" x14ac:dyDescent="0.15">
      <c r="G66" s="206" t="s">
        <v>127</v>
      </c>
      <c r="H66" s="4" t="s">
        <v>128</v>
      </c>
      <c r="I66" s="6"/>
      <c r="J66" s="9"/>
      <c r="K66" s="46">
        <f t="shared" si="0"/>
        <v>0</v>
      </c>
      <c r="L66" s="46">
        <f t="shared" si="1"/>
        <v>0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11">
        <f t="shared" si="2"/>
        <v>0</v>
      </c>
    </row>
    <row r="67" spans="7:33" x14ac:dyDescent="0.15">
      <c r="G67" s="206" t="s">
        <v>129</v>
      </c>
      <c r="H67" s="4" t="s">
        <v>130</v>
      </c>
      <c r="I67" s="6"/>
      <c r="J67" s="9"/>
      <c r="K67" s="46">
        <f t="shared" si="0"/>
        <v>0</v>
      </c>
      <c r="L67" s="46">
        <f t="shared" si="1"/>
        <v>0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11">
        <f t="shared" si="2"/>
        <v>0</v>
      </c>
    </row>
    <row r="68" spans="7:33" x14ac:dyDescent="0.15">
      <c r="G68" s="205" t="s">
        <v>131</v>
      </c>
      <c r="H68" s="53" t="s">
        <v>132</v>
      </c>
      <c r="I68" s="6"/>
      <c r="J68" s="9"/>
      <c r="K68" s="46">
        <f t="shared" si="0"/>
        <v>0</v>
      </c>
      <c r="L68" s="46">
        <f t="shared" si="1"/>
        <v>0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11">
        <f t="shared" si="2"/>
        <v>0</v>
      </c>
    </row>
    <row r="69" spans="7:33" x14ac:dyDescent="0.15">
      <c r="G69" s="205" t="s">
        <v>133</v>
      </c>
      <c r="H69" s="4" t="s">
        <v>134</v>
      </c>
      <c r="I69" s="6"/>
      <c r="J69" s="9"/>
      <c r="K69" s="46">
        <f t="shared" si="0"/>
        <v>0</v>
      </c>
      <c r="L69" s="46">
        <f t="shared" si="1"/>
        <v>0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11">
        <f t="shared" si="2"/>
        <v>0</v>
      </c>
    </row>
    <row r="70" spans="7:33" x14ac:dyDescent="0.15">
      <c r="G70" s="205" t="s">
        <v>135</v>
      </c>
      <c r="H70" s="4" t="s">
        <v>136</v>
      </c>
      <c r="I70" s="46">
        <f>IF(SUM(I71:I72)&gt;=1,1,0)</f>
        <v>0</v>
      </c>
      <c r="J70" s="46"/>
      <c r="K70" s="46">
        <f t="shared" si="0"/>
        <v>0</v>
      </c>
      <c r="L70" s="46">
        <f t="shared" si="1"/>
        <v>0</v>
      </c>
      <c r="M70" s="46">
        <f>SUM(M71:M72)</f>
        <v>0</v>
      </c>
      <c r="N70" s="46">
        <f t="shared" ref="N70:X70" si="9">SUM(N71:N72)</f>
        <v>0</v>
      </c>
      <c r="O70" s="46">
        <f t="shared" si="9"/>
        <v>0</v>
      </c>
      <c r="P70" s="46">
        <f t="shared" si="9"/>
        <v>0</v>
      </c>
      <c r="Q70" s="46">
        <f t="shared" si="9"/>
        <v>0</v>
      </c>
      <c r="R70" s="46">
        <f t="shared" si="9"/>
        <v>0</v>
      </c>
      <c r="S70" s="46">
        <f t="shared" si="9"/>
        <v>0</v>
      </c>
      <c r="T70" s="46">
        <f t="shared" si="9"/>
        <v>0</v>
      </c>
      <c r="U70" s="46">
        <f t="shared" si="9"/>
        <v>0</v>
      </c>
      <c r="V70" s="46">
        <f t="shared" si="9"/>
        <v>0</v>
      </c>
      <c r="W70" s="46">
        <f t="shared" si="9"/>
        <v>0</v>
      </c>
      <c r="X70" s="46">
        <f t="shared" si="9"/>
        <v>0</v>
      </c>
      <c r="Y70" s="46">
        <f t="shared" ref="Y70" si="10">SUM(Y71:Y72)</f>
        <v>0</v>
      </c>
      <c r="Z70" s="46">
        <f t="shared" ref="Z70" si="11">SUM(Z71:Z72)</f>
        <v>0</v>
      </c>
      <c r="AA70" s="46">
        <f t="shared" ref="AA70:AF70" si="12">SUM(AA71:AA72)</f>
        <v>0</v>
      </c>
      <c r="AB70" s="46">
        <f t="shared" si="12"/>
        <v>0</v>
      </c>
      <c r="AC70" s="46">
        <f t="shared" si="12"/>
        <v>0</v>
      </c>
      <c r="AD70" s="46">
        <f t="shared" si="12"/>
        <v>0</v>
      </c>
      <c r="AE70" s="46">
        <f t="shared" si="12"/>
        <v>0</v>
      </c>
      <c r="AF70" s="46">
        <f t="shared" si="12"/>
        <v>0</v>
      </c>
      <c r="AG70" s="11">
        <f t="shared" si="2"/>
        <v>0</v>
      </c>
    </row>
    <row r="71" spans="7:33" ht="21" x14ac:dyDescent="0.15">
      <c r="G71" s="206" t="s">
        <v>868</v>
      </c>
      <c r="H71" s="53" t="s">
        <v>137</v>
      </c>
      <c r="I71" s="6"/>
      <c r="J71" s="9"/>
      <c r="K71" s="46">
        <f t="shared" si="0"/>
        <v>0</v>
      </c>
      <c r="L71" s="46">
        <f t="shared" si="1"/>
        <v>0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11">
        <f t="shared" si="2"/>
        <v>0</v>
      </c>
    </row>
    <row r="72" spans="7:33" x14ac:dyDescent="0.15">
      <c r="G72" s="206" t="s">
        <v>138</v>
      </c>
      <c r="H72" s="4" t="s">
        <v>139</v>
      </c>
      <c r="I72" s="6"/>
      <c r="J72" s="9"/>
      <c r="K72" s="46">
        <f t="shared" si="0"/>
        <v>0</v>
      </c>
      <c r="L72" s="46">
        <f t="shared" si="1"/>
        <v>0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11">
        <f t="shared" si="2"/>
        <v>0</v>
      </c>
    </row>
    <row r="73" spans="7:33" x14ac:dyDescent="0.15">
      <c r="G73" s="205" t="s">
        <v>140</v>
      </c>
      <c r="H73" s="4" t="s">
        <v>141</v>
      </c>
      <c r="I73" s="6"/>
      <c r="J73" s="9"/>
      <c r="K73" s="46">
        <f t="shared" si="0"/>
        <v>0</v>
      </c>
      <c r="L73" s="46">
        <f t="shared" si="1"/>
        <v>0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11">
        <f t="shared" si="2"/>
        <v>0</v>
      </c>
    </row>
    <row r="74" spans="7:33" x14ac:dyDescent="0.15">
      <c r="G74" s="205" t="s">
        <v>142</v>
      </c>
      <c r="H74" s="53" t="s">
        <v>143</v>
      </c>
      <c r="I74" s="6"/>
      <c r="J74" s="9"/>
      <c r="K74" s="46">
        <f t="shared" si="0"/>
        <v>0</v>
      </c>
      <c r="L74" s="46">
        <f t="shared" si="1"/>
        <v>0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11">
        <f t="shared" si="2"/>
        <v>0</v>
      </c>
    </row>
    <row r="75" spans="7:33" x14ac:dyDescent="0.15">
      <c r="G75" s="205" t="s">
        <v>144</v>
      </c>
      <c r="H75" s="4" t="s">
        <v>145</v>
      </c>
      <c r="I75" s="6"/>
      <c r="J75" s="9"/>
      <c r="K75" s="46">
        <f t="shared" si="0"/>
        <v>0</v>
      </c>
      <c r="L75" s="46">
        <f t="shared" si="1"/>
        <v>0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11">
        <f t="shared" si="2"/>
        <v>0</v>
      </c>
    </row>
    <row r="76" spans="7:33" ht="21" x14ac:dyDescent="0.15">
      <c r="G76" s="205" t="s">
        <v>146</v>
      </c>
      <c r="H76" s="4" t="s">
        <v>147</v>
      </c>
      <c r="I76" s="47">
        <f>IF(SUM(I77:I80)&gt;=1,1,0)</f>
        <v>0</v>
      </c>
      <c r="J76" s="47"/>
      <c r="K76" s="46">
        <f t="shared" ref="K76:K140" si="13">L76+X76</f>
        <v>0</v>
      </c>
      <c r="L76" s="46">
        <f t="shared" ref="L76:L140" si="14">SUM(M76:P76)</f>
        <v>0</v>
      </c>
      <c r="M76" s="48">
        <f>SUM(M77:M80)</f>
        <v>0</v>
      </c>
      <c r="N76" s="48">
        <f t="shared" ref="N76:AF76" si="15">SUM(N77:N80)</f>
        <v>0</v>
      </c>
      <c r="O76" s="48">
        <f t="shared" si="15"/>
        <v>0</v>
      </c>
      <c r="P76" s="48">
        <f t="shared" si="15"/>
        <v>0</v>
      </c>
      <c r="Q76" s="48">
        <f t="shared" si="15"/>
        <v>0</v>
      </c>
      <c r="R76" s="48">
        <f t="shared" si="15"/>
        <v>0</v>
      </c>
      <c r="S76" s="48">
        <f t="shared" si="15"/>
        <v>0</v>
      </c>
      <c r="T76" s="48">
        <f t="shared" si="15"/>
        <v>0</v>
      </c>
      <c r="U76" s="48">
        <f t="shared" si="15"/>
        <v>0</v>
      </c>
      <c r="V76" s="48">
        <f t="shared" si="15"/>
        <v>0</v>
      </c>
      <c r="W76" s="48">
        <f t="shared" si="15"/>
        <v>0</v>
      </c>
      <c r="X76" s="48">
        <f t="shared" si="15"/>
        <v>0</v>
      </c>
      <c r="Y76" s="48">
        <f t="shared" si="15"/>
        <v>0</v>
      </c>
      <c r="Z76" s="48">
        <f t="shared" si="15"/>
        <v>0</v>
      </c>
      <c r="AA76" s="48">
        <f t="shared" si="15"/>
        <v>0</v>
      </c>
      <c r="AB76" s="48">
        <f t="shared" si="15"/>
        <v>0</v>
      </c>
      <c r="AC76" s="48">
        <f t="shared" si="15"/>
        <v>0</v>
      </c>
      <c r="AD76" s="48">
        <f t="shared" si="15"/>
        <v>0</v>
      </c>
      <c r="AE76" s="48">
        <f t="shared" si="15"/>
        <v>0</v>
      </c>
      <c r="AF76" s="48">
        <f t="shared" si="15"/>
        <v>0</v>
      </c>
      <c r="AG76" s="11">
        <f t="shared" ref="AG76:AG140" si="16">SUM(I76:AF76)</f>
        <v>0</v>
      </c>
    </row>
    <row r="77" spans="7:33" ht="21" x14ac:dyDescent="0.15">
      <c r="G77" s="206" t="s">
        <v>148</v>
      </c>
      <c r="H77" s="53" t="s">
        <v>149</v>
      </c>
      <c r="I77" s="6"/>
      <c r="J77" s="9"/>
      <c r="K77" s="46">
        <f t="shared" si="13"/>
        <v>0</v>
      </c>
      <c r="L77" s="46">
        <f t="shared" si="14"/>
        <v>0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11">
        <f t="shared" si="16"/>
        <v>0</v>
      </c>
    </row>
    <row r="78" spans="7:33" x14ac:dyDescent="0.15">
      <c r="G78" s="206" t="s">
        <v>150</v>
      </c>
      <c r="H78" s="4" t="s">
        <v>151</v>
      </c>
      <c r="I78" s="6"/>
      <c r="J78" s="9"/>
      <c r="K78" s="46">
        <f t="shared" si="13"/>
        <v>0</v>
      </c>
      <c r="L78" s="46">
        <f t="shared" si="14"/>
        <v>0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11">
        <f t="shared" si="16"/>
        <v>0</v>
      </c>
    </row>
    <row r="79" spans="7:33" x14ac:dyDescent="0.15">
      <c r="G79" s="206" t="s">
        <v>152</v>
      </c>
      <c r="H79" s="4" t="s">
        <v>153</v>
      </c>
      <c r="I79" s="6"/>
      <c r="J79" s="9"/>
      <c r="K79" s="46">
        <f t="shared" si="13"/>
        <v>0</v>
      </c>
      <c r="L79" s="46">
        <f t="shared" si="14"/>
        <v>0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11">
        <f t="shared" si="16"/>
        <v>0</v>
      </c>
    </row>
    <row r="80" spans="7:33" x14ac:dyDescent="0.15">
      <c r="G80" s="206" t="s">
        <v>154</v>
      </c>
      <c r="H80" s="53" t="s">
        <v>155</v>
      </c>
      <c r="I80" s="6"/>
      <c r="J80" s="9"/>
      <c r="K80" s="46">
        <f t="shared" si="13"/>
        <v>0</v>
      </c>
      <c r="L80" s="46">
        <f t="shared" si="14"/>
        <v>0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11">
        <f t="shared" si="16"/>
        <v>0</v>
      </c>
    </row>
    <row r="81" spans="7:33" x14ac:dyDescent="0.15">
      <c r="G81" s="205" t="s">
        <v>156</v>
      </c>
      <c r="H81" s="4" t="s">
        <v>157</v>
      </c>
      <c r="I81" s="6"/>
      <c r="J81" s="9"/>
      <c r="K81" s="46">
        <f t="shared" si="13"/>
        <v>0</v>
      </c>
      <c r="L81" s="46">
        <f t="shared" si="14"/>
        <v>0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11">
        <f t="shared" si="16"/>
        <v>0</v>
      </c>
    </row>
    <row r="82" spans="7:33" x14ac:dyDescent="0.15">
      <c r="G82" s="205" t="s">
        <v>158</v>
      </c>
      <c r="H82" s="4" t="s">
        <v>159</v>
      </c>
      <c r="I82" s="6"/>
      <c r="J82" s="9"/>
      <c r="K82" s="46">
        <f t="shared" si="13"/>
        <v>0</v>
      </c>
      <c r="L82" s="46">
        <f t="shared" si="14"/>
        <v>0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11">
        <f t="shared" si="16"/>
        <v>0</v>
      </c>
    </row>
    <row r="83" spans="7:33" x14ac:dyDescent="0.15">
      <c r="G83" s="205" t="s">
        <v>160</v>
      </c>
      <c r="H83" s="53" t="s">
        <v>161</v>
      </c>
      <c r="I83" s="6"/>
      <c r="J83" s="9"/>
      <c r="K83" s="46">
        <f t="shared" si="13"/>
        <v>0</v>
      </c>
      <c r="L83" s="46">
        <f t="shared" si="14"/>
        <v>0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11">
        <f t="shared" si="16"/>
        <v>0</v>
      </c>
    </row>
    <row r="84" spans="7:33" x14ac:dyDescent="0.15">
      <c r="G84" s="205" t="s">
        <v>162</v>
      </c>
      <c r="H84" s="4" t="s">
        <v>163</v>
      </c>
      <c r="I84" s="6"/>
      <c r="J84" s="9"/>
      <c r="K84" s="46">
        <f t="shared" si="13"/>
        <v>0</v>
      </c>
      <c r="L84" s="46">
        <f t="shared" si="14"/>
        <v>0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11">
        <f t="shared" si="16"/>
        <v>0</v>
      </c>
    </row>
    <row r="85" spans="7:33" x14ac:dyDescent="0.15">
      <c r="G85" s="205" t="s">
        <v>164</v>
      </c>
      <c r="H85" s="4" t="s">
        <v>165</v>
      </c>
      <c r="I85" s="6"/>
      <c r="J85" s="9"/>
      <c r="K85" s="46">
        <f t="shared" si="13"/>
        <v>0</v>
      </c>
      <c r="L85" s="46">
        <f t="shared" si="14"/>
        <v>0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11">
        <f t="shared" si="16"/>
        <v>0</v>
      </c>
    </row>
    <row r="86" spans="7:33" x14ac:dyDescent="0.15">
      <c r="G86" s="205" t="s">
        <v>166</v>
      </c>
      <c r="H86" s="53" t="s">
        <v>167</v>
      </c>
      <c r="I86" s="6"/>
      <c r="J86" s="9"/>
      <c r="K86" s="46">
        <f t="shared" si="13"/>
        <v>0</v>
      </c>
      <c r="L86" s="46">
        <f t="shared" si="14"/>
        <v>0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11">
        <f t="shared" si="16"/>
        <v>0</v>
      </c>
    </row>
    <row r="87" spans="7:33" x14ac:dyDescent="0.15">
      <c r="G87" s="205" t="s">
        <v>168</v>
      </c>
      <c r="H87" s="4" t="s">
        <v>169</v>
      </c>
      <c r="I87" s="6"/>
      <c r="J87" s="9"/>
      <c r="K87" s="46">
        <f t="shared" si="13"/>
        <v>0</v>
      </c>
      <c r="L87" s="46">
        <f t="shared" si="14"/>
        <v>0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11">
        <f t="shared" si="16"/>
        <v>0</v>
      </c>
    </row>
    <row r="88" spans="7:33" x14ac:dyDescent="0.15">
      <c r="G88" s="205" t="s">
        <v>170</v>
      </c>
      <c r="H88" s="4" t="s">
        <v>171</v>
      </c>
      <c r="I88" s="46">
        <f>IF(SUM(I89:I90)&gt;=1,1,0)</f>
        <v>0</v>
      </c>
      <c r="J88" s="46"/>
      <c r="K88" s="46">
        <f t="shared" si="13"/>
        <v>0</v>
      </c>
      <c r="L88" s="46">
        <f t="shared" si="14"/>
        <v>0</v>
      </c>
      <c r="M88" s="46">
        <f>SUM(M89:M90)</f>
        <v>0</v>
      </c>
      <c r="N88" s="46">
        <f t="shared" ref="N88:AF88" si="17">SUM(N89:N90)</f>
        <v>0</v>
      </c>
      <c r="O88" s="46">
        <f t="shared" si="17"/>
        <v>0</v>
      </c>
      <c r="P88" s="46">
        <f t="shared" si="17"/>
        <v>0</v>
      </c>
      <c r="Q88" s="46">
        <f t="shared" si="17"/>
        <v>0</v>
      </c>
      <c r="R88" s="46">
        <f t="shared" si="17"/>
        <v>0</v>
      </c>
      <c r="S88" s="46">
        <f t="shared" si="17"/>
        <v>0</v>
      </c>
      <c r="T88" s="46">
        <f t="shared" si="17"/>
        <v>0</v>
      </c>
      <c r="U88" s="46">
        <f t="shared" si="17"/>
        <v>0</v>
      </c>
      <c r="V88" s="46">
        <f t="shared" si="17"/>
        <v>0</v>
      </c>
      <c r="W88" s="46">
        <f t="shared" si="17"/>
        <v>0</v>
      </c>
      <c r="X88" s="46">
        <f t="shared" si="17"/>
        <v>0</v>
      </c>
      <c r="Y88" s="46">
        <f t="shared" si="17"/>
        <v>0</v>
      </c>
      <c r="Z88" s="46">
        <f t="shared" si="17"/>
        <v>0</v>
      </c>
      <c r="AA88" s="46">
        <f t="shared" si="17"/>
        <v>0</v>
      </c>
      <c r="AB88" s="46">
        <f t="shared" si="17"/>
        <v>0</v>
      </c>
      <c r="AC88" s="46">
        <f t="shared" si="17"/>
        <v>0</v>
      </c>
      <c r="AD88" s="46">
        <f t="shared" si="17"/>
        <v>0</v>
      </c>
      <c r="AE88" s="46">
        <f t="shared" si="17"/>
        <v>0</v>
      </c>
      <c r="AF88" s="46">
        <f t="shared" si="17"/>
        <v>0</v>
      </c>
      <c r="AG88" s="11">
        <f t="shared" si="16"/>
        <v>0</v>
      </c>
    </row>
    <row r="89" spans="7:33" ht="21" x14ac:dyDescent="0.15">
      <c r="G89" s="206" t="s">
        <v>172</v>
      </c>
      <c r="H89" s="53" t="s">
        <v>173</v>
      </c>
      <c r="I89" s="6"/>
      <c r="J89" s="9"/>
      <c r="K89" s="46">
        <f t="shared" si="13"/>
        <v>0</v>
      </c>
      <c r="L89" s="46">
        <f t="shared" si="14"/>
        <v>0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11">
        <f t="shared" si="16"/>
        <v>0</v>
      </c>
    </row>
    <row r="90" spans="7:33" ht="21" x14ac:dyDescent="0.15">
      <c r="G90" s="206" t="s">
        <v>174</v>
      </c>
      <c r="H90" s="4" t="s">
        <v>175</v>
      </c>
      <c r="I90" s="6"/>
      <c r="J90" s="9"/>
      <c r="K90" s="46">
        <f t="shared" si="13"/>
        <v>0</v>
      </c>
      <c r="L90" s="46">
        <f t="shared" si="14"/>
        <v>0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11">
        <f t="shared" si="16"/>
        <v>0</v>
      </c>
    </row>
    <row r="91" spans="7:33" x14ac:dyDescent="0.15">
      <c r="G91" s="205" t="s">
        <v>176</v>
      </c>
      <c r="H91" s="4" t="s">
        <v>177</v>
      </c>
      <c r="I91" s="6"/>
      <c r="J91" s="9"/>
      <c r="K91" s="46">
        <f t="shared" si="13"/>
        <v>0</v>
      </c>
      <c r="L91" s="46">
        <f t="shared" si="14"/>
        <v>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11">
        <f t="shared" si="16"/>
        <v>0</v>
      </c>
    </row>
    <row r="92" spans="7:33" x14ac:dyDescent="0.15">
      <c r="G92" s="205" t="s">
        <v>178</v>
      </c>
      <c r="H92" s="53" t="s">
        <v>179</v>
      </c>
      <c r="I92" s="6"/>
      <c r="J92" s="9"/>
      <c r="K92" s="46">
        <f t="shared" si="13"/>
        <v>0</v>
      </c>
      <c r="L92" s="46">
        <f t="shared" si="14"/>
        <v>0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11">
        <f t="shared" si="16"/>
        <v>0</v>
      </c>
    </row>
    <row r="93" spans="7:33" x14ac:dyDescent="0.15">
      <c r="G93" s="205" t="s">
        <v>180</v>
      </c>
      <c r="H93" s="4" t="s">
        <v>181</v>
      </c>
      <c r="I93" s="6"/>
      <c r="J93" s="9"/>
      <c r="K93" s="46">
        <f t="shared" si="13"/>
        <v>0</v>
      </c>
      <c r="L93" s="46">
        <f t="shared" si="14"/>
        <v>0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11">
        <f t="shared" si="16"/>
        <v>0</v>
      </c>
    </row>
    <row r="94" spans="7:33" x14ac:dyDescent="0.15">
      <c r="G94" s="205" t="s">
        <v>182</v>
      </c>
      <c r="H94" s="4" t="s">
        <v>183</v>
      </c>
      <c r="I94" s="6"/>
      <c r="J94" s="9"/>
      <c r="K94" s="46">
        <f t="shared" si="13"/>
        <v>0</v>
      </c>
      <c r="L94" s="46">
        <f t="shared" si="14"/>
        <v>0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11">
        <f t="shared" si="16"/>
        <v>0</v>
      </c>
    </row>
    <row r="95" spans="7:33" x14ac:dyDescent="0.15">
      <c r="G95" s="205" t="s">
        <v>184</v>
      </c>
      <c r="H95" s="53" t="s">
        <v>185</v>
      </c>
      <c r="I95" s="6"/>
      <c r="J95" s="9"/>
      <c r="K95" s="46">
        <f t="shared" si="13"/>
        <v>0</v>
      </c>
      <c r="L95" s="46">
        <f t="shared" si="14"/>
        <v>0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11">
        <f t="shared" si="16"/>
        <v>0</v>
      </c>
    </row>
    <row r="96" spans="7:33" x14ac:dyDescent="0.15">
      <c r="G96" s="205" t="s">
        <v>186</v>
      </c>
      <c r="H96" s="4" t="s">
        <v>187</v>
      </c>
      <c r="I96" s="6"/>
      <c r="J96" s="9"/>
      <c r="K96" s="46">
        <f t="shared" si="13"/>
        <v>0</v>
      </c>
      <c r="L96" s="46">
        <f t="shared" si="14"/>
        <v>0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11">
        <f t="shared" si="16"/>
        <v>0</v>
      </c>
    </row>
    <row r="97" spans="7:33" x14ac:dyDescent="0.15">
      <c r="G97" s="205" t="s">
        <v>188</v>
      </c>
      <c r="H97" s="4" t="s">
        <v>189</v>
      </c>
      <c r="I97" s="6"/>
      <c r="J97" s="9"/>
      <c r="K97" s="46">
        <f t="shared" si="13"/>
        <v>0</v>
      </c>
      <c r="L97" s="46">
        <f t="shared" si="14"/>
        <v>0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11">
        <f t="shared" si="16"/>
        <v>0</v>
      </c>
    </row>
    <row r="98" spans="7:33" x14ac:dyDescent="0.15">
      <c r="G98" s="205" t="s">
        <v>190</v>
      </c>
      <c r="H98" s="53" t="s">
        <v>191</v>
      </c>
      <c r="I98" s="6"/>
      <c r="J98" s="9"/>
      <c r="K98" s="46">
        <f t="shared" si="13"/>
        <v>0</v>
      </c>
      <c r="L98" s="46">
        <f t="shared" si="14"/>
        <v>0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11">
        <f t="shared" si="16"/>
        <v>0</v>
      </c>
    </row>
    <row r="99" spans="7:33" x14ac:dyDescent="0.15">
      <c r="G99" s="205" t="s">
        <v>192</v>
      </c>
      <c r="H99" s="4" t="s">
        <v>193</v>
      </c>
      <c r="I99" s="6"/>
      <c r="J99" s="9"/>
      <c r="K99" s="46">
        <f t="shared" si="13"/>
        <v>0</v>
      </c>
      <c r="L99" s="46">
        <f t="shared" si="14"/>
        <v>0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11">
        <f t="shared" si="16"/>
        <v>0</v>
      </c>
    </row>
    <row r="100" spans="7:33" x14ac:dyDescent="0.15">
      <c r="G100" s="205" t="s">
        <v>194</v>
      </c>
      <c r="H100" s="4" t="s">
        <v>195</v>
      </c>
      <c r="I100" s="6"/>
      <c r="J100" s="9"/>
      <c r="K100" s="46">
        <f t="shared" si="13"/>
        <v>0</v>
      </c>
      <c r="L100" s="46">
        <f t="shared" si="14"/>
        <v>0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11">
        <f t="shared" si="16"/>
        <v>0</v>
      </c>
    </row>
    <row r="101" spans="7:33" x14ac:dyDescent="0.15">
      <c r="G101" s="205" t="s">
        <v>196</v>
      </c>
      <c r="H101" s="53" t="s">
        <v>197</v>
      </c>
      <c r="I101" s="6"/>
      <c r="J101" s="9"/>
      <c r="K101" s="46">
        <f t="shared" si="13"/>
        <v>0</v>
      </c>
      <c r="L101" s="46">
        <f t="shared" si="14"/>
        <v>0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11">
        <f t="shared" si="16"/>
        <v>0</v>
      </c>
    </row>
    <row r="102" spans="7:33" x14ac:dyDescent="0.15">
      <c r="G102" s="205" t="s">
        <v>198</v>
      </c>
      <c r="H102" s="4" t="s">
        <v>199</v>
      </c>
      <c r="I102" s="46">
        <f>IF(SUM(I103:I104)&gt;=1,1,0)</f>
        <v>0</v>
      </c>
      <c r="J102" s="46"/>
      <c r="K102" s="46">
        <f t="shared" si="13"/>
        <v>0</v>
      </c>
      <c r="L102" s="46">
        <f t="shared" si="14"/>
        <v>0</v>
      </c>
      <c r="M102" s="46">
        <f>SUM(M103:M104)</f>
        <v>0</v>
      </c>
      <c r="N102" s="46">
        <f t="shared" ref="N102:AF102" si="18">SUM(N103:N104)</f>
        <v>0</v>
      </c>
      <c r="O102" s="46">
        <f t="shared" si="18"/>
        <v>0</v>
      </c>
      <c r="P102" s="46">
        <f t="shared" si="18"/>
        <v>0</v>
      </c>
      <c r="Q102" s="46">
        <f t="shared" si="18"/>
        <v>0</v>
      </c>
      <c r="R102" s="46">
        <f t="shared" si="18"/>
        <v>0</v>
      </c>
      <c r="S102" s="46">
        <f t="shared" si="18"/>
        <v>0</v>
      </c>
      <c r="T102" s="46">
        <f t="shared" si="18"/>
        <v>0</v>
      </c>
      <c r="U102" s="46">
        <f t="shared" si="18"/>
        <v>0</v>
      </c>
      <c r="V102" s="46">
        <f t="shared" si="18"/>
        <v>0</v>
      </c>
      <c r="W102" s="46">
        <f t="shared" si="18"/>
        <v>0</v>
      </c>
      <c r="X102" s="46">
        <f t="shared" si="18"/>
        <v>0</v>
      </c>
      <c r="Y102" s="46">
        <f t="shared" si="18"/>
        <v>0</v>
      </c>
      <c r="Z102" s="46">
        <f t="shared" si="18"/>
        <v>0</v>
      </c>
      <c r="AA102" s="46">
        <f t="shared" si="18"/>
        <v>0</v>
      </c>
      <c r="AB102" s="46">
        <f t="shared" si="18"/>
        <v>0</v>
      </c>
      <c r="AC102" s="46">
        <f t="shared" si="18"/>
        <v>0</v>
      </c>
      <c r="AD102" s="46">
        <f t="shared" si="18"/>
        <v>0</v>
      </c>
      <c r="AE102" s="46">
        <f t="shared" si="18"/>
        <v>0</v>
      </c>
      <c r="AF102" s="46">
        <f t="shared" si="18"/>
        <v>0</v>
      </c>
      <c r="AG102" s="11">
        <f t="shared" si="16"/>
        <v>0</v>
      </c>
    </row>
    <row r="103" spans="7:33" ht="21" x14ac:dyDescent="0.15">
      <c r="G103" s="206" t="s">
        <v>869</v>
      </c>
      <c r="H103" s="4" t="s">
        <v>200</v>
      </c>
      <c r="I103" s="6"/>
      <c r="J103" s="9"/>
      <c r="K103" s="46">
        <f t="shared" si="13"/>
        <v>0</v>
      </c>
      <c r="L103" s="46">
        <f t="shared" si="14"/>
        <v>0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11">
        <f t="shared" si="16"/>
        <v>0</v>
      </c>
    </row>
    <row r="104" spans="7:33" x14ac:dyDescent="0.15">
      <c r="G104" s="206" t="s">
        <v>863</v>
      </c>
      <c r="H104" s="53" t="s">
        <v>201</v>
      </c>
      <c r="I104" s="6"/>
      <c r="J104" s="9"/>
      <c r="K104" s="46">
        <f t="shared" si="13"/>
        <v>0</v>
      </c>
      <c r="L104" s="46">
        <f t="shared" si="14"/>
        <v>0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11">
        <f t="shared" si="16"/>
        <v>0</v>
      </c>
    </row>
    <row r="105" spans="7:33" x14ac:dyDescent="0.15">
      <c r="G105" s="205" t="s">
        <v>202</v>
      </c>
      <c r="H105" s="4" t="s">
        <v>203</v>
      </c>
      <c r="I105" s="6"/>
      <c r="J105" s="9"/>
      <c r="K105" s="46">
        <f t="shared" si="13"/>
        <v>0</v>
      </c>
      <c r="L105" s="46">
        <f t="shared" si="14"/>
        <v>0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11">
        <f t="shared" si="16"/>
        <v>0</v>
      </c>
    </row>
    <row r="106" spans="7:33" x14ac:dyDescent="0.15">
      <c r="G106" s="205" t="s">
        <v>204</v>
      </c>
      <c r="H106" s="4" t="s">
        <v>205</v>
      </c>
      <c r="I106" s="6"/>
      <c r="J106" s="9"/>
      <c r="K106" s="46">
        <f t="shared" si="13"/>
        <v>0</v>
      </c>
      <c r="L106" s="46">
        <f t="shared" si="14"/>
        <v>0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11">
        <f t="shared" si="16"/>
        <v>0</v>
      </c>
    </row>
    <row r="107" spans="7:33" x14ac:dyDescent="0.15">
      <c r="G107" s="205" t="s">
        <v>206</v>
      </c>
      <c r="H107" s="53" t="s">
        <v>207</v>
      </c>
      <c r="I107" s="6"/>
      <c r="J107" s="9"/>
      <c r="K107" s="46">
        <f t="shared" si="13"/>
        <v>0</v>
      </c>
      <c r="L107" s="46">
        <f t="shared" si="14"/>
        <v>0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11">
        <f t="shared" si="16"/>
        <v>0</v>
      </c>
    </row>
    <row r="108" spans="7:33" x14ac:dyDescent="0.15">
      <c r="G108" s="205" t="s">
        <v>208</v>
      </c>
      <c r="H108" s="4" t="s">
        <v>209</v>
      </c>
      <c r="I108" s="6"/>
      <c r="J108" s="9"/>
      <c r="K108" s="46">
        <f t="shared" si="13"/>
        <v>0</v>
      </c>
      <c r="L108" s="46">
        <f t="shared" si="14"/>
        <v>0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11">
        <f t="shared" si="16"/>
        <v>0</v>
      </c>
    </row>
    <row r="109" spans="7:33" x14ac:dyDescent="0.15">
      <c r="G109" s="205" t="s">
        <v>210</v>
      </c>
      <c r="H109" s="4" t="s">
        <v>211</v>
      </c>
      <c r="I109" s="6"/>
      <c r="J109" s="9"/>
      <c r="K109" s="46">
        <f t="shared" si="13"/>
        <v>0</v>
      </c>
      <c r="L109" s="46">
        <f t="shared" si="14"/>
        <v>0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11">
        <f t="shared" si="16"/>
        <v>0</v>
      </c>
    </row>
    <row r="110" spans="7:33" x14ac:dyDescent="0.15">
      <c r="G110" s="205" t="s">
        <v>212</v>
      </c>
      <c r="H110" s="53" t="s">
        <v>213</v>
      </c>
      <c r="I110" s="47">
        <f>IF(SUM(I111:I117)&gt;=1,1,0)</f>
        <v>0</v>
      </c>
      <c r="J110" s="47"/>
      <c r="K110" s="46">
        <f t="shared" si="13"/>
        <v>0</v>
      </c>
      <c r="L110" s="46">
        <f t="shared" si="14"/>
        <v>0</v>
      </c>
      <c r="M110" s="48">
        <f>SUM(M111:M117)</f>
        <v>0</v>
      </c>
      <c r="N110" s="48">
        <f t="shared" ref="N110:AF110" si="19">SUM(N111:N117)</f>
        <v>0</v>
      </c>
      <c r="O110" s="48">
        <f t="shared" si="19"/>
        <v>0</v>
      </c>
      <c r="P110" s="48">
        <f t="shared" si="19"/>
        <v>0</v>
      </c>
      <c r="Q110" s="48">
        <f t="shared" si="19"/>
        <v>0</v>
      </c>
      <c r="R110" s="48">
        <f t="shared" si="19"/>
        <v>0</v>
      </c>
      <c r="S110" s="48">
        <f t="shared" si="19"/>
        <v>0</v>
      </c>
      <c r="T110" s="48">
        <f t="shared" si="19"/>
        <v>0</v>
      </c>
      <c r="U110" s="48">
        <f t="shared" si="19"/>
        <v>0</v>
      </c>
      <c r="V110" s="48">
        <f t="shared" si="19"/>
        <v>0</v>
      </c>
      <c r="W110" s="48">
        <f t="shared" si="19"/>
        <v>0</v>
      </c>
      <c r="X110" s="48">
        <f t="shared" si="19"/>
        <v>0</v>
      </c>
      <c r="Y110" s="48">
        <f t="shared" si="19"/>
        <v>0</v>
      </c>
      <c r="Z110" s="48">
        <f t="shared" si="19"/>
        <v>0</v>
      </c>
      <c r="AA110" s="48">
        <f t="shared" si="19"/>
        <v>0</v>
      </c>
      <c r="AB110" s="48">
        <f t="shared" si="19"/>
        <v>0</v>
      </c>
      <c r="AC110" s="48">
        <f t="shared" si="19"/>
        <v>0</v>
      </c>
      <c r="AD110" s="48">
        <f t="shared" si="19"/>
        <v>0</v>
      </c>
      <c r="AE110" s="48">
        <f t="shared" si="19"/>
        <v>0</v>
      </c>
      <c r="AF110" s="48">
        <f t="shared" si="19"/>
        <v>0</v>
      </c>
      <c r="AG110" s="11">
        <f t="shared" si="16"/>
        <v>0</v>
      </c>
    </row>
    <row r="111" spans="7:33" ht="21" x14ac:dyDescent="0.15">
      <c r="G111" s="206" t="s">
        <v>214</v>
      </c>
      <c r="H111" s="4" t="s">
        <v>215</v>
      </c>
      <c r="I111" s="6"/>
      <c r="J111" s="9"/>
      <c r="K111" s="46">
        <f t="shared" si="13"/>
        <v>0</v>
      </c>
      <c r="L111" s="46">
        <f t="shared" si="14"/>
        <v>0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11">
        <f t="shared" si="16"/>
        <v>0</v>
      </c>
    </row>
    <row r="112" spans="7:33" x14ac:dyDescent="0.15">
      <c r="G112" s="206" t="s">
        <v>216</v>
      </c>
      <c r="H112" s="4" t="s">
        <v>217</v>
      </c>
      <c r="I112" s="6"/>
      <c r="J112" s="9"/>
      <c r="K112" s="46">
        <f t="shared" si="13"/>
        <v>0</v>
      </c>
      <c r="L112" s="46">
        <f t="shared" si="14"/>
        <v>0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11">
        <f t="shared" si="16"/>
        <v>0</v>
      </c>
    </row>
    <row r="113" spans="7:33" x14ac:dyDescent="0.15">
      <c r="G113" s="206" t="s">
        <v>218</v>
      </c>
      <c r="H113" s="53" t="s">
        <v>219</v>
      </c>
      <c r="I113" s="6"/>
      <c r="J113" s="9"/>
      <c r="K113" s="46">
        <f t="shared" si="13"/>
        <v>0</v>
      </c>
      <c r="L113" s="46">
        <f t="shared" si="14"/>
        <v>0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11">
        <f t="shared" si="16"/>
        <v>0</v>
      </c>
    </row>
    <row r="114" spans="7:33" x14ac:dyDescent="0.15">
      <c r="G114" s="206" t="s">
        <v>220</v>
      </c>
      <c r="H114" s="4" t="s">
        <v>221</v>
      </c>
      <c r="I114" s="6"/>
      <c r="J114" s="9"/>
      <c r="K114" s="46">
        <f t="shared" si="13"/>
        <v>0</v>
      </c>
      <c r="L114" s="46">
        <f t="shared" si="14"/>
        <v>0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11">
        <f t="shared" si="16"/>
        <v>0</v>
      </c>
    </row>
    <row r="115" spans="7:33" x14ac:dyDescent="0.15">
      <c r="G115" s="206" t="s">
        <v>222</v>
      </c>
      <c r="H115" s="4" t="s">
        <v>223</v>
      </c>
      <c r="I115" s="6"/>
      <c r="J115" s="9"/>
      <c r="K115" s="46">
        <f t="shared" si="13"/>
        <v>0</v>
      </c>
      <c r="L115" s="46">
        <f t="shared" si="14"/>
        <v>0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11">
        <f t="shared" si="16"/>
        <v>0</v>
      </c>
    </row>
    <row r="116" spans="7:33" x14ac:dyDescent="0.15">
      <c r="G116" s="206" t="s">
        <v>154</v>
      </c>
      <c r="H116" s="53" t="s">
        <v>224</v>
      </c>
      <c r="I116" s="6"/>
      <c r="J116" s="9"/>
      <c r="K116" s="46">
        <f t="shared" si="13"/>
        <v>0</v>
      </c>
      <c r="L116" s="46">
        <f t="shared" si="14"/>
        <v>0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11">
        <f t="shared" si="16"/>
        <v>0</v>
      </c>
    </row>
    <row r="117" spans="7:33" x14ac:dyDescent="0.15">
      <c r="G117" s="206" t="s">
        <v>225</v>
      </c>
      <c r="H117" s="4" t="s">
        <v>226</v>
      </c>
      <c r="I117" s="6"/>
      <c r="J117" s="9"/>
      <c r="K117" s="46">
        <f t="shared" si="13"/>
        <v>0</v>
      </c>
      <c r="L117" s="46">
        <f t="shared" si="14"/>
        <v>0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11">
        <f t="shared" si="16"/>
        <v>0</v>
      </c>
    </row>
    <row r="118" spans="7:33" x14ac:dyDescent="0.15">
      <c r="G118" s="205" t="s">
        <v>227</v>
      </c>
      <c r="H118" s="4" t="s">
        <v>228</v>
      </c>
      <c r="I118" s="6"/>
      <c r="J118" s="9"/>
      <c r="K118" s="46">
        <f t="shared" si="13"/>
        <v>0</v>
      </c>
      <c r="L118" s="46">
        <f t="shared" si="14"/>
        <v>0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11">
        <f t="shared" si="16"/>
        <v>0</v>
      </c>
    </row>
    <row r="119" spans="7:33" x14ac:dyDescent="0.15">
      <c r="G119" s="205" t="s">
        <v>229</v>
      </c>
      <c r="H119" s="53" t="s">
        <v>230</v>
      </c>
      <c r="I119" s="46">
        <f>IF(SUM(I120:I123)&gt;=1,1,0)</f>
        <v>0</v>
      </c>
      <c r="J119" s="46"/>
      <c r="K119" s="46">
        <f t="shared" si="13"/>
        <v>0</v>
      </c>
      <c r="L119" s="46">
        <f t="shared" si="14"/>
        <v>0</v>
      </c>
      <c r="M119" s="46">
        <f>SUM(M120:M123)</f>
        <v>0</v>
      </c>
      <c r="N119" s="46">
        <f t="shared" ref="N119:AF119" si="20">SUM(N120:N123)</f>
        <v>0</v>
      </c>
      <c r="O119" s="46">
        <f t="shared" si="20"/>
        <v>0</v>
      </c>
      <c r="P119" s="46">
        <f t="shared" si="20"/>
        <v>0</v>
      </c>
      <c r="Q119" s="46">
        <f t="shared" si="20"/>
        <v>0</v>
      </c>
      <c r="R119" s="46">
        <f t="shared" si="20"/>
        <v>0</v>
      </c>
      <c r="S119" s="46">
        <f t="shared" si="20"/>
        <v>0</v>
      </c>
      <c r="T119" s="46">
        <f t="shared" si="20"/>
        <v>0</v>
      </c>
      <c r="U119" s="46">
        <f t="shared" si="20"/>
        <v>0</v>
      </c>
      <c r="V119" s="46">
        <f t="shared" si="20"/>
        <v>0</v>
      </c>
      <c r="W119" s="46">
        <f t="shared" si="20"/>
        <v>0</v>
      </c>
      <c r="X119" s="46">
        <f t="shared" si="20"/>
        <v>0</v>
      </c>
      <c r="Y119" s="46">
        <f t="shared" si="20"/>
        <v>0</v>
      </c>
      <c r="Z119" s="46">
        <f t="shared" si="20"/>
        <v>0</v>
      </c>
      <c r="AA119" s="46">
        <f t="shared" si="20"/>
        <v>0</v>
      </c>
      <c r="AB119" s="46">
        <f t="shared" si="20"/>
        <v>0</v>
      </c>
      <c r="AC119" s="46">
        <f t="shared" si="20"/>
        <v>0</v>
      </c>
      <c r="AD119" s="46">
        <f t="shared" si="20"/>
        <v>0</v>
      </c>
      <c r="AE119" s="46">
        <f t="shared" si="20"/>
        <v>0</v>
      </c>
      <c r="AF119" s="46">
        <f t="shared" si="20"/>
        <v>0</v>
      </c>
      <c r="AG119" s="11">
        <f t="shared" si="16"/>
        <v>0</v>
      </c>
    </row>
    <row r="120" spans="7:33" ht="21" x14ac:dyDescent="0.15">
      <c r="G120" s="206" t="s">
        <v>870</v>
      </c>
      <c r="H120" s="4" t="s">
        <v>231</v>
      </c>
      <c r="I120" s="6"/>
      <c r="J120" s="9"/>
      <c r="K120" s="46">
        <f t="shared" si="13"/>
        <v>0</v>
      </c>
      <c r="L120" s="46">
        <f t="shared" si="14"/>
        <v>0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11">
        <f t="shared" si="16"/>
        <v>0</v>
      </c>
    </row>
    <row r="121" spans="7:33" x14ac:dyDescent="0.15">
      <c r="G121" s="206" t="s">
        <v>232</v>
      </c>
      <c r="H121" s="4" t="s">
        <v>233</v>
      </c>
      <c r="I121" s="6"/>
      <c r="J121" s="9"/>
      <c r="K121" s="46">
        <f t="shared" si="13"/>
        <v>0</v>
      </c>
      <c r="L121" s="46">
        <f t="shared" si="14"/>
        <v>0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11">
        <f t="shared" si="16"/>
        <v>0</v>
      </c>
    </row>
    <row r="122" spans="7:33" x14ac:dyDescent="0.15">
      <c r="G122" s="206" t="s">
        <v>234</v>
      </c>
      <c r="H122" s="53" t="s">
        <v>235</v>
      </c>
      <c r="I122" s="6"/>
      <c r="J122" s="9"/>
      <c r="K122" s="46">
        <f t="shared" si="13"/>
        <v>0</v>
      </c>
      <c r="L122" s="46">
        <f t="shared" si="14"/>
        <v>0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11">
        <f t="shared" si="16"/>
        <v>0</v>
      </c>
    </row>
    <row r="123" spans="7:33" ht="21" x14ac:dyDescent="0.15">
      <c r="G123" s="206" t="s">
        <v>236</v>
      </c>
      <c r="H123" s="4" t="s">
        <v>237</v>
      </c>
      <c r="I123" s="6"/>
      <c r="J123" s="9"/>
      <c r="K123" s="46">
        <f t="shared" si="13"/>
        <v>0</v>
      </c>
      <c r="L123" s="46">
        <f t="shared" si="14"/>
        <v>0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11">
        <f t="shared" si="16"/>
        <v>0</v>
      </c>
    </row>
    <row r="124" spans="7:33" x14ac:dyDescent="0.15">
      <c r="G124" s="205" t="s">
        <v>238</v>
      </c>
      <c r="H124" s="4" t="s">
        <v>239</v>
      </c>
      <c r="I124" s="6"/>
      <c r="J124" s="9"/>
      <c r="K124" s="46">
        <f t="shared" si="13"/>
        <v>0</v>
      </c>
      <c r="L124" s="46">
        <f t="shared" si="14"/>
        <v>0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11">
        <f t="shared" si="16"/>
        <v>0</v>
      </c>
    </row>
    <row r="125" spans="7:33" x14ac:dyDescent="0.15">
      <c r="G125" s="205" t="s">
        <v>240</v>
      </c>
      <c r="H125" s="53" t="s">
        <v>241</v>
      </c>
      <c r="I125" s="6"/>
      <c r="J125" s="9"/>
      <c r="K125" s="46">
        <f t="shared" si="13"/>
        <v>0</v>
      </c>
      <c r="L125" s="46">
        <f t="shared" si="14"/>
        <v>0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11">
        <f t="shared" si="16"/>
        <v>0</v>
      </c>
    </row>
    <row r="126" spans="7:33" x14ac:dyDescent="0.15">
      <c r="G126" s="205" t="s">
        <v>242</v>
      </c>
      <c r="H126" s="4" t="s">
        <v>243</v>
      </c>
      <c r="I126" s="6"/>
      <c r="J126" s="9"/>
      <c r="K126" s="46">
        <f t="shared" si="13"/>
        <v>0</v>
      </c>
      <c r="L126" s="46">
        <f t="shared" si="14"/>
        <v>0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11">
        <f t="shared" si="16"/>
        <v>0</v>
      </c>
    </row>
    <row r="127" spans="7:33" x14ac:dyDescent="0.15">
      <c r="G127" s="205" t="s">
        <v>244</v>
      </c>
      <c r="H127" s="4" t="s">
        <v>245</v>
      </c>
      <c r="I127" s="6"/>
      <c r="J127" s="9"/>
      <c r="K127" s="46">
        <f t="shared" si="13"/>
        <v>0</v>
      </c>
      <c r="L127" s="46">
        <f t="shared" si="14"/>
        <v>0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11">
        <f t="shared" si="16"/>
        <v>0</v>
      </c>
    </row>
    <row r="128" spans="7:33" x14ac:dyDescent="0.15">
      <c r="G128" s="205" t="s">
        <v>246</v>
      </c>
      <c r="H128" s="53" t="s">
        <v>247</v>
      </c>
      <c r="I128" s="6"/>
      <c r="J128" s="9"/>
      <c r="K128" s="46">
        <f t="shared" si="13"/>
        <v>0</v>
      </c>
      <c r="L128" s="46">
        <f t="shared" si="14"/>
        <v>0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11">
        <f t="shared" si="16"/>
        <v>0</v>
      </c>
    </row>
    <row r="129" spans="7:33" x14ac:dyDescent="0.15">
      <c r="G129" s="205" t="s">
        <v>248</v>
      </c>
      <c r="H129" s="4" t="s">
        <v>249</v>
      </c>
      <c r="I129" s="6"/>
      <c r="J129" s="9"/>
      <c r="K129" s="46">
        <f t="shared" si="13"/>
        <v>0</v>
      </c>
      <c r="L129" s="46">
        <f t="shared" si="14"/>
        <v>0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11">
        <f t="shared" si="16"/>
        <v>0</v>
      </c>
    </row>
    <row r="130" spans="7:33" x14ac:dyDescent="0.15">
      <c r="G130" s="205" t="s">
        <v>895</v>
      </c>
      <c r="H130" s="4" t="s">
        <v>251</v>
      </c>
      <c r="I130" s="6"/>
      <c r="J130" s="9"/>
      <c r="K130" s="46">
        <f t="shared" ref="K130" si="21">L130+X130</f>
        <v>0</v>
      </c>
      <c r="L130" s="46">
        <f t="shared" ref="L130" si="22">SUM(M130:P130)</f>
        <v>0</v>
      </c>
      <c r="M130" s="150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11">
        <f t="shared" ref="AG130" si="23">SUM(I130:AF130)</f>
        <v>0</v>
      </c>
    </row>
    <row r="131" spans="7:33" x14ac:dyDescent="0.15">
      <c r="G131" s="205" t="s">
        <v>250</v>
      </c>
      <c r="H131" s="53" t="s">
        <v>253</v>
      </c>
      <c r="I131" s="6"/>
      <c r="J131" s="9"/>
      <c r="K131" s="46">
        <f t="shared" si="13"/>
        <v>0</v>
      </c>
      <c r="L131" s="46">
        <f t="shared" si="14"/>
        <v>0</v>
      </c>
      <c r="M131" s="150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11">
        <f t="shared" si="16"/>
        <v>0</v>
      </c>
    </row>
    <row r="132" spans="7:33" x14ac:dyDescent="0.15">
      <c r="G132" s="205" t="s">
        <v>252</v>
      </c>
      <c r="H132" s="4" t="s">
        <v>255</v>
      </c>
      <c r="I132" s="6"/>
      <c r="J132" s="9"/>
      <c r="K132" s="46">
        <f t="shared" si="13"/>
        <v>0</v>
      </c>
      <c r="L132" s="46">
        <f t="shared" si="14"/>
        <v>0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11">
        <f t="shared" si="16"/>
        <v>0</v>
      </c>
    </row>
    <row r="133" spans="7:33" x14ac:dyDescent="0.15">
      <c r="G133" s="205" t="s">
        <v>254</v>
      </c>
      <c r="H133" s="4" t="s">
        <v>257</v>
      </c>
      <c r="I133" s="6"/>
      <c r="J133" s="9"/>
      <c r="K133" s="46">
        <f t="shared" si="13"/>
        <v>0</v>
      </c>
      <c r="L133" s="46">
        <f t="shared" si="14"/>
        <v>0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11">
        <f t="shared" si="16"/>
        <v>0</v>
      </c>
    </row>
    <row r="134" spans="7:33" ht="21" x14ac:dyDescent="0.15">
      <c r="G134" s="207" t="s">
        <v>256</v>
      </c>
      <c r="H134" s="53" t="s">
        <v>259</v>
      </c>
      <c r="I134" s="6"/>
      <c r="J134" s="9"/>
      <c r="K134" s="46">
        <f t="shared" si="13"/>
        <v>0</v>
      </c>
      <c r="L134" s="46">
        <f t="shared" si="14"/>
        <v>0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11">
        <f t="shared" si="16"/>
        <v>0</v>
      </c>
    </row>
    <row r="135" spans="7:33" x14ac:dyDescent="0.15">
      <c r="G135" s="207" t="s">
        <v>258</v>
      </c>
      <c r="H135" s="4" t="s">
        <v>261</v>
      </c>
      <c r="I135" s="6"/>
      <c r="J135" s="9"/>
      <c r="K135" s="46">
        <f t="shared" si="13"/>
        <v>0</v>
      </c>
      <c r="L135" s="46">
        <f t="shared" si="14"/>
        <v>0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11">
        <f t="shared" si="16"/>
        <v>0</v>
      </c>
    </row>
    <row r="136" spans="7:33" x14ac:dyDescent="0.15">
      <c r="G136" s="207" t="s">
        <v>260</v>
      </c>
      <c r="H136" s="4" t="s">
        <v>263</v>
      </c>
      <c r="I136" s="6"/>
      <c r="J136" s="9"/>
      <c r="K136" s="46">
        <f t="shared" si="13"/>
        <v>0</v>
      </c>
      <c r="L136" s="46">
        <f t="shared" si="14"/>
        <v>0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11">
        <f t="shared" si="16"/>
        <v>0</v>
      </c>
    </row>
    <row r="137" spans="7:33" x14ac:dyDescent="0.15">
      <c r="G137" s="205" t="s">
        <v>262</v>
      </c>
      <c r="H137" s="53" t="s">
        <v>265</v>
      </c>
      <c r="I137" s="6"/>
      <c r="J137" s="9"/>
      <c r="K137" s="46">
        <f t="shared" si="13"/>
        <v>0</v>
      </c>
      <c r="L137" s="46">
        <f t="shared" si="14"/>
        <v>0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11">
        <f t="shared" si="16"/>
        <v>0</v>
      </c>
    </row>
    <row r="138" spans="7:33" x14ac:dyDescent="0.15">
      <c r="G138" s="205" t="s">
        <v>264</v>
      </c>
      <c r="H138" s="4" t="s">
        <v>267</v>
      </c>
      <c r="I138" s="6"/>
      <c r="J138" s="9"/>
      <c r="K138" s="46">
        <f t="shared" si="13"/>
        <v>0</v>
      </c>
      <c r="L138" s="46">
        <f t="shared" si="14"/>
        <v>0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11">
        <f t="shared" si="16"/>
        <v>0</v>
      </c>
    </row>
    <row r="139" spans="7:33" x14ac:dyDescent="0.15">
      <c r="G139" s="205" t="s">
        <v>266</v>
      </c>
      <c r="H139" s="4" t="s">
        <v>269</v>
      </c>
      <c r="I139" s="6"/>
      <c r="J139" s="9"/>
      <c r="K139" s="46">
        <f t="shared" si="13"/>
        <v>0</v>
      </c>
      <c r="L139" s="46">
        <f t="shared" si="14"/>
        <v>0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11">
        <f t="shared" si="16"/>
        <v>0</v>
      </c>
    </row>
    <row r="140" spans="7:33" x14ac:dyDescent="0.15">
      <c r="G140" s="205" t="s">
        <v>268</v>
      </c>
      <c r="H140" s="53" t="s">
        <v>271</v>
      </c>
      <c r="I140" s="6"/>
      <c r="J140" s="9"/>
      <c r="K140" s="46">
        <f t="shared" si="13"/>
        <v>0</v>
      </c>
      <c r="L140" s="46">
        <f t="shared" si="14"/>
        <v>0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11">
        <f t="shared" si="16"/>
        <v>0</v>
      </c>
    </row>
    <row r="141" spans="7:33" x14ac:dyDescent="0.15">
      <c r="G141" s="205" t="s">
        <v>270</v>
      </c>
      <c r="H141" s="4" t="s">
        <v>273</v>
      </c>
      <c r="I141" s="6"/>
      <c r="J141" s="9"/>
      <c r="K141" s="46">
        <f t="shared" ref="K141:K204" si="24">L141+X141</f>
        <v>0</v>
      </c>
      <c r="L141" s="46">
        <f t="shared" ref="L141:L204" si="25">SUM(M141:P141)</f>
        <v>0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11">
        <f t="shared" ref="AG141:AG204" si="26">SUM(I141:AF141)</f>
        <v>0</v>
      </c>
    </row>
    <row r="142" spans="7:33" x14ac:dyDescent="0.15">
      <c r="G142" s="205" t="s">
        <v>272</v>
      </c>
      <c r="H142" s="4" t="s">
        <v>275</v>
      </c>
      <c r="I142" s="6"/>
      <c r="J142" s="9"/>
      <c r="K142" s="46">
        <f t="shared" si="24"/>
        <v>0</v>
      </c>
      <c r="L142" s="46">
        <f t="shared" si="25"/>
        <v>0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11">
        <f t="shared" si="26"/>
        <v>0</v>
      </c>
    </row>
    <row r="143" spans="7:33" x14ac:dyDescent="0.15">
      <c r="G143" s="205" t="s">
        <v>274</v>
      </c>
      <c r="H143" s="53" t="s">
        <v>277</v>
      </c>
      <c r="I143" s="6"/>
      <c r="J143" s="9"/>
      <c r="K143" s="46">
        <f t="shared" si="24"/>
        <v>0</v>
      </c>
      <c r="L143" s="46">
        <f t="shared" si="25"/>
        <v>0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11">
        <f t="shared" si="26"/>
        <v>0</v>
      </c>
    </row>
    <row r="144" spans="7:33" x14ac:dyDescent="0.15">
      <c r="G144" s="205" t="s">
        <v>276</v>
      </c>
      <c r="H144" s="4" t="s">
        <v>279</v>
      </c>
      <c r="I144" s="6"/>
      <c r="J144" s="9"/>
      <c r="K144" s="46">
        <f t="shared" si="24"/>
        <v>0</v>
      </c>
      <c r="L144" s="46">
        <f t="shared" si="25"/>
        <v>0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11">
        <f t="shared" si="26"/>
        <v>0</v>
      </c>
    </row>
    <row r="145" spans="7:33" x14ac:dyDescent="0.15">
      <c r="G145" s="205" t="s">
        <v>278</v>
      </c>
      <c r="H145" s="4" t="s">
        <v>281</v>
      </c>
      <c r="I145" s="6"/>
      <c r="J145" s="9"/>
      <c r="K145" s="46">
        <f t="shared" si="24"/>
        <v>0</v>
      </c>
      <c r="L145" s="46">
        <f t="shared" si="25"/>
        <v>0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11">
        <f t="shared" si="26"/>
        <v>0</v>
      </c>
    </row>
    <row r="146" spans="7:33" x14ac:dyDescent="0.15">
      <c r="G146" s="205" t="s">
        <v>280</v>
      </c>
      <c r="H146" s="53" t="s">
        <v>283</v>
      </c>
      <c r="I146" s="6"/>
      <c r="J146" s="9"/>
      <c r="K146" s="46">
        <f t="shared" si="24"/>
        <v>0</v>
      </c>
      <c r="L146" s="46">
        <f t="shared" si="25"/>
        <v>0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11">
        <f t="shared" si="26"/>
        <v>0</v>
      </c>
    </row>
    <row r="147" spans="7:33" x14ac:dyDescent="0.15">
      <c r="G147" s="205" t="s">
        <v>282</v>
      </c>
      <c r="H147" s="4" t="s">
        <v>285</v>
      </c>
      <c r="I147" s="6"/>
      <c r="J147" s="9"/>
      <c r="K147" s="46">
        <f t="shared" si="24"/>
        <v>0</v>
      </c>
      <c r="L147" s="46">
        <f t="shared" si="25"/>
        <v>0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11">
        <f t="shared" si="26"/>
        <v>0</v>
      </c>
    </row>
    <row r="148" spans="7:33" x14ac:dyDescent="0.15">
      <c r="G148" s="205" t="s">
        <v>284</v>
      </c>
      <c r="H148" s="4" t="s">
        <v>287</v>
      </c>
      <c r="I148" s="6"/>
      <c r="J148" s="9"/>
      <c r="K148" s="46">
        <f t="shared" si="24"/>
        <v>0</v>
      </c>
      <c r="L148" s="46">
        <f t="shared" si="25"/>
        <v>0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11">
        <f t="shared" si="26"/>
        <v>0</v>
      </c>
    </row>
    <row r="149" spans="7:33" x14ac:dyDescent="0.15">
      <c r="G149" s="205" t="s">
        <v>286</v>
      </c>
      <c r="H149" s="53" t="s">
        <v>289</v>
      </c>
      <c r="I149" s="6"/>
      <c r="J149" s="9"/>
      <c r="K149" s="46">
        <f t="shared" si="24"/>
        <v>0</v>
      </c>
      <c r="L149" s="46">
        <f t="shared" si="25"/>
        <v>0</v>
      </c>
      <c r="M149" s="8"/>
      <c r="N149" s="6"/>
      <c r="O149" s="8"/>
      <c r="P149" s="6"/>
      <c r="Q149" s="8"/>
      <c r="R149" s="6"/>
      <c r="S149" s="6"/>
      <c r="T149" s="8"/>
      <c r="U149" s="6"/>
      <c r="V149" s="8"/>
      <c r="W149" s="8"/>
      <c r="X149" s="6"/>
      <c r="Y149" s="8"/>
      <c r="Z149" s="6"/>
      <c r="AA149" s="6"/>
      <c r="AB149" s="6"/>
      <c r="AC149" s="6"/>
      <c r="AD149" s="6"/>
      <c r="AE149" s="8"/>
      <c r="AF149" s="8"/>
      <c r="AG149" s="11">
        <f t="shared" si="26"/>
        <v>0</v>
      </c>
    </row>
    <row r="150" spans="7:33" x14ac:dyDescent="0.15">
      <c r="G150" s="205" t="s">
        <v>288</v>
      </c>
      <c r="H150" s="4" t="s">
        <v>291</v>
      </c>
      <c r="I150" s="47">
        <f>IF(SUM(I151:I152)&gt;=1,1,0)</f>
        <v>0</v>
      </c>
      <c r="J150" s="47"/>
      <c r="K150" s="46">
        <f t="shared" si="24"/>
        <v>0</v>
      </c>
      <c r="L150" s="46">
        <f t="shared" si="25"/>
        <v>0</v>
      </c>
      <c r="M150" s="48">
        <f>SUM(M151:M152)</f>
        <v>0</v>
      </c>
      <c r="N150" s="48">
        <f t="shared" ref="N150:AF150" si="27">SUM(N151:N152)</f>
        <v>0</v>
      </c>
      <c r="O150" s="48">
        <f t="shared" si="27"/>
        <v>0</v>
      </c>
      <c r="P150" s="48">
        <f t="shared" si="27"/>
        <v>0</v>
      </c>
      <c r="Q150" s="48">
        <f t="shared" si="27"/>
        <v>0</v>
      </c>
      <c r="R150" s="48">
        <f t="shared" si="27"/>
        <v>0</v>
      </c>
      <c r="S150" s="48">
        <f t="shared" si="27"/>
        <v>0</v>
      </c>
      <c r="T150" s="48">
        <f t="shared" si="27"/>
        <v>0</v>
      </c>
      <c r="U150" s="48">
        <f t="shared" si="27"/>
        <v>0</v>
      </c>
      <c r="V150" s="48">
        <f t="shared" si="27"/>
        <v>0</v>
      </c>
      <c r="W150" s="48">
        <f t="shared" si="27"/>
        <v>0</v>
      </c>
      <c r="X150" s="48">
        <f t="shared" si="27"/>
        <v>0</v>
      </c>
      <c r="Y150" s="48">
        <f t="shared" si="27"/>
        <v>0</v>
      </c>
      <c r="Z150" s="48">
        <f t="shared" si="27"/>
        <v>0</v>
      </c>
      <c r="AA150" s="48">
        <f t="shared" si="27"/>
        <v>0</v>
      </c>
      <c r="AB150" s="48">
        <f t="shared" si="27"/>
        <v>0</v>
      </c>
      <c r="AC150" s="48">
        <f t="shared" si="27"/>
        <v>0</v>
      </c>
      <c r="AD150" s="48">
        <f t="shared" si="27"/>
        <v>0</v>
      </c>
      <c r="AE150" s="48">
        <f t="shared" si="27"/>
        <v>0</v>
      </c>
      <c r="AF150" s="48">
        <f t="shared" si="27"/>
        <v>0</v>
      </c>
      <c r="AG150" s="11">
        <f t="shared" si="26"/>
        <v>0</v>
      </c>
    </row>
    <row r="151" spans="7:33" ht="21" x14ac:dyDescent="0.15">
      <c r="G151" s="206" t="s">
        <v>290</v>
      </c>
      <c r="H151" s="4" t="s">
        <v>293</v>
      </c>
      <c r="I151" s="6"/>
      <c r="J151" s="9"/>
      <c r="K151" s="46">
        <f t="shared" si="24"/>
        <v>0</v>
      </c>
      <c r="L151" s="46">
        <f t="shared" si="25"/>
        <v>0</v>
      </c>
      <c r="M151" s="8"/>
      <c r="N151" s="6"/>
      <c r="O151" s="8"/>
      <c r="P151" s="6"/>
      <c r="Q151" s="8"/>
      <c r="R151" s="6"/>
      <c r="S151" s="6"/>
      <c r="T151" s="8"/>
      <c r="U151" s="6"/>
      <c r="V151" s="8"/>
      <c r="W151" s="8"/>
      <c r="X151" s="6"/>
      <c r="Y151" s="8"/>
      <c r="Z151" s="6"/>
      <c r="AA151" s="6"/>
      <c r="AB151" s="6"/>
      <c r="AC151" s="6"/>
      <c r="AD151" s="6"/>
      <c r="AE151" s="8"/>
      <c r="AF151" s="8"/>
      <c r="AG151" s="11">
        <f t="shared" si="26"/>
        <v>0</v>
      </c>
    </row>
    <row r="152" spans="7:33" ht="21" x14ac:dyDescent="0.15">
      <c r="G152" s="206" t="s">
        <v>292</v>
      </c>
      <c r="H152" s="53" t="s">
        <v>295</v>
      </c>
      <c r="I152" s="6"/>
      <c r="J152" s="9"/>
      <c r="K152" s="46">
        <f t="shared" si="24"/>
        <v>0</v>
      </c>
      <c r="L152" s="46">
        <f t="shared" si="25"/>
        <v>0</v>
      </c>
      <c r="M152" s="8"/>
      <c r="N152" s="6"/>
      <c r="O152" s="8"/>
      <c r="P152" s="6"/>
      <c r="Q152" s="8"/>
      <c r="R152" s="6"/>
      <c r="S152" s="6"/>
      <c r="T152" s="8"/>
      <c r="U152" s="6"/>
      <c r="V152" s="8"/>
      <c r="W152" s="8"/>
      <c r="X152" s="6"/>
      <c r="Y152" s="8"/>
      <c r="Z152" s="6"/>
      <c r="AA152" s="6"/>
      <c r="AB152" s="6"/>
      <c r="AC152" s="6"/>
      <c r="AD152" s="6"/>
      <c r="AE152" s="8"/>
      <c r="AF152" s="8"/>
      <c r="AG152" s="11">
        <f t="shared" si="26"/>
        <v>0</v>
      </c>
    </row>
    <row r="153" spans="7:33" x14ac:dyDescent="0.15">
      <c r="G153" s="205" t="s">
        <v>294</v>
      </c>
      <c r="H153" s="4" t="s">
        <v>297</v>
      </c>
      <c r="I153" s="6"/>
      <c r="J153" s="9"/>
      <c r="K153" s="46">
        <f t="shared" si="24"/>
        <v>0</v>
      </c>
      <c r="L153" s="46">
        <f t="shared" si="25"/>
        <v>0</v>
      </c>
      <c r="M153" s="8"/>
      <c r="N153" s="6"/>
      <c r="O153" s="8"/>
      <c r="P153" s="6"/>
      <c r="Q153" s="8"/>
      <c r="R153" s="6"/>
      <c r="S153" s="6"/>
      <c r="T153" s="8"/>
      <c r="U153" s="6"/>
      <c r="V153" s="8"/>
      <c r="W153" s="8"/>
      <c r="X153" s="6"/>
      <c r="Y153" s="8"/>
      <c r="Z153" s="6"/>
      <c r="AA153" s="6"/>
      <c r="AB153" s="6"/>
      <c r="AC153" s="6"/>
      <c r="AD153" s="6"/>
      <c r="AE153" s="8"/>
      <c r="AF153" s="8"/>
      <c r="AG153" s="11">
        <f t="shared" si="26"/>
        <v>0</v>
      </c>
    </row>
    <row r="154" spans="7:33" x14ac:dyDescent="0.15">
      <c r="G154" s="205" t="s">
        <v>296</v>
      </c>
      <c r="H154" s="4" t="s">
        <v>299</v>
      </c>
      <c r="I154" s="6"/>
      <c r="J154" s="9"/>
      <c r="K154" s="46">
        <f t="shared" si="24"/>
        <v>0</v>
      </c>
      <c r="L154" s="46">
        <f t="shared" si="25"/>
        <v>0</v>
      </c>
      <c r="M154" s="8"/>
      <c r="N154" s="6"/>
      <c r="O154" s="8"/>
      <c r="P154" s="6"/>
      <c r="Q154" s="8"/>
      <c r="R154" s="6"/>
      <c r="S154" s="6"/>
      <c r="T154" s="8"/>
      <c r="U154" s="6"/>
      <c r="V154" s="8"/>
      <c r="W154" s="8"/>
      <c r="X154" s="6"/>
      <c r="Y154" s="8"/>
      <c r="Z154" s="6"/>
      <c r="AA154" s="6"/>
      <c r="AB154" s="6"/>
      <c r="AC154" s="6"/>
      <c r="AD154" s="6"/>
      <c r="AE154" s="8"/>
      <c r="AF154" s="8"/>
      <c r="AG154" s="11">
        <f t="shared" si="26"/>
        <v>0</v>
      </c>
    </row>
    <row r="155" spans="7:33" x14ac:dyDescent="0.15">
      <c r="G155" s="205" t="s">
        <v>298</v>
      </c>
      <c r="H155" s="53" t="s">
        <v>301</v>
      </c>
      <c r="I155" s="6"/>
      <c r="J155" s="9"/>
      <c r="K155" s="46">
        <f t="shared" si="24"/>
        <v>0</v>
      </c>
      <c r="L155" s="46">
        <f t="shared" si="25"/>
        <v>0</v>
      </c>
      <c r="M155" s="8"/>
      <c r="N155" s="6"/>
      <c r="O155" s="8"/>
      <c r="P155" s="6"/>
      <c r="Q155" s="8"/>
      <c r="R155" s="6"/>
      <c r="S155" s="6"/>
      <c r="T155" s="8"/>
      <c r="U155" s="6"/>
      <c r="V155" s="8"/>
      <c r="W155" s="8"/>
      <c r="X155" s="6"/>
      <c r="Y155" s="8"/>
      <c r="Z155" s="6"/>
      <c r="AA155" s="6"/>
      <c r="AB155" s="6"/>
      <c r="AC155" s="6"/>
      <c r="AD155" s="6"/>
      <c r="AE155" s="8"/>
      <c r="AF155" s="8"/>
      <c r="AG155" s="11">
        <f t="shared" si="26"/>
        <v>0</v>
      </c>
    </row>
    <row r="156" spans="7:33" x14ac:dyDescent="0.15">
      <c r="G156" s="205" t="s">
        <v>300</v>
      </c>
      <c r="H156" s="4" t="s">
        <v>303</v>
      </c>
      <c r="I156" s="6"/>
      <c r="J156" s="9"/>
      <c r="K156" s="46">
        <f t="shared" si="24"/>
        <v>0</v>
      </c>
      <c r="L156" s="46">
        <f t="shared" si="25"/>
        <v>0</v>
      </c>
      <c r="M156" s="8"/>
      <c r="N156" s="6"/>
      <c r="O156" s="8"/>
      <c r="P156" s="6"/>
      <c r="Q156" s="8"/>
      <c r="R156" s="6"/>
      <c r="S156" s="6"/>
      <c r="T156" s="8"/>
      <c r="U156" s="6"/>
      <c r="V156" s="8"/>
      <c r="W156" s="8"/>
      <c r="X156" s="6"/>
      <c r="Y156" s="8"/>
      <c r="Z156" s="6"/>
      <c r="AA156" s="6"/>
      <c r="AB156" s="6"/>
      <c r="AC156" s="6"/>
      <c r="AD156" s="6"/>
      <c r="AE156" s="8"/>
      <c r="AF156" s="8"/>
      <c r="AG156" s="11">
        <f t="shared" si="26"/>
        <v>0</v>
      </c>
    </row>
    <row r="157" spans="7:33" x14ac:dyDescent="0.15">
      <c r="G157" s="205" t="s">
        <v>302</v>
      </c>
      <c r="H157" s="4" t="s">
        <v>305</v>
      </c>
      <c r="I157" s="6"/>
      <c r="J157" s="9"/>
      <c r="K157" s="46">
        <f t="shared" si="24"/>
        <v>0</v>
      </c>
      <c r="L157" s="46">
        <f t="shared" si="25"/>
        <v>0</v>
      </c>
      <c r="M157" s="8"/>
      <c r="N157" s="6"/>
      <c r="O157" s="8"/>
      <c r="P157" s="6"/>
      <c r="Q157" s="8"/>
      <c r="R157" s="6"/>
      <c r="S157" s="6"/>
      <c r="T157" s="8"/>
      <c r="U157" s="6"/>
      <c r="V157" s="8"/>
      <c r="W157" s="8"/>
      <c r="X157" s="6"/>
      <c r="Y157" s="8"/>
      <c r="Z157" s="6"/>
      <c r="AA157" s="6"/>
      <c r="AB157" s="6"/>
      <c r="AC157" s="6"/>
      <c r="AD157" s="6"/>
      <c r="AE157" s="8"/>
      <c r="AF157" s="8"/>
      <c r="AG157" s="11">
        <f t="shared" si="26"/>
        <v>0</v>
      </c>
    </row>
    <row r="158" spans="7:33" x14ac:dyDescent="0.15">
      <c r="G158" s="205" t="s">
        <v>304</v>
      </c>
      <c r="H158" s="53" t="s">
        <v>307</v>
      </c>
      <c r="I158" s="6"/>
      <c r="J158" s="9"/>
      <c r="K158" s="46">
        <f t="shared" si="24"/>
        <v>0</v>
      </c>
      <c r="L158" s="46">
        <f t="shared" si="25"/>
        <v>0</v>
      </c>
      <c r="M158" s="8"/>
      <c r="N158" s="6"/>
      <c r="O158" s="8"/>
      <c r="P158" s="6"/>
      <c r="Q158" s="8"/>
      <c r="R158" s="6"/>
      <c r="S158" s="6"/>
      <c r="T158" s="8"/>
      <c r="U158" s="6"/>
      <c r="V158" s="8"/>
      <c r="W158" s="8"/>
      <c r="X158" s="6"/>
      <c r="Y158" s="8"/>
      <c r="Z158" s="6"/>
      <c r="AA158" s="6"/>
      <c r="AB158" s="6"/>
      <c r="AC158" s="6"/>
      <c r="AD158" s="6"/>
      <c r="AE158" s="8"/>
      <c r="AF158" s="8"/>
      <c r="AG158" s="11">
        <f t="shared" si="26"/>
        <v>0</v>
      </c>
    </row>
    <row r="159" spans="7:33" x14ac:dyDescent="0.15">
      <c r="G159" s="205" t="s">
        <v>306</v>
      </c>
      <c r="H159" s="4" t="s">
        <v>309</v>
      </c>
      <c r="I159" s="46">
        <f>IF(SUM(I160:I163)&gt;=1,1,0)</f>
        <v>0</v>
      </c>
      <c r="J159" s="46"/>
      <c r="K159" s="46">
        <f t="shared" si="24"/>
        <v>0</v>
      </c>
      <c r="L159" s="46">
        <f t="shared" si="25"/>
        <v>0</v>
      </c>
      <c r="M159" s="46">
        <f>SUM(M160:M163)</f>
        <v>0</v>
      </c>
      <c r="N159" s="46">
        <f t="shared" ref="N159:AF159" si="28">SUM(N160:N163)</f>
        <v>0</v>
      </c>
      <c r="O159" s="46">
        <f t="shared" si="28"/>
        <v>0</v>
      </c>
      <c r="P159" s="46">
        <f t="shared" si="28"/>
        <v>0</v>
      </c>
      <c r="Q159" s="46">
        <f t="shared" si="28"/>
        <v>0</v>
      </c>
      <c r="R159" s="46">
        <f t="shared" si="28"/>
        <v>0</v>
      </c>
      <c r="S159" s="46">
        <f t="shared" si="28"/>
        <v>0</v>
      </c>
      <c r="T159" s="46">
        <f t="shared" si="28"/>
        <v>0</v>
      </c>
      <c r="U159" s="46">
        <f t="shared" si="28"/>
        <v>0</v>
      </c>
      <c r="V159" s="46">
        <f t="shared" si="28"/>
        <v>0</v>
      </c>
      <c r="W159" s="46">
        <f t="shared" si="28"/>
        <v>0</v>
      </c>
      <c r="X159" s="46">
        <f t="shared" si="28"/>
        <v>0</v>
      </c>
      <c r="Y159" s="46">
        <f t="shared" si="28"/>
        <v>0</v>
      </c>
      <c r="Z159" s="46">
        <f t="shared" si="28"/>
        <v>0</v>
      </c>
      <c r="AA159" s="46">
        <f t="shared" si="28"/>
        <v>0</v>
      </c>
      <c r="AB159" s="46">
        <f t="shared" si="28"/>
        <v>0</v>
      </c>
      <c r="AC159" s="46">
        <f t="shared" si="28"/>
        <v>0</v>
      </c>
      <c r="AD159" s="46">
        <f t="shared" si="28"/>
        <v>0</v>
      </c>
      <c r="AE159" s="46">
        <f t="shared" si="28"/>
        <v>0</v>
      </c>
      <c r="AF159" s="46">
        <f t="shared" si="28"/>
        <v>0</v>
      </c>
      <c r="AG159" s="11">
        <f t="shared" si="26"/>
        <v>0</v>
      </c>
    </row>
    <row r="160" spans="7:33" ht="21" x14ac:dyDescent="0.15">
      <c r="G160" s="206" t="s">
        <v>308</v>
      </c>
      <c r="H160" s="4" t="s">
        <v>311</v>
      </c>
      <c r="I160" s="6"/>
      <c r="J160" s="9"/>
      <c r="K160" s="46">
        <f t="shared" si="24"/>
        <v>0</v>
      </c>
      <c r="L160" s="46">
        <f t="shared" si="25"/>
        <v>0</v>
      </c>
      <c r="M160" s="8"/>
      <c r="N160" s="6"/>
      <c r="O160" s="8"/>
      <c r="P160" s="6"/>
      <c r="Q160" s="8"/>
      <c r="R160" s="6"/>
      <c r="S160" s="6"/>
      <c r="T160" s="8"/>
      <c r="U160" s="6"/>
      <c r="V160" s="8"/>
      <c r="W160" s="8"/>
      <c r="X160" s="6"/>
      <c r="Y160" s="8"/>
      <c r="Z160" s="6"/>
      <c r="AA160" s="6"/>
      <c r="AB160" s="6"/>
      <c r="AC160" s="6"/>
      <c r="AD160" s="6"/>
      <c r="AE160" s="8"/>
      <c r="AF160" s="8"/>
      <c r="AG160" s="11">
        <f t="shared" si="26"/>
        <v>0</v>
      </c>
    </row>
    <row r="161" spans="7:33" x14ac:dyDescent="0.15">
      <c r="G161" s="206" t="s">
        <v>310</v>
      </c>
      <c r="H161" s="53" t="s">
        <v>313</v>
      </c>
      <c r="I161" s="6"/>
      <c r="J161" s="9"/>
      <c r="K161" s="46">
        <f t="shared" si="24"/>
        <v>0</v>
      </c>
      <c r="L161" s="46">
        <f t="shared" si="25"/>
        <v>0</v>
      </c>
      <c r="M161" s="8"/>
      <c r="N161" s="6"/>
      <c r="O161" s="8"/>
      <c r="P161" s="6"/>
      <c r="Q161" s="8"/>
      <c r="R161" s="6"/>
      <c r="S161" s="6"/>
      <c r="T161" s="8"/>
      <c r="U161" s="6"/>
      <c r="V161" s="8"/>
      <c r="W161" s="8"/>
      <c r="X161" s="6"/>
      <c r="Y161" s="8"/>
      <c r="Z161" s="6"/>
      <c r="AA161" s="6"/>
      <c r="AB161" s="6"/>
      <c r="AC161" s="6"/>
      <c r="AD161" s="6"/>
      <c r="AE161" s="8"/>
      <c r="AF161" s="8"/>
      <c r="AG161" s="11">
        <f t="shared" si="26"/>
        <v>0</v>
      </c>
    </row>
    <row r="162" spans="7:33" x14ac:dyDescent="0.15">
      <c r="G162" s="206" t="s">
        <v>312</v>
      </c>
      <c r="H162" s="4" t="s">
        <v>315</v>
      </c>
      <c r="I162" s="6"/>
      <c r="J162" s="9"/>
      <c r="K162" s="46">
        <f t="shared" si="24"/>
        <v>0</v>
      </c>
      <c r="L162" s="46">
        <f t="shared" si="25"/>
        <v>0</v>
      </c>
      <c r="M162" s="8"/>
      <c r="N162" s="6"/>
      <c r="O162" s="8"/>
      <c r="P162" s="6"/>
      <c r="Q162" s="8"/>
      <c r="R162" s="6"/>
      <c r="S162" s="6"/>
      <c r="T162" s="8"/>
      <c r="U162" s="6"/>
      <c r="V162" s="8"/>
      <c r="W162" s="8"/>
      <c r="X162" s="6"/>
      <c r="Y162" s="8"/>
      <c r="Z162" s="6"/>
      <c r="AA162" s="6"/>
      <c r="AB162" s="6"/>
      <c r="AC162" s="6"/>
      <c r="AD162" s="6"/>
      <c r="AE162" s="8"/>
      <c r="AF162" s="8"/>
      <c r="AG162" s="11">
        <f t="shared" si="26"/>
        <v>0</v>
      </c>
    </row>
    <row r="163" spans="7:33" x14ac:dyDescent="0.15">
      <c r="G163" s="206" t="s">
        <v>314</v>
      </c>
      <c r="H163" s="4" t="s">
        <v>317</v>
      </c>
      <c r="I163" s="6"/>
      <c r="J163" s="9"/>
      <c r="K163" s="46">
        <f t="shared" si="24"/>
        <v>0</v>
      </c>
      <c r="L163" s="46">
        <f t="shared" si="25"/>
        <v>0</v>
      </c>
      <c r="M163" s="8"/>
      <c r="N163" s="6"/>
      <c r="O163" s="8"/>
      <c r="P163" s="6"/>
      <c r="Q163" s="8"/>
      <c r="R163" s="6"/>
      <c r="S163" s="6"/>
      <c r="T163" s="8"/>
      <c r="U163" s="6"/>
      <c r="V163" s="8"/>
      <c r="W163" s="8"/>
      <c r="X163" s="6"/>
      <c r="Y163" s="8"/>
      <c r="Z163" s="6"/>
      <c r="AA163" s="6"/>
      <c r="AB163" s="6"/>
      <c r="AC163" s="6"/>
      <c r="AD163" s="6"/>
      <c r="AE163" s="8"/>
      <c r="AF163" s="8"/>
      <c r="AG163" s="11">
        <f t="shared" si="26"/>
        <v>0</v>
      </c>
    </row>
    <row r="164" spans="7:33" x14ac:dyDescent="0.15">
      <c r="G164" s="205" t="s">
        <v>316</v>
      </c>
      <c r="H164" s="53" t="s">
        <v>319</v>
      </c>
      <c r="I164" s="6"/>
      <c r="J164" s="9"/>
      <c r="K164" s="46">
        <f t="shared" si="24"/>
        <v>0</v>
      </c>
      <c r="L164" s="46">
        <f t="shared" si="25"/>
        <v>0</v>
      </c>
      <c r="M164" s="8"/>
      <c r="N164" s="6"/>
      <c r="O164" s="8"/>
      <c r="P164" s="6"/>
      <c r="Q164" s="8"/>
      <c r="R164" s="6"/>
      <c r="S164" s="6"/>
      <c r="T164" s="8"/>
      <c r="U164" s="6"/>
      <c r="V164" s="8"/>
      <c r="W164" s="8"/>
      <c r="X164" s="6"/>
      <c r="Y164" s="8"/>
      <c r="Z164" s="6"/>
      <c r="AA164" s="6"/>
      <c r="AB164" s="6"/>
      <c r="AC164" s="6"/>
      <c r="AD164" s="6"/>
      <c r="AE164" s="8"/>
      <c r="AF164" s="8"/>
      <c r="AG164" s="11">
        <f t="shared" si="26"/>
        <v>0</v>
      </c>
    </row>
    <row r="165" spans="7:33" x14ac:dyDescent="0.15">
      <c r="G165" s="205" t="s">
        <v>318</v>
      </c>
      <c r="H165" s="4" t="s">
        <v>321</v>
      </c>
      <c r="I165" s="46">
        <f>IF(SUM(I166:I170)&gt;=1,1,0)</f>
        <v>0</v>
      </c>
      <c r="J165" s="46"/>
      <c r="K165" s="46">
        <f t="shared" si="24"/>
        <v>0</v>
      </c>
      <c r="L165" s="46">
        <f t="shared" si="25"/>
        <v>0</v>
      </c>
      <c r="M165" s="46">
        <f>SUM(M166:M170)</f>
        <v>0</v>
      </c>
      <c r="N165" s="46">
        <f t="shared" ref="N165:AF165" si="29">SUM(N166:N170)</f>
        <v>0</v>
      </c>
      <c r="O165" s="46">
        <f t="shared" si="29"/>
        <v>0</v>
      </c>
      <c r="P165" s="46">
        <f t="shared" si="29"/>
        <v>0</v>
      </c>
      <c r="Q165" s="46">
        <f t="shared" si="29"/>
        <v>0</v>
      </c>
      <c r="R165" s="46">
        <f t="shared" si="29"/>
        <v>0</v>
      </c>
      <c r="S165" s="46">
        <f t="shared" si="29"/>
        <v>0</v>
      </c>
      <c r="T165" s="46">
        <f t="shared" si="29"/>
        <v>0</v>
      </c>
      <c r="U165" s="46">
        <f t="shared" si="29"/>
        <v>0</v>
      </c>
      <c r="V165" s="46">
        <f t="shared" si="29"/>
        <v>0</v>
      </c>
      <c r="W165" s="46">
        <f t="shared" si="29"/>
        <v>0</v>
      </c>
      <c r="X165" s="46">
        <f t="shared" si="29"/>
        <v>0</v>
      </c>
      <c r="Y165" s="46">
        <f t="shared" si="29"/>
        <v>0</v>
      </c>
      <c r="Z165" s="46">
        <f t="shared" si="29"/>
        <v>0</v>
      </c>
      <c r="AA165" s="46">
        <f t="shared" si="29"/>
        <v>0</v>
      </c>
      <c r="AB165" s="46">
        <f t="shared" si="29"/>
        <v>0</v>
      </c>
      <c r="AC165" s="46">
        <f t="shared" si="29"/>
        <v>0</v>
      </c>
      <c r="AD165" s="46">
        <f t="shared" si="29"/>
        <v>0</v>
      </c>
      <c r="AE165" s="46">
        <f t="shared" si="29"/>
        <v>0</v>
      </c>
      <c r="AF165" s="46">
        <f t="shared" si="29"/>
        <v>0</v>
      </c>
      <c r="AG165" s="11">
        <f t="shared" si="26"/>
        <v>0</v>
      </c>
    </row>
    <row r="166" spans="7:33" ht="21" x14ac:dyDescent="0.15">
      <c r="G166" s="206" t="s">
        <v>320</v>
      </c>
      <c r="H166" s="4" t="s">
        <v>323</v>
      </c>
      <c r="I166" s="6"/>
      <c r="J166" s="9"/>
      <c r="K166" s="46">
        <f t="shared" si="24"/>
        <v>0</v>
      </c>
      <c r="L166" s="46">
        <f t="shared" si="25"/>
        <v>0</v>
      </c>
      <c r="M166" s="8"/>
      <c r="N166" s="6"/>
      <c r="O166" s="8"/>
      <c r="P166" s="6"/>
      <c r="Q166" s="8"/>
      <c r="R166" s="6"/>
      <c r="S166" s="6"/>
      <c r="T166" s="8"/>
      <c r="U166" s="6"/>
      <c r="V166" s="8"/>
      <c r="W166" s="8"/>
      <c r="X166" s="6"/>
      <c r="Y166" s="8"/>
      <c r="Z166" s="6"/>
      <c r="AA166" s="6"/>
      <c r="AB166" s="6"/>
      <c r="AC166" s="6"/>
      <c r="AD166" s="6"/>
      <c r="AE166" s="8"/>
      <c r="AF166" s="8"/>
      <c r="AG166" s="11">
        <f t="shared" si="26"/>
        <v>0</v>
      </c>
    </row>
    <row r="167" spans="7:33" x14ac:dyDescent="0.15">
      <c r="G167" s="206" t="s">
        <v>322</v>
      </c>
      <c r="H167" s="53" t="s">
        <v>325</v>
      </c>
      <c r="I167" s="6"/>
      <c r="J167" s="9"/>
      <c r="K167" s="46">
        <f t="shared" si="24"/>
        <v>0</v>
      </c>
      <c r="L167" s="46">
        <f t="shared" si="25"/>
        <v>0</v>
      </c>
      <c r="M167" s="8"/>
      <c r="N167" s="6"/>
      <c r="O167" s="8"/>
      <c r="P167" s="6"/>
      <c r="Q167" s="8"/>
      <c r="R167" s="6"/>
      <c r="S167" s="6"/>
      <c r="T167" s="8"/>
      <c r="U167" s="6"/>
      <c r="V167" s="8"/>
      <c r="W167" s="8"/>
      <c r="X167" s="6"/>
      <c r="Y167" s="8"/>
      <c r="Z167" s="6"/>
      <c r="AA167" s="6"/>
      <c r="AB167" s="6"/>
      <c r="AC167" s="6"/>
      <c r="AD167" s="6"/>
      <c r="AE167" s="8"/>
      <c r="AF167" s="8"/>
      <c r="AG167" s="11">
        <f t="shared" si="26"/>
        <v>0</v>
      </c>
    </row>
    <row r="168" spans="7:33" x14ac:dyDescent="0.15">
      <c r="G168" s="206" t="s">
        <v>324</v>
      </c>
      <c r="H168" s="4" t="s">
        <v>327</v>
      </c>
      <c r="I168" s="6"/>
      <c r="J168" s="9"/>
      <c r="K168" s="46">
        <f t="shared" si="24"/>
        <v>0</v>
      </c>
      <c r="L168" s="46">
        <f t="shared" si="25"/>
        <v>0</v>
      </c>
      <c r="M168" s="8"/>
      <c r="N168" s="6"/>
      <c r="O168" s="8"/>
      <c r="P168" s="6"/>
      <c r="Q168" s="8"/>
      <c r="R168" s="6"/>
      <c r="S168" s="6"/>
      <c r="T168" s="8"/>
      <c r="U168" s="6"/>
      <c r="V168" s="8"/>
      <c r="W168" s="8"/>
      <c r="X168" s="6"/>
      <c r="Y168" s="8"/>
      <c r="Z168" s="6"/>
      <c r="AA168" s="6"/>
      <c r="AB168" s="6"/>
      <c r="AC168" s="6"/>
      <c r="AD168" s="6"/>
      <c r="AE168" s="8"/>
      <c r="AF168" s="8"/>
      <c r="AG168" s="11">
        <f t="shared" si="26"/>
        <v>0</v>
      </c>
    </row>
    <row r="169" spans="7:33" x14ac:dyDescent="0.15">
      <c r="G169" s="206" t="s">
        <v>326</v>
      </c>
      <c r="H169" s="4" t="s">
        <v>329</v>
      </c>
      <c r="I169" s="6"/>
      <c r="J169" s="9"/>
      <c r="K169" s="46">
        <f t="shared" si="24"/>
        <v>0</v>
      </c>
      <c r="L169" s="46">
        <f t="shared" si="25"/>
        <v>0</v>
      </c>
      <c r="M169" s="8"/>
      <c r="N169" s="6"/>
      <c r="O169" s="8"/>
      <c r="P169" s="6"/>
      <c r="Q169" s="8"/>
      <c r="R169" s="6"/>
      <c r="S169" s="6"/>
      <c r="T169" s="8"/>
      <c r="U169" s="6"/>
      <c r="V169" s="8"/>
      <c r="W169" s="8"/>
      <c r="X169" s="6"/>
      <c r="Y169" s="8"/>
      <c r="Z169" s="6"/>
      <c r="AA169" s="6"/>
      <c r="AB169" s="6"/>
      <c r="AC169" s="6"/>
      <c r="AD169" s="6"/>
      <c r="AE169" s="8"/>
      <c r="AF169" s="8"/>
      <c r="AG169" s="11">
        <f t="shared" si="26"/>
        <v>0</v>
      </c>
    </row>
    <row r="170" spans="7:33" ht="21" x14ac:dyDescent="0.15">
      <c r="G170" s="206" t="s">
        <v>328</v>
      </c>
      <c r="H170" s="53" t="s">
        <v>331</v>
      </c>
      <c r="I170" s="6"/>
      <c r="J170" s="9"/>
      <c r="K170" s="46">
        <f t="shared" si="24"/>
        <v>0</v>
      </c>
      <c r="L170" s="46">
        <f t="shared" si="25"/>
        <v>0</v>
      </c>
      <c r="M170" s="8"/>
      <c r="N170" s="6"/>
      <c r="O170" s="8"/>
      <c r="P170" s="6"/>
      <c r="Q170" s="8"/>
      <c r="R170" s="6"/>
      <c r="S170" s="6"/>
      <c r="T170" s="8"/>
      <c r="U170" s="6"/>
      <c r="V170" s="8"/>
      <c r="W170" s="8"/>
      <c r="X170" s="6"/>
      <c r="Y170" s="8"/>
      <c r="Z170" s="6"/>
      <c r="AA170" s="6"/>
      <c r="AB170" s="6"/>
      <c r="AC170" s="6"/>
      <c r="AD170" s="6"/>
      <c r="AE170" s="8"/>
      <c r="AF170" s="8"/>
      <c r="AG170" s="11">
        <f t="shared" si="26"/>
        <v>0</v>
      </c>
    </row>
    <row r="171" spans="7:33" x14ac:dyDescent="0.15">
      <c r="G171" s="205" t="s">
        <v>330</v>
      </c>
      <c r="H171" s="4" t="s">
        <v>333</v>
      </c>
      <c r="I171" s="6"/>
      <c r="J171" s="9"/>
      <c r="K171" s="46">
        <f t="shared" si="24"/>
        <v>0</v>
      </c>
      <c r="L171" s="46">
        <f t="shared" si="25"/>
        <v>0</v>
      </c>
      <c r="M171" s="8"/>
      <c r="N171" s="6"/>
      <c r="O171" s="8"/>
      <c r="P171" s="6"/>
      <c r="Q171" s="8"/>
      <c r="R171" s="6"/>
      <c r="S171" s="6"/>
      <c r="T171" s="8"/>
      <c r="U171" s="6"/>
      <c r="V171" s="8"/>
      <c r="W171" s="8"/>
      <c r="X171" s="6"/>
      <c r="Y171" s="8"/>
      <c r="Z171" s="6"/>
      <c r="AA171" s="6"/>
      <c r="AB171" s="6"/>
      <c r="AC171" s="6"/>
      <c r="AD171" s="6"/>
      <c r="AE171" s="8"/>
      <c r="AF171" s="8"/>
      <c r="AG171" s="11">
        <f t="shared" si="26"/>
        <v>0</v>
      </c>
    </row>
    <row r="172" spans="7:33" x14ac:dyDescent="0.15">
      <c r="G172" s="205" t="s">
        <v>332</v>
      </c>
      <c r="H172" s="4" t="s">
        <v>335</v>
      </c>
      <c r="I172" s="6"/>
      <c r="J172" s="9"/>
      <c r="K172" s="46">
        <f t="shared" si="24"/>
        <v>0</v>
      </c>
      <c r="L172" s="46">
        <f t="shared" si="25"/>
        <v>0</v>
      </c>
      <c r="M172" s="8"/>
      <c r="N172" s="6"/>
      <c r="O172" s="8"/>
      <c r="P172" s="6"/>
      <c r="Q172" s="8"/>
      <c r="R172" s="6"/>
      <c r="S172" s="6"/>
      <c r="T172" s="8"/>
      <c r="U172" s="6"/>
      <c r="V172" s="8"/>
      <c r="W172" s="8"/>
      <c r="X172" s="6"/>
      <c r="Y172" s="8"/>
      <c r="Z172" s="6"/>
      <c r="AA172" s="6"/>
      <c r="AB172" s="6"/>
      <c r="AC172" s="6"/>
      <c r="AD172" s="6"/>
      <c r="AE172" s="8"/>
      <c r="AF172" s="8"/>
      <c r="AG172" s="11">
        <f t="shared" si="26"/>
        <v>0</v>
      </c>
    </row>
    <row r="173" spans="7:33" x14ac:dyDescent="0.15">
      <c r="G173" s="205" t="s">
        <v>334</v>
      </c>
      <c r="H173" s="53" t="s">
        <v>337</v>
      </c>
      <c r="I173" s="6"/>
      <c r="J173" s="9"/>
      <c r="K173" s="46">
        <f t="shared" si="24"/>
        <v>0</v>
      </c>
      <c r="L173" s="46">
        <f t="shared" si="25"/>
        <v>0</v>
      </c>
      <c r="M173" s="8"/>
      <c r="N173" s="6"/>
      <c r="O173" s="8"/>
      <c r="P173" s="6"/>
      <c r="Q173" s="8"/>
      <c r="R173" s="6"/>
      <c r="S173" s="6"/>
      <c r="T173" s="8"/>
      <c r="U173" s="6"/>
      <c r="V173" s="8"/>
      <c r="W173" s="8"/>
      <c r="X173" s="6"/>
      <c r="Y173" s="8"/>
      <c r="Z173" s="6"/>
      <c r="AA173" s="6"/>
      <c r="AB173" s="6"/>
      <c r="AC173" s="6"/>
      <c r="AD173" s="6"/>
      <c r="AE173" s="8"/>
      <c r="AF173" s="8"/>
      <c r="AG173" s="11">
        <f t="shared" si="26"/>
        <v>0</v>
      </c>
    </row>
    <row r="174" spans="7:33" x14ac:dyDescent="0.15">
      <c r="G174" s="205" t="s">
        <v>336</v>
      </c>
      <c r="H174" s="4" t="s">
        <v>339</v>
      </c>
      <c r="I174" s="46">
        <f>IF(SUM(I175:I179)&gt;=1,1,0)</f>
        <v>0</v>
      </c>
      <c r="J174" s="46"/>
      <c r="K174" s="46">
        <f t="shared" si="24"/>
        <v>0</v>
      </c>
      <c r="L174" s="46">
        <f t="shared" si="25"/>
        <v>0</v>
      </c>
      <c r="M174" s="46">
        <f>SUM(M175:M179)</f>
        <v>0</v>
      </c>
      <c r="N174" s="46">
        <f t="shared" ref="N174:AF174" si="30">SUM(N175:N179)</f>
        <v>0</v>
      </c>
      <c r="O174" s="46">
        <f t="shared" si="30"/>
        <v>0</v>
      </c>
      <c r="P174" s="46">
        <f t="shared" si="30"/>
        <v>0</v>
      </c>
      <c r="Q174" s="46">
        <f t="shared" si="30"/>
        <v>0</v>
      </c>
      <c r="R174" s="46">
        <f t="shared" si="30"/>
        <v>0</v>
      </c>
      <c r="S174" s="46">
        <f t="shared" si="30"/>
        <v>0</v>
      </c>
      <c r="T174" s="46">
        <f t="shared" si="30"/>
        <v>0</v>
      </c>
      <c r="U174" s="46">
        <f t="shared" si="30"/>
        <v>0</v>
      </c>
      <c r="V174" s="46">
        <f t="shared" si="30"/>
        <v>0</v>
      </c>
      <c r="W174" s="46">
        <f t="shared" si="30"/>
        <v>0</v>
      </c>
      <c r="X174" s="46">
        <f t="shared" si="30"/>
        <v>0</v>
      </c>
      <c r="Y174" s="46">
        <f t="shared" si="30"/>
        <v>0</v>
      </c>
      <c r="Z174" s="46">
        <f t="shared" si="30"/>
        <v>0</v>
      </c>
      <c r="AA174" s="46">
        <f t="shared" si="30"/>
        <v>0</v>
      </c>
      <c r="AB174" s="46">
        <f t="shared" si="30"/>
        <v>0</v>
      </c>
      <c r="AC174" s="46">
        <f t="shared" si="30"/>
        <v>0</v>
      </c>
      <c r="AD174" s="46">
        <f t="shared" si="30"/>
        <v>0</v>
      </c>
      <c r="AE174" s="46">
        <f t="shared" si="30"/>
        <v>0</v>
      </c>
      <c r="AF174" s="46">
        <f t="shared" si="30"/>
        <v>0</v>
      </c>
      <c r="AG174" s="11">
        <f t="shared" si="26"/>
        <v>0</v>
      </c>
    </row>
    <row r="175" spans="7:33" ht="21" x14ac:dyDescent="0.15">
      <c r="G175" s="206" t="s">
        <v>338</v>
      </c>
      <c r="H175" s="4" t="s">
        <v>341</v>
      </c>
      <c r="I175" s="6"/>
      <c r="J175" s="9"/>
      <c r="K175" s="46">
        <f t="shared" si="24"/>
        <v>0</v>
      </c>
      <c r="L175" s="46">
        <f t="shared" si="25"/>
        <v>0</v>
      </c>
      <c r="M175" s="8"/>
      <c r="N175" s="6"/>
      <c r="O175" s="8"/>
      <c r="P175" s="6"/>
      <c r="Q175" s="8"/>
      <c r="R175" s="6"/>
      <c r="S175" s="6"/>
      <c r="T175" s="8"/>
      <c r="U175" s="6"/>
      <c r="V175" s="8"/>
      <c r="W175" s="8"/>
      <c r="X175" s="6"/>
      <c r="Y175" s="8"/>
      <c r="Z175" s="6"/>
      <c r="AA175" s="6"/>
      <c r="AB175" s="6"/>
      <c r="AC175" s="6"/>
      <c r="AD175" s="6"/>
      <c r="AE175" s="8"/>
      <c r="AF175" s="8"/>
      <c r="AG175" s="11">
        <f t="shared" si="26"/>
        <v>0</v>
      </c>
    </row>
    <row r="176" spans="7:33" x14ac:dyDescent="0.15">
      <c r="G176" s="206" t="s">
        <v>340</v>
      </c>
      <c r="H176" s="53" t="s">
        <v>343</v>
      </c>
      <c r="I176" s="6"/>
      <c r="J176" s="9"/>
      <c r="K176" s="46">
        <f t="shared" si="24"/>
        <v>0</v>
      </c>
      <c r="L176" s="46">
        <f t="shared" si="25"/>
        <v>0</v>
      </c>
      <c r="M176" s="8"/>
      <c r="N176" s="6"/>
      <c r="O176" s="8"/>
      <c r="P176" s="6"/>
      <c r="Q176" s="8"/>
      <c r="R176" s="6"/>
      <c r="S176" s="6"/>
      <c r="T176" s="8"/>
      <c r="U176" s="6"/>
      <c r="V176" s="8"/>
      <c r="W176" s="8"/>
      <c r="X176" s="6"/>
      <c r="Y176" s="8"/>
      <c r="Z176" s="6"/>
      <c r="AA176" s="6"/>
      <c r="AB176" s="6"/>
      <c r="AC176" s="6"/>
      <c r="AD176" s="6"/>
      <c r="AE176" s="8"/>
      <c r="AF176" s="8"/>
      <c r="AG176" s="11">
        <f t="shared" si="26"/>
        <v>0</v>
      </c>
    </row>
    <row r="177" spans="7:33" x14ac:dyDescent="0.15">
      <c r="G177" s="206" t="s">
        <v>342</v>
      </c>
      <c r="H177" s="4" t="s">
        <v>345</v>
      </c>
      <c r="I177" s="6"/>
      <c r="J177" s="9"/>
      <c r="K177" s="46">
        <f t="shared" si="24"/>
        <v>0</v>
      </c>
      <c r="L177" s="46">
        <f t="shared" si="25"/>
        <v>0</v>
      </c>
      <c r="M177" s="8"/>
      <c r="N177" s="6"/>
      <c r="O177" s="8"/>
      <c r="P177" s="6"/>
      <c r="Q177" s="8"/>
      <c r="R177" s="6"/>
      <c r="S177" s="6"/>
      <c r="T177" s="8"/>
      <c r="U177" s="6"/>
      <c r="V177" s="8"/>
      <c r="W177" s="8"/>
      <c r="X177" s="6"/>
      <c r="Y177" s="8"/>
      <c r="Z177" s="6"/>
      <c r="AA177" s="6"/>
      <c r="AB177" s="6"/>
      <c r="AC177" s="6"/>
      <c r="AD177" s="6"/>
      <c r="AE177" s="8"/>
      <c r="AF177" s="8"/>
      <c r="AG177" s="11">
        <f t="shared" si="26"/>
        <v>0</v>
      </c>
    </row>
    <row r="178" spans="7:33" x14ac:dyDescent="0.15">
      <c r="G178" s="206" t="s">
        <v>344</v>
      </c>
      <c r="H178" s="4" t="s">
        <v>347</v>
      </c>
      <c r="I178" s="6"/>
      <c r="J178" s="9"/>
      <c r="K178" s="46">
        <f t="shared" si="24"/>
        <v>0</v>
      </c>
      <c r="L178" s="46">
        <f t="shared" si="25"/>
        <v>0</v>
      </c>
      <c r="M178" s="8"/>
      <c r="N178" s="6"/>
      <c r="O178" s="8"/>
      <c r="P178" s="6"/>
      <c r="Q178" s="8"/>
      <c r="R178" s="6"/>
      <c r="S178" s="6"/>
      <c r="T178" s="8"/>
      <c r="U178" s="6"/>
      <c r="V178" s="8"/>
      <c r="W178" s="8"/>
      <c r="X178" s="6"/>
      <c r="Y178" s="8"/>
      <c r="Z178" s="6"/>
      <c r="AA178" s="6"/>
      <c r="AB178" s="6"/>
      <c r="AC178" s="6"/>
      <c r="AD178" s="6"/>
      <c r="AE178" s="8"/>
      <c r="AF178" s="8"/>
      <c r="AG178" s="11">
        <f t="shared" si="26"/>
        <v>0</v>
      </c>
    </row>
    <row r="179" spans="7:33" x14ac:dyDescent="0.15">
      <c r="G179" s="206" t="s">
        <v>346</v>
      </c>
      <c r="H179" s="53" t="s">
        <v>349</v>
      </c>
      <c r="I179" s="6"/>
      <c r="J179" s="9"/>
      <c r="K179" s="46">
        <f t="shared" si="24"/>
        <v>0</v>
      </c>
      <c r="L179" s="46">
        <f t="shared" si="25"/>
        <v>0</v>
      </c>
      <c r="M179" s="8"/>
      <c r="N179" s="6"/>
      <c r="O179" s="8"/>
      <c r="P179" s="6"/>
      <c r="Q179" s="8"/>
      <c r="R179" s="6"/>
      <c r="S179" s="6"/>
      <c r="T179" s="8"/>
      <c r="U179" s="6"/>
      <c r="V179" s="8"/>
      <c r="W179" s="8"/>
      <c r="X179" s="6"/>
      <c r="Y179" s="8"/>
      <c r="Z179" s="6"/>
      <c r="AA179" s="6"/>
      <c r="AB179" s="6"/>
      <c r="AC179" s="6"/>
      <c r="AD179" s="6"/>
      <c r="AE179" s="8"/>
      <c r="AF179" s="8"/>
      <c r="AG179" s="11">
        <f t="shared" si="26"/>
        <v>0</v>
      </c>
    </row>
    <row r="180" spans="7:33" x14ac:dyDescent="0.15">
      <c r="G180" s="205" t="s">
        <v>348</v>
      </c>
      <c r="H180" s="4" t="s">
        <v>351</v>
      </c>
      <c r="I180" s="6"/>
      <c r="J180" s="9"/>
      <c r="K180" s="46">
        <f t="shared" si="24"/>
        <v>0</v>
      </c>
      <c r="L180" s="46">
        <f t="shared" si="25"/>
        <v>0</v>
      </c>
      <c r="M180" s="8"/>
      <c r="N180" s="6"/>
      <c r="O180" s="8"/>
      <c r="P180" s="6"/>
      <c r="Q180" s="8"/>
      <c r="R180" s="6"/>
      <c r="S180" s="6"/>
      <c r="T180" s="8"/>
      <c r="U180" s="6"/>
      <c r="V180" s="8"/>
      <c r="W180" s="8"/>
      <c r="X180" s="6"/>
      <c r="Y180" s="8"/>
      <c r="Z180" s="6"/>
      <c r="AA180" s="6"/>
      <c r="AB180" s="6"/>
      <c r="AC180" s="6"/>
      <c r="AD180" s="6"/>
      <c r="AE180" s="8"/>
      <c r="AF180" s="8"/>
      <c r="AG180" s="11">
        <f t="shared" si="26"/>
        <v>0</v>
      </c>
    </row>
    <row r="181" spans="7:33" x14ac:dyDescent="0.15">
      <c r="G181" s="205" t="s">
        <v>350</v>
      </c>
      <c r="H181" s="4" t="s">
        <v>353</v>
      </c>
      <c r="I181" s="6"/>
      <c r="J181" s="9"/>
      <c r="K181" s="46">
        <f t="shared" si="24"/>
        <v>0</v>
      </c>
      <c r="L181" s="46">
        <f t="shared" si="25"/>
        <v>0</v>
      </c>
      <c r="M181" s="8"/>
      <c r="N181" s="6"/>
      <c r="O181" s="8"/>
      <c r="P181" s="6"/>
      <c r="Q181" s="8"/>
      <c r="R181" s="6"/>
      <c r="S181" s="6"/>
      <c r="T181" s="8"/>
      <c r="U181" s="6"/>
      <c r="V181" s="8"/>
      <c r="W181" s="8"/>
      <c r="X181" s="6"/>
      <c r="Y181" s="8"/>
      <c r="Z181" s="6"/>
      <c r="AA181" s="6"/>
      <c r="AB181" s="6"/>
      <c r="AC181" s="6"/>
      <c r="AD181" s="6"/>
      <c r="AE181" s="8"/>
      <c r="AF181" s="8"/>
      <c r="AG181" s="11">
        <f t="shared" si="26"/>
        <v>0</v>
      </c>
    </row>
    <row r="182" spans="7:33" x14ac:dyDescent="0.15">
      <c r="G182" s="205" t="s">
        <v>352</v>
      </c>
      <c r="H182" s="53" t="s">
        <v>355</v>
      </c>
      <c r="I182" s="6"/>
      <c r="J182" s="9"/>
      <c r="K182" s="46">
        <f t="shared" si="24"/>
        <v>0</v>
      </c>
      <c r="L182" s="46">
        <f t="shared" si="25"/>
        <v>0</v>
      </c>
      <c r="M182" s="8"/>
      <c r="N182" s="6"/>
      <c r="O182" s="8"/>
      <c r="P182" s="6"/>
      <c r="Q182" s="8"/>
      <c r="R182" s="6"/>
      <c r="S182" s="6"/>
      <c r="T182" s="8"/>
      <c r="U182" s="6"/>
      <c r="V182" s="8"/>
      <c r="W182" s="8"/>
      <c r="X182" s="6"/>
      <c r="Y182" s="8"/>
      <c r="Z182" s="6"/>
      <c r="AA182" s="6"/>
      <c r="AB182" s="6"/>
      <c r="AC182" s="6"/>
      <c r="AD182" s="6"/>
      <c r="AE182" s="8"/>
      <c r="AF182" s="8"/>
      <c r="AG182" s="11">
        <f t="shared" si="26"/>
        <v>0</v>
      </c>
    </row>
    <row r="183" spans="7:33" x14ac:dyDescent="0.15">
      <c r="G183" s="205" t="s">
        <v>354</v>
      </c>
      <c r="H183" s="4" t="s">
        <v>357</v>
      </c>
      <c r="I183" s="6"/>
      <c r="J183" s="9"/>
      <c r="K183" s="46">
        <f t="shared" si="24"/>
        <v>0</v>
      </c>
      <c r="L183" s="46">
        <f t="shared" si="25"/>
        <v>0</v>
      </c>
      <c r="M183" s="8"/>
      <c r="N183" s="6"/>
      <c r="O183" s="8"/>
      <c r="P183" s="6"/>
      <c r="Q183" s="8"/>
      <c r="R183" s="6"/>
      <c r="S183" s="6"/>
      <c r="T183" s="8"/>
      <c r="U183" s="6"/>
      <c r="V183" s="8"/>
      <c r="W183" s="8"/>
      <c r="X183" s="6"/>
      <c r="Y183" s="8"/>
      <c r="Z183" s="6"/>
      <c r="AA183" s="6"/>
      <c r="AB183" s="6"/>
      <c r="AC183" s="6"/>
      <c r="AD183" s="6"/>
      <c r="AE183" s="8"/>
      <c r="AF183" s="8"/>
      <c r="AG183" s="11">
        <f t="shared" si="26"/>
        <v>0</v>
      </c>
    </row>
    <row r="184" spans="7:33" x14ac:dyDescent="0.15">
      <c r="G184" s="205" t="s">
        <v>356</v>
      </c>
      <c r="H184" s="4" t="s">
        <v>359</v>
      </c>
      <c r="I184" s="6"/>
      <c r="J184" s="9"/>
      <c r="K184" s="46">
        <f t="shared" si="24"/>
        <v>0</v>
      </c>
      <c r="L184" s="46">
        <f t="shared" si="25"/>
        <v>0</v>
      </c>
      <c r="M184" s="8"/>
      <c r="N184" s="6"/>
      <c r="O184" s="8"/>
      <c r="P184" s="6"/>
      <c r="Q184" s="8"/>
      <c r="R184" s="6"/>
      <c r="S184" s="6"/>
      <c r="T184" s="8"/>
      <c r="U184" s="6"/>
      <c r="V184" s="8"/>
      <c r="W184" s="8"/>
      <c r="X184" s="6"/>
      <c r="Y184" s="8"/>
      <c r="Z184" s="6"/>
      <c r="AA184" s="6"/>
      <c r="AB184" s="6"/>
      <c r="AC184" s="6"/>
      <c r="AD184" s="6"/>
      <c r="AE184" s="8"/>
      <c r="AF184" s="8"/>
      <c r="AG184" s="11">
        <f t="shared" si="26"/>
        <v>0</v>
      </c>
    </row>
    <row r="185" spans="7:33" x14ac:dyDescent="0.15">
      <c r="G185" s="205" t="s">
        <v>358</v>
      </c>
      <c r="H185" s="53" t="s">
        <v>361</v>
      </c>
      <c r="I185" s="6"/>
      <c r="J185" s="9"/>
      <c r="K185" s="46">
        <f t="shared" si="24"/>
        <v>0</v>
      </c>
      <c r="L185" s="46">
        <f t="shared" si="25"/>
        <v>0</v>
      </c>
      <c r="M185" s="8"/>
      <c r="N185" s="6"/>
      <c r="O185" s="8"/>
      <c r="P185" s="6"/>
      <c r="Q185" s="8"/>
      <c r="R185" s="6"/>
      <c r="S185" s="6"/>
      <c r="T185" s="8"/>
      <c r="U185" s="6"/>
      <c r="V185" s="8"/>
      <c r="W185" s="8"/>
      <c r="X185" s="6"/>
      <c r="Y185" s="8"/>
      <c r="Z185" s="6"/>
      <c r="AA185" s="6"/>
      <c r="AB185" s="6"/>
      <c r="AC185" s="6"/>
      <c r="AD185" s="6"/>
      <c r="AE185" s="8"/>
      <c r="AF185" s="8"/>
      <c r="AG185" s="11">
        <f t="shared" si="26"/>
        <v>0</v>
      </c>
    </row>
    <row r="186" spans="7:33" x14ac:dyDescent="0.15">
      <c r="G186" s="205" t="s">
        <v>360</v>
      </c>
      <c r="H186" s="4" t="s">
        <v>363</v>
      </c>
      <c r="I186" s="6"/>
      <c r="J186" s="9"/>
      <c r="K186" s="46">
        <f t="shared" si="24"/>
        <v>0</v>
      </c>
      <c r="L186" s="46">
        <f t="shared" si="25"/>
        <v>0</v>
      </c>
      <c r="M186" s="8"/>
      <c r="N186" s="6"/>
      <c r="O186" s="8"/>
      <c r="P186" s="6"/>
      <c r="Q186" s="8"/>
      <c r="R186" s="6"/>
      <c r="S186" s="6"/>
      <c r="T186" s="8"/>
      <c r="U186" s="6"/>
      <c r="V186" s="8"/>
      <c r="W186" s="8"/>
      <c r="X186" s="6"/>
      <c r="Y186" s="8"/>
      <c r="Z186" s="6"/>
      <c r="AA186" s="6"/>
      <c r="AB186" s="6"/>
      <c r="AC186" s="6"/>
      <c r="AD186" s="6"/>
      <c r="AE186" s="8"/>
      <c r="AF186" s="8"/>
      <c r="AG186" s="11">
        <f t="shared" si="26"/>
        <v>0</v>
      </c>
    </row>
    <row r="187" spans="7:33" x14ac:dyDescent="0.15">
      <c r="G187" s="205" t="s">
        <v>362</v>
      </c>
      <c r="H187" s="4" t="s">
        <v>365</v>
      </c>
      <c r="I187" s="6"/>
      <c r="J187" s="9"/>
      <c r="K187" s="46">
        <f t="shared" si="24"/>
        <v>0</v>
      </c>
      <c r="L187" s="46">
        <f t="shared" si="25"/>
        <v>0</v>
      </c>
      <c r="M187" s="8"/>
      <c r="N187" s="6"/>
      <c r="O187" s="8"/>
      <c r="P187" s="6"/>
      <c r="Q187" s="8"/>
      <c r="R187" s="6"/>
      <c r="S187" s="6"/>
      <c r="T187" s="8"/>
      <c r="U187" s="6"/>
      <c r="V187" s="8"/>
      <c r="W187" s="8"/>
      <c r="X187" s="6"/>
      <c r="Y187" s="8"/>
      <c r="Z187" s="6"/>
      <c r="AA187" s="6"/>
      <c r="AB187" s="6"/>
      <c r="AC187" s="6"/>
      <c r="AD187" s="6"/>
      <c r="AE187" s="8"/>
      <c r="AF187" s="8"/>
      <c r="AG187" s="11">
        <f t="shared" si="26"/>
        <v>0</v>
      </c>
    </row>
    <row r="188" spans="7:33" x14ac:dyDescent="0.15">
      <c r="G188" s="205" t="s">
        <v>364</v>
      </c>
      <c r="H188" s="53" t="s">
        <v>367</v>
      </c>
      <c r="I188" s="6"/>
      <c r="J188" s="9"/>
      <c r="K188" s="46">
        <f t="shared" si="24"/>
        <v>0</v>
      </c>
      <c r="L188" s="46">
        <f t="shared" si="25"/>
        <v>0</v>
      </c>
      <c r="M188" s="8"/>
      <c r="N188" s="6"/>
      <c r="O188" s="8"/>
      <c r="P188" s="6"/>
      <c r="Q188" s="8"/>
      <c r="R188" s="6"/>
      <c r="S188" s="6"/>
      <c r="T188" s="8"/>
      <c r="U188" s="6"/>
      <c r="V188" s="8"/>
      <c r="W188" s="8"/>
      <c r="X188" s="6"/>
      <c r="Y188" s="8"/>
      <c r="Z188" s="6"/>
      <c r="AA188" s="6"/>
      <c r="AB188" s="6"/>
      <c r="AC188" s="6"/>
      <c r="AD188" s="6"/>
      <c r="AE188" s="8"/>
      <c r="AF188" s="8"/>
      <c r="AG188" s="11">
        <f t="shared" si="26"/>
        <v>0</v>
      </c>
    </row>
    <row r="189" spans="7:33" x14ac:dyDescent="0.15">
      <c r="G189" s="205" t="s">
        <v>366</v>
      </c>
      <c r="H189" s="4" t="s">
        <v>369</v>
      </c>
      <c r="I189" s="6"/>
      <c r="J189" s="9"/>
      <c r="K189" s="46">
        <f t="shared" si="24"/>
        <v>0</v>
      </c>
      <c r="L189" s="46">
        <f t="shared" si="25"/>
        <v>0</v>
      </c>
      <c r="M189" s="8"/>
      <c r="N189" s="6"/>
      <c r="O189" s="8"/>
      <c r="P189" s="6"/>
      <c r="Q189" s="8"/>
      <c r="R189" s="6"/>
      <c r="S189" s="6"/>
      <c r="T189" s="8"/>
      <c r="U189" s="6"/>
      <c r="V189" s="8"/>
      <c r="W189" s="8"/>
      <c r="X189" s="6"/>
      <c r="Y189" s="8"/>
      <c r="Z189" s="6"/>
      <c r="AA189" s="6"/>
      <c r="AB189" s="6"/>
      <c r="AC189" s="6"/>
      <c r="AD189" s="6"/>
      <c r="AE189" s="8"/>
      <c r="AF189" s="8"/>
      <c r="AG189" s="11">
        <f t="shared" si="26"/>
        <v>0</v>
      </c>
    </row>
    <row r="190" spans="7:33" x14ac:dyDescent="0.15">
      <c r="G190" s="205" t="s">
        <v>368</v>
      </c>
      <c r="H190" s="4" t="s">
        <v>371</v>
      </c>
      <c r="I190" s="6"/>
      <c r="J190" s="9"/>
      <c r="K190" s="46">
        <f t="shared" si="24"/>
        <v>0</v>
      </c>
      <c r="L190" s="46">
        <f t="shared" si="25"/>
        <v>0</v>
      </c>
      <c r="M190" s="8"/>
      <c r="N190" s="6"/>
      <c r="O190" s="8"/>
      <c r="P190" s="6"/>
      <c r="Q190" s="8"/>
      <c r="R190" s="6"/>
      <c r="S190" s="6"/>
      <c r="T190" s="8"/>
      <c r="U190" s="6"/>
      <c r="V190" s="8"/>
      <c r="W190" s="8"/>
      <c r="X190" s="6"/>
      <c r="Y190" s="8"/>
      <c r="Z190" s="6"/>
      <c r="AA190" s="6"/>
      <c r="AB190" s="6"/>
      <c r="AC190" s="6"/>
      <c r="AD190" s="6"/>
      <c r="AE190" s="8"/>
      <c r="AF190" s="8"/>
      <c r="AG190" s="11">
        <f t="shared" si="26"/>
        <v>0</v>
      </c>
    </row>
    <row r="191" spans="7:33" x14ac:dyDescent="0.15">
      <c r="G191" s="205" t="s">
        <v>370</v>
      </c>
      <c r="H191" s="53" t="s">
        <v>373</v>
      </c>
      <c r="I191" s="6"/>
      <c r="J191" s="9"/>
      <c r="K191" s="46">
        <f t="shared" si="24"/>
        <v>0</v>
      </c>
      <c r="L191" s="46">
        <f t="shared" si="25"/>
        <v>0</v>
      </c>
      <c r="M191" s="8"/>
      <c r="N191" s="6"/>
      <c r="O191" s="8"/>
      <c r="P191" s="6"/>
      <c r="Q191" s="8"/>
      <c r="R191" s="6"/>
      <c r="S191" s="6"/>
      <c r="T191" s="8"/>
      <c r="U191" s="6"/>
      <c r="V191" s="8"/>
      <c r="W191" s="8"/>
      <c r="X191" s="6"/>
      <c r="Y191" s="8"/>
      <c r="Z191" s="6"/>
      <c r="AA191" s="6"/>
      <c r="AB191" s="6"/>
      <c r="AC191" s="6"/>
      <c r="AD191" s="6"/>
      <c r="AE191" s="8"/>
      <c r="AF191" s="8"/>
      <c r="AG191" s="11">
        <f t="shared" si="26"/>
        <v>0</v>
      </c>
    </row>
    <row r="192" spans="7:33" x14ac:dyDescent="0.15">
      <c r="G192" s="205" t="s">
        <v>372</v>
      </c>
      <c r="H192" s="4" t="s">
        <v>375</v>
      </c>
      <c r="I192" s="6"/>
      <c r="J192" s="9"/>
      <c r="K192" s="46">
        <f t="shared" si="24"/>
        <v>0</v>
      </c>
      <c r="L192" s="46">
        <f t="shared" si="25"/>
        <v>0</v>
      </c>
      <c r="M192" s="8"/>
      <c r="N192" s="6"/>
      <c r="O192" s="8"/>
      <c r="P192" s="6"/>
      <c r="Q192" s="8"/>
      <c r="R192" s="6"/>
      <c r="S192" s="6"/>
      <c r="T192" s="8"/>
      <c r="U192" s="6"/>
      <c r="V192" s="8"/>
      <c r="W192" s="8"/>
      <c r="X192" s="6"/>
      <c r="Y192" s="8"/>
      <c r="Z192" s="6"/>
      <c r="AA192" s="6"/>
      <c r="AB192" s="6"/>
      <c r="AC192" s="6"/>
      <c r="AD192" s="6"/>
      <c r="AE192" s="8"/>
      <c r="AF192" s="8"/>
      <c r="AG192" s="11">
        <f t="shared" si="26"/>
        <v>0</v>
      </c>
    </row>
    <row r="193" spans="7:33" x14ac:dyDescent="0.15">
      <c r="G193" s="205" t="s">
        <v>374</v>
      </c>
      <c r="H193" s="4" t="s">
        <v>377</v>
      </c>
      <c r="I193" s="6"/>
      <c r="J193" s="9"/>
      <c r="K193" s="46">
        <f t="shared" si="24"/>
        <v>0</v>
      </c>
      <c r="L193" s="46">
        <f t="shared" si="25"/>
        <v>0</v>
      </c>
      <c r="M193" s="8"/>
      <c r="N193" s="6"/>
      <c r="O193" s="8"/>
      <c r="P193" s="6"/>
      <c r="Q193" s="8"/>
      <c r="R193" s="6"/>
      <c r="S193" s="6"/>
      <c r="T193" s="8"/>
      <c r="U193" s="6"/>
      <c r="V193" s="8"/>
      <c r="W193" s="8"/>
      <c r="X193" s="6"/>
      <c r="Y193" s="8"/>
      <c r="Z193" s="6"/>
      <c r="AA193" s="6"/>
      <c r="AB193" s="6"/>
      <c r="AC193" s="6"/>
      <c r="AD193" s="6"/>
      <c r="AE193" s="8"/>
      <c r="AF193" s="8"/>
      <c r="AG193" s="11">
        <f t="shared" si="26"/>
        <v>0</v>
      </c>
    </row>
    <row r="194" spans="7:33" x14ac:dyDescent="0.15">
      <c r="G194" s="205" t="s">
        <v>376</v>
      </c>
      <c r="H194" s="53" t="s">
        <v>379</v>
      </c>
      <c r="I194" s="6"/>
      <c r="J194" s="9"/>
      <c r="K194" s="46">
        <f t="shared" si="24"/>
        <v>0</v>
      </c>
      <c r="L194" s="46">
        <f t="shared" si="25"/>
        <v>0</v>
      </c>
      <c r="M194" s="8"/>
      <c r="N194" s="6"/>
      <c r="O194" s="8"/>
      <c r="P194" s="6"/>
      <c r="Q194" s="8"/>
      <c r="R194" s="6"/>
      <c r="S194" s="6"/>
      <c r="T194" s="8"/>
      <c r="U194" s="6"/>
      <c r="V194" s="8"/>
      <c r="W194" s="8"/>
      <c r="X194" s="6"/>
      <c r="Y194" s="8"/>
      <c r="Z194" s="6"/>
      <c r="AA194" s="6"/>
      <c r="AB194" s="6"/>
      <c r="AC194" s="6"/>
      <c r="AD194" s="6"/>
      <c r="AE194" s="8"/>
      <c r="AF194" s="8"/>
      <c r="AG194" s="11">
        <f t="shared" si="26"/>
        <v>0</v>
      </c>
    </row>
    <row r="195" spans="7:33" x14ac:dyDescent="0.15">
      <c r="G195" s="205" t="s">
        <v>378</v>
      </c>
      <c r="H195" s="4" t="s">
        <v>381</v>
      </c>
      <c r="I195" s="46">
        <f>IF(SUM(I196:I198)&gt;=1,1,0)</f>
        <v>0</v>
      </c>
      <c r="J195" s="46"/>
      <c r="K195" s="46">
        <f t="shared" si="24"/>
        <v>0</v>
      </c>
      <c r="L195" s="46">
        <f t="shared" si="25"/>
        <v>0</v>
      </c>
      <c r="M195" s="46">
        <f>SUM(M196:M198)</f>
        <v>0</v>
      </c>
      <c r="N195" s="46">
        <f t="shared" ref="N195:AF195" si="31">SUM(N196:N198)</f>
        <v>0</v>
      </c>
      <c r="O195" s="46">
        <f t="shared" si="31"/>
        <v>0</v>
      </c>
      <c r="P195" s="46">
        <f t="shared" si="31"/>
        <v>0</v>
      </c>
      <c r="Q195" s="46">
        <f t="shared" si="31"/>
        <v>0</v>
      </c>
      <c r="R195" s="46">
        <f t="shared" si="31"/>
        <v>0</v>
      </c>
      <c r="S195" s="46">
        <f t="shared" si="31"/>
        <v>0</v>
      </c>
      <c r="T195" s="46">
        <f t="shared" si="31"/>
        <v>0</v>
      </c>
      <c r="U195" s="46">
        <f t="shared" si="31"/>
        <v>0</v>
      </c>
      <c r="V195" s="46">
        <f t="shared" si="31"/>
        <v>0</v>
      </c>
      <c r="W195" s="46">
        <f t="shared" si="31"/>
        <v>0</v>
      </c>
      <c r="X195" s="46">
        <f t="shared" si="31"/>
        <v>0</v>
      </c>
      <c r="Y195" s="46">
        <f t="shared" si="31"/>
        <v>0</v>
      </c>
      <c r="Z195" s="46">
        <f t="shared" si="31"/>
        <v>0</v>
      </c>
      <c r="AA195" s="46">
        <f t="shared" si="31"/>
        <v>0</v>
      </c>
      <c r="AB195" s="46">
        <f t="shared" si="31"/>
        <v>0</v>
      </c>
      <c r="AC195" s="46">
        <f t="shared" si="31"/>
        <v>0</v>
      </c>
      <c r="AD195" s="46">
        <f t="shared" si="31"/>
        <v>0</v>
      </c>
      <c r="AE195" s="46">
        <f t="shared" si="31"/>
        <v>0</v>
      </c>
      <c r="AF195" s="46">
        <f t="shared" si="31"/>
        <v>0</v>
      </c>
      <c r="AG195" s="11">
        <f t="shared" si="26"/>
        <v>0</v>
      </c>
    </row>
    <row r="196" spans="7:33" ht="21" x14ac:dyDescent="0.15">
      <c r="G196" s="206" t="s">
        <v>380</v>
      </c>
      <c r="H196" s="4" t="s">
        <v>383</v>
      </c>
      <c r="I196" s="6"/>
      <c r="J196" s="9"/>
      <c r="K196" s="46">
        <f t="shared" si="24"/>
        <v>0</v>
      </c>
      <c r="L196" s="46">
        <f t="shared" si="25"/>
        <v>0</v>
      </c>
      <c r="M196" s="8"/>
      <c r="N196" s="6"/>
      <c r="O196" s="8"/>
      <c r="P196" s="6"/>
      <c r="Q196" s="8"/>
      <c r="R196" s="6"/>
      <c r="S196" s="6"/>
      <c r="T196" s="8"/>
      <c r="U196" s="6"/>
      <c r="V196" s="8"/>
      <c r="W196" s="8"/>
      <c r="X196" s="6"/>
      <c r="Y196" s="8"/>
      <c r="Z196" s="6"/>
      <c r="AA196" s="6"/>
      <c r="AB196" s="6"/>
      <c r="AC196" s="6"/>
      <c r="AD196" s="6"/>
      <c r="AE196" s="8"/>
      <c r="AF196" s="8"/>
      <c r="AG196" s="11">
        <f t="shared" si="26"/>
        <v>0</v>
      </c>
    </row>
    <row r="197" spans="7:33" x14ac:dyDescent="0.15">
      <c r="G197" s="206" t="s">
        <v>382</v>
      </c>
      <c r="H197" s="53" t="s">
        <v>385</v>
      </c>
      <c r="I197" s="6"/>
      <c r="J197" s="9"/>
      <c r="K197" s="46">
        <f t="shared" si="24"/>
        <v>0</v>
      </c>
      <c r="L197" s="46">
        <f t="shared" si="25"/>
        <v>0</v>
      </c>
      <c r="M197" s="8"/>
      <c r="N197" s="6"/>
      <c r="O197" s="8"/>
      <c r="P197" s="6"/>
      <c r="Q197" s="8"/>
      <c r="R197" s="6"/>
      <c r="S197" s="6"/>
      <c r="T197" s="8"/>
      <c r="U197" s="6"/>
      <c r="V197" s="8"/>
      <c r="W197" s="8"/>
      <c r="X197" s="6"/>
      <c r="Y197" s="8"/>
      <c r="Z197" s="6"/>
      <c r="AA197" s="6"/>
      <c r="AB197" s="6"/>
      <c r="AC197" s="6"/>
      <c r="AD197" s="6"/>
      <c r="AE197" s="8"/>
      <c r="AF197" s="8"/>
      <c r="AG197" s="11">
        <f t="shared" si="26"/>
        <v>0</v>
      </c>
    </row>
    <row r="198" spans="7:33" ht="21" x14ac:dyDescent="0.15">
      <c r="G198" s="206" t="s">
        <v>384</v>
      </c>
      <c r="H198" s="4" t="s">
        <v>387</v>
      </c>
      <c r="I198" s="6"/>
      <c r="J198" s="9"/>
      <c r="K198" s="46">
        <f t="shared" si="24"/>
        <v>0</v>
      </c>
      <c r="L198" s="46">
        <f t="shared" si="25"/>
        <v>0</v>
      </c>
      <c r="M198" s="8"/>
      <c r="N198" s="6"/>
      <c r="O198" s="8"/>
      <c r="P198" s="6"/>
      <c r="Q198" s="8"/>
      <c r="R198" s="6"/>
      <c r="S198" s="6"/>
      <c r="T198" s="8"/>
      <c r="U198" s="6"/>
      <c r="V198" s="8"/>
      <c r="W198" s="8"/>
      <c r="X198" s="6"/>
      <c r="Y198" s="8"/>
      <c r="Z198" s="6"/>
      <c r="AA198" s="6"/>
      <c r="AB198" s="6"/>
      <c r="AC198" s="6"/>
      <c r="AD198" s="6"/>
      <c r="AE198" s="8"/>
      <c r="AF198" s="8"/>
      <c r="AG198" s="11">
        <f t="shared" si="26"/>
        <v>0</v>
      </c>
    </row>
    <row r="199" spans="7:33" x14ac:dyDescent="0.15">
      <c r="G199" s="205" t="s">
        <v>386</v>
      </c>
      <c r="H199" s="4" t="s">
        <v>389</v>
      </c>
      <c r="I199" s="6"/>
      <c r="J199" s="9"/>
      <c r="K199" s="46">
        <f t="shared" si="24"/>
        <v>0</v>
      </c>
      <c r="L199" s="46">
        <f t="shared" si="25"/>
        <v>0</v>
      </c>
      <c r="M199" s="8"/>
      <c r="N199" s="6"/>
      <c r="O199" s="8"/>
      <c r="P199" s="6"/>
      <c r="Q199" s="8"/>
      <c r="R199" s="6"/>
      <c r="S199" s="6"/>
      <c r="T199" s="8"/>
      <c r="U199" s="6"/>
      <c r="V199" s="8"/>
      <c r="W199" s="8"/>
      <c r="X199" s="6"/>
      <c r="Y199" s="8"/>
      <c r="Z199" s="6"/>
      <c r="AA199" s="6"/>
      <c r="AB199" s="6"/>
      <c r="AC199" s="6"/>
      <c r="AD199" s="6"/>
      <c r="AE199" s="8"/>
      <c r="AF199" s="8"/>
      <c r="AG199" s="11">
        <f t="shared" si="26"/>
        <v>0</v>
      </c>
    </row>
    <row r="200" spans="7:33" x14ac:dyDescent="0.15">
      <c r="G200" s="205" t="s">
        <v>388</v>
      </c>
      <c r="H200" s="53" t="s">
        <v>391</v>
      </c>
      <c r="I200" s="6"/>
      <c r="J200" s="9"/>
      <c r="K200" s="46">
        <f t="shared" si="24"/>
        <v>0</v>
      </c>
      <c r="L200" s="46">
        <f t="shared" si="25"/>
        <v>0</v>
      </c>
      <c r="M200" s="8"/>
      <c r="N200" s="6"/>
      <c r="O200" s="8"/>
      <c r="P200" s="6"/>
      <c r="Q200" s="8"/>
      <c r="R200" s="6"/>
      <c r="S200" s="6"/>
      <c r="T200" s="8"/>
      <c r="U200" s="6"/>
      <c r="V200" s="8"/>
      <c r="W200" s="8"/>
      <c r="X200" s="6"/>
      <c r="Y200" s="8"/>
      <c r="Z200" s="6"/>
      <c r="AA200" s="6"/>
      <c r="AB200" s="6"/>
      <c r="AC200" s="6"/>
      <c r="AD200" s="6"/>
      <c r="AE200" s="8"/>
      <c r="AF200" s="8"/>
      <c r="AG200" s="11">
        <f t="shared" si="26"/>
        <v>0</v>
      </c>
    </row>
    <row r="201" spans="7:33" x14ac:dyDescent="0.15">
      <c r="G201" s="205" t="s">
        <v>390</v>
      </c>
      <c r="H201" s="4" t="s">
        <v>393</v>
      </c>
      <c r="I201" s="6"/>
      <c r="J201" s="9"/>
      <c r="K201" s="46">
        <f t="shared" si="24"/>
        <v>0</v>
      </c>
      <c r="L201" s="46">
        <f t="shared" si="25"/>
        <v>0</v>
      </c>
      <c r="M201" s="8"/>
      <c r="N201" s="6"/>
      <c r="O201" s="8"/>
      <c r="P201" s="6"/>
      <c r="Q201" s="8"/>
      <c r="R201" s="6"/>
      <c r="S201" s="6"/>
      <c r="T201" s="8"/>
      <c r="U201" s="6"/>
      <c r="V201" s="8"/>
      <c r="W201" s="8"/>
      <c r="X201" s="6"/>
      <c r="Y201" s="8"/>
      <c r="Z201" s="6"/>
      <c r="AA201" s="6"/>
      <c r="AB201" s="6"/>
      <c r="AC201" s="6"/>
      <c r="AD201" s="6"/>
      <c r="AE201" s="8"/>
      <c r="AF201" s="8"/>
      <c r="AG201" s="11">
        <f t="shared" si="26"/>
        <v>0</v>
      </c>
    </row>
    <row r="202" spans="7:33" x14ac:dyDescent="0.15">
      <c r="G202" s="205" t="s">
        <v>392</v>
      </c>
      <c r="H202" s="4" t="s">
        <v>395</v>
      </c>
      <c r="I202" s="6"/>
      <c r="J202" s="9"/>
      <c r="K202" s="46">
        <f t="shared" si="24"/>
        <v>0</v>
      </c>
      <c r="L202" s="46">
        <f t="shared" si="25"/>
        <v>0</v>
      </c>
      <c r="M202" s="8"/>
      <c r="N202" s="6"/>
      <c r="O202" s="8"/>
      <c r="P202" s="6"/>
      <c r="Q202" s="8"/>
      <c r="R202" s="6"/>
      <c r="S202" s="6"/>
      <c r="T202" s="8"/>
      <c r="U202" s="6"/>
      <c r="V202" s="8"/>
      <c r="W202" s="8"/>
      <c r="X202" s="6"/>
      <c r="Y202" s="8"/>
      <c r="Z202" s="6"/>
      <c r="AA202" s="6"/>
      <c r="AB202" s="6"/>
      <c r="AC202" s="6"/>
      <c r="AD202" s="6"/>
      <c r="AE202" s="8"/>
      <c r="AF202" s="8"/>
      <c r="AG202" s="11">
        <f t="shared" si="26"/>
        <v>0</v>
      </c>
    </row>
    <row r="203" spans="7:33" x14ac:dyDescent="0.15">
      <c r="G203" s="205" t="s">
        <v>394</v>
      </c>
      <c r="H203" s="53" t="s">
        <v>397</v>
      </c>
      <c r="I203" s="6"/>
      <c r="J203" s="9"/>
      <c r="K203" s="46">
        <f t="shared" si="24"/>
        <v>0</v>
      </c>
      <c r="L203" s="46">
        <f t="shared" si="25"/>
        <v>0</v>
      </c>
      <c r="M203" s="8"/>
      <c r="N203" s="6"/>
      <c r="O203" s="8"/>
      <c r="P203" s="6"/>
      <c r="Q203" s="8"/>
      <c r="R203" s="6"/>
      <c r="S203" s="6"/>
      <c r="T203" s="8"/>
      <c r="U203" s="6"/>
      <c r="V203" s="8"/>
      <c r="W203" s="8"/>
      <c r="X203" s="6"/>
      <c r="Y203" s="8"/>
      <c r="Z203" s="6"/>
      <c r="AA203" s="6"/>
      <c r="AB203" s="6"/>
      <c r="AC203" s="6"/>
      <c r="AD203" s="6"/>
      <c r="AE203" s="8"/>
      <c r="AF203" s="8"/>
      <c r="AG203" s="11">
        <f t="shared" si="26"/>
        <v>0</v>
      </c>
    </row>
    <row r="204" spans="7:33" x14ac:dyDescent="0.15">
      <c r="G204" s="205" t="s">
        <v>396</v>
      </c>
      <c r="H204" s="4" t="s">
        <v>399</v>
      </c>
      <c r="I204" s="6"/>
      <c r="J204" s="9"/>
      <c r="K204" s="46">
        <f t="shared" si="24"/>
        <v>0</v>
      </c>
      <c r="L204" s="46">
        <f t="shared" si="25"/>
        <v>0</v>
      </c>
      <c r="M204" s="8"/>
      <c r="N204" s="6"/>
      <c r="O204" s="8"/>
      <c r="P204" s="6"/>
      <c r="Q204" s="8"/>
      <c r="R204" s="6"/>
      <c r="S204" s="6"/>
      <c r="T204" s="8"/>
      <c r="U204" s="6"/>
      <c r="V204" s="8"/>
      <c r="W204" s="8"/>
      <c r="X204" s="6"/>
      <c r="Y204" s="8"/>
      <c r="Z204" s="6"/>
      <c r="AA204" s="6"/>
      <c r="AB204" s="6"/>
      <c r="AC204" s="6"/>
      <c r="AD204" s="6"/>
      <c r="AE204" s="8"/>
      <c r="AF204" s="8"/>
      <c r="AG204" s="11">
        <f t="shared" si="26"/>
        <v>0</v>
      </c>
    </row>
    <row r="205" spans="7:33" x14ac:dyDescent="0.15">
      <c r="G205" s="205" t="s">
        <v>398</v>
      </c>
      <c r="H205" s="4" t="s">
        <v>401</v>
      </c>
      <c r="I205" s="6"/>
      <c r="J205" s="9"/>
      <c r="K205" s="46">
        <f t="shared" ref="K205:K269" si="32">L205+X205</f>
        <v>0</v>
      </c>
      <c r="L205" s="46">
        <f t="shared" ref="L205:L269" si="33">SUM(M205:P205)</f>
        <v>0</v>
      </c>
      <c r="M205" s="8"/>
      <c r="N205" s="6"/>
      <c r="O205" s="8"/>
      <c r="P205" s="6"/>
      <c r="Q205" s="8"/>
      <c r="R205" s="6"/>
      <c r="S205" s="6"/>
      <c r="T205" s="8"/>
      <c r="U205" s="6"/>
      <c r="V205" s="8"/>
      <c r="W205" s="8"/>
      <c r="X205" s="6"/>
      <c r="Y205" s="8"/>
      <c r="Z205" s="6"/>
      <c r="AA205" s="6"/>
      <c r="AB205" s="6"/>
      <c r="AC205" s="6"/>
      <c r="AD205" s="6"/>
      <c r="AE205" s="8"/>
      <c r="AF205" s="8"/>
      <c r="AG205" s="11">
        <f t="shared" ref="AG205:AG269" si="34">SUM(I205:AF205)</f>
        <v>0</v>
      </c>
    </row>
    <row r="206" spans="7:33" ht="21" x14ac:dyDescent="0.15">
      <c r="G206" s="205" t="s">
        <v>400</v>
      </c>
      <c r="H206" s="53" t="s">
        <v>403</v>
      </c>
      <c r="I206" s="6"/>
      <c r="J206" s="9"/>
      <c r="K206" s="46">
        <f t="shared" si="32"/>
        <v>0</v>
      </c>
      <c r="L206" s="46">
        <f t="shared" si="33"/>
        <v>0</v>
      </c>
      <c r="M206" s="8"/>
      <c r="N206" s="6"/>
      <c r="O206" s="8"/>
      <c r="P206" s="6"/>
      <c r="Q206" s="8"/>
      <c r="R206" s="6"/>
      <c r="S206" s="6"/>
      <c r="T206" s="8"/>
      <c r="U206" s="6"/>
      <c r="V206" s="8"/>
      <c r="W206" s="8"/>
      <c r="X206" s="6"/>
      <c r="Y206" s="8"/>
      <c r="Z206" s="6"/>
      <c r="AA206" s="6"/>
      <c r="AB206" s="6"/>
      <c r="AC206" s="6"/>
      <c r="AD206" s="6"/>
      <c r="AE206" s="8"/>
      <c r="AF206" s="8"/>
      <c r="AG206" s="11">
        <f t="shared" si="34"/>
        <v>0</v>
      </c>
    </row>
    <row r="207" spans="7:33" ht="21" x14ac:dyDescent="0.15">
      <c r="G207" s="205" t="s">
        <v>402</v>
      </c>
      <c r="H207" s="4" t="s">
        <v>405</v>
      </c>
      <c r="I207" s="6"/>
      <c r="J207" s="9"/>
      <c r="K207" s="46">
        <f t="shared" si="32"/>
        <v>0</v>
      </c>
      <c r="L207" s="46">
        <f t="shared" si="33"/>
        <v>0</v>
      </c>
      <c r="M207" s="8"/>
      <c r="N207" s="6"/>
      <c r="O207" s="8"/>
      <c r="P207" s="6"/>
      <c r="Q207" s="8"/>
      <c r="R207" s="6"/>
      <c r="S207" s="6"/>
      <c r="T207" s="8"/>
      <c r="U207" s="6"/>
      <c r="V207" s="8"/>
      <c r="W207" s="8"/>
      <c r="X207" s="6"/>
      <c r="Y207" s="8"/>
      <c r="Z207" s="6"/>
      <c r="AA207" s="6"/>
      <c r="AB207" s="6"/>
      <c r="AC207" s="6"/>
      <c r="AD207" s="6"/>
      <c r="AE207" s="8"/>
      <c r="AF207" s="8"/>
      <c r="AG207" s="11">
        <f t="shared" si="34"/>
        <v>0</v>
      </c>
    </row>
    <row r="208" spans="7:33" x14ac:dyDescent="0.15">
      <c r="G208" s="205" t="s">
        <v>404</v>
      </c>
      <c r="H208" s="4" t="s">
        <v>407</v>
      </c>
      <c r="I208" s="6"/>
      <c r="J208" s="9"/>
      <c r="K208" s="46">
        <f t="shared" si="32"/>
        <v>0</v>
      </c>
      <c r="L208" s="46">
        <f t="shared" si="33"/>
        <v>0</v>
      </c>
      <c r="M208" s="8"/>
      <c r="N208" s="6"/>
      <c r="O208" s="8"/>
      <c r="P208" s="6"/>
      <c r="Q208" s="8"/>
      <c r="R208" s="6"/>
      <c r="S208" s="6"/>
      <c r="T208" s="8"/>
      <c r="U208" s="6"/>
      <c r="V208" s="8"/>
      <c r="W208" s="8"/>
      <c r="X208" s="6"/>
      <c r="Y208" s="8"/>
      <c r="Z208" s="6"/>
      <c r="AA208" s="6"/>
      <c r="AB208" s="6"/>
      <c r="AC208" s="6"/>
      <c r="AD208" s="6"/>
      <c r="AE208" s="8"/>
      <c r="AF208" s="8"/>
      <c r="AG208" s="11">
        <f t="shared" si="34"/>
        <v>0</v>
      </c>
    </row>
    <row r="209" spans="7:33" ht="21" x14ac:dyDescent="0.15">
      <c r="G209" s="205" t="s">
        <v>406</v>
      </c>
      <c r="H209" s="53" t="s">
        <v>409</v>
      </c>
      <c r="I209" s="6"/>
      <c r="J209" s="9"/>
      <c r="K209" s="46">
        <f t="shared" si="32"/>
        <v>0</v>
      </c>
      <c r="L209" s="46">
        <f t="shared" si="33"/>
        <v>0</v>
      </c>
      <c r="M209" s="8"/>
      <c r="N209" s="6"/>
      <c r="O209" s="8"/>
      <c r="P209" s="6"/>
      <c r="Q209" s="8"/>
      <c r="R209" s="6"/>
      <c r="S209" s="6"/>
      <c r="T209" s="8"/>
      <c r="U209" s="6"/>
      <c r="V209" s="8"/>
      <c r="W209" s="8"/>
      <c r="X209" s="6"/>
      <c r="Y209" s="8"/>
      <c r="Z209" s="6"/>
      <c r="AA209" s="6"/>
      <c r="AB209" s="6"/>
      <c r="AC209" s="6"/>
      <c r="AD209" s="6"/>
      <c r="AE209" s="8"/>
      <c r="AF209" s="8"/>
      <c r="AG209" s="11">
        <f t="shared" si="34"/>
        <v>0</v>
      </c>
    </row>
    <row r="210" spans="7:33" x14ac:dyDescent="0.15">
      <c r="G210" s="205" t="s">
        <v>408</v>
      </c>
      <c r="H210" s="4" t="s">
        <v>411</v>
      </c>
      <c r="I210" s="46">
        <f>IF(SUM(I211:I216)&gt;=1,1,0)</f>
        <v>0</v>
      </c>
      <c r="J210" s="46"/>
      <c r="K210" s="46">
        <f t="shared" si="32"/>
        <v>0</v>
      </c>
      <c r="L210" s="46">
        <f t="shared" si="33"/>
        <v>0</v>
      </c>
      <c r="M210" s="46">
        <f>SUM(M211:M216)</f>
        <v>0</v>
      </c>
      <c r="N210" s="46">
        <f t="shared" ref="N210:AF210" si="35">SUM(N211:N216)</f>
        <v>0</v>
      </c>
      <c r="O210" s="46">
        <f t="shared" si="35"/>
        <v>0</v>
      </c>
      <c r="P210" s="46">
        <f t="shared" si="35"/>
        <v>0</v>
      </c>
      <c r="Q210" s="46">
        <f t="shared" si="35"/>
        <v>0</v>
      </c>
      <c r="R210" s="46">
        <f t="shared" si="35"/>
        <v>0</v>
      </c>
      <c r="S210" s="46">
        <f t="shared" si="35"/>
        <v>0</v>
      </c>
      <c r="T210" s="46">
        <f t="shared" si="35"/>
        <v>0</v>
      </c>
      <c r="U210" s="46">
        <f t="shared" si="35"/>
        <v>0</v>
      </c>
      <c r="V210" s="46">
        <f t="shared" si="35"/>
        <v>0</v>
      </c>
      <c r="W210" s="46">
        <f t="shared" si="35"/>
        <v>0</v>
      </c>
      <c r="X210" s="46">
        <f t="shared" si="35"/>
        <v>0</v>
      </c>
      <c r="Y210" s="46">
        <f t="shared" si="35"/>
        <v>0</v>
      </c>
      <c r="Z210" s="46">
        <f t="shared" si="35"/>
        <v>0</v>
      </c>
      <c r="AA210" s="46">
        <f t="shared" si="35"/>
        <v>0</v>
      </c>
      <c r="AB210" s="46">
        <f t="shared" si="35"/>
        <v>0</v>
      </c>
      <c r="AC210" s="46">
        <f t="shared" si="35"/>
        <v>0</v>
      </c>
      <c r="AD210" s="46">
        <f t="shared" si="35"/>
        <v>0</v>
      </c>
      <c r="AE210" s="46">
        <f t="shared" si="35"/>
        <v>0</v>
      </c>
      <c r="AF210" s="46">
        <f t="shared" si="35"/>
        <v>0</v>
      </c>
      <c r="AG210" s="11">
        <f t="shared" si="34"/>
        <v>0</v>
      </c>
    </row>
    <row r="211" spans="7:33" ht="21" x14ac:dyDescent="0.15">
      <c r="G211" s="206" t="s">
        <v>410</v>
      </c>
      <c r="H211" s="4" t="s">
        <v>413</v>
      </c>
      <c r="I211" s="6"/>
      <c r="J211" s="9"/>
      <c r="K211" s="46">
        <f t="shared" si="32"/>
        <v>0</v>
      </c>
      <c r="L211" s="46">
        <f t="shared" si="33"/>
        <v>0</v>
      </c>
      <c r="M211" s="8"/>
      <c r="N211" s="6"/>
      <c r="O211" s="8"/>
      <c r="P211" s="6"/>
      <c r="Q211" s="8"/>
      <c r="R211" s="6"/>
      <c r="S211" s="6"/>
      <c r="T211" s="8"/>
      <c r="U211" s="6"/>
      <c r="V211" s="8"/>
      <c r="W211" s="8"/>
      <c r="X211" s="6"/>
      <c r="Y211" s="8"/>
      <c r="Z211" s="6"/>
      <c r="AA211" s="6"/>
      <c r="AB211" s="6"/>
      <c r="AC211" s="6"/>
      <c r="AD211" s="6"/>
      <c r="AE211" s="8"/>
      <c r="AF211" s="8"/>
      <c r="AG211" s="11">
        <f t="shared" si="34"/>
        <v>0</v>
      </c>
    </row>
    <row r="212" spans="7:33" x14ac:dyDescent="0.15">
      <c r="G212" s="206" t="s">
        <v>412</v>
      </c>
      <c r="H212" s="53" t="s">
        <v>415</v>
      </c>
      <c r="I212" s="6"/>
      <c r="J212" s="9"/>
      <c r="K212" s="46">
        <f t="shared" si="32"/>
        <v>0</v>
      </c>
      <c r="L212" s="46">
        <f t="shared" si="33"/>
        <v>0</v>
      </c>
      <c r="M212" s="8"/>
      <c r="N212" s="6"/>
      <c r="O212" s="8"/>
      <c r="P212" s="6"/>
      <c r="Q212" s="8"/>
      <c r="R212" s="6"/>
      <c r="S212" s="6"/>
      <c r="T212" s="8"/>
      <c r="U212" s="6"/>
      <c r="V212" s="8"/>
      <c r="W212" s="8"/>
      <c r="X212" s="6"/>
      <c r="Y212" s="8"/>
      <c r="Z212" s="6"/>
      <c r="AA212" s="6"/>
      <c r="AB212" s="6"/>
      <c r="AC212" s="6"/>
      <c r="AD212" s="6"/>
      <c r="AE212" s="8"/>
      <c r="AF212" s="8"/>
      <c r="AG212" s="11">
        <f t="shared" si="34"/>
        <v>0</v>
      </c>
    </row>
    <row r="213" spans="7:33" x14ac:dyDescent="0.15">
      <c r="G213" s="206" t="s">
        <v>414</v>
      </c>
      <c r="H213" s="4" t="s">
        <v>417</v>
      </c>
      <c r="I213" s="6"/>
      <c r="J213" s="9"/>
      <c r="K213" s="46">
        <f t="shared" si="32"/>
        <v>0</v>
      </c>
      <c r="L213" s="46">
        <f t="shared" si="33"/>
        <v>0</v>
      </c>
      <c r="M213" s="8"/>
      <c r="N213" s="6"/>
      <c r="O213" s="8"/>
      <c r="P213" s="6"/>
      <c r="Q213" s="8"/>
      <c r="R213" s="6"/>
      <c r="S213" s="6"/>
      <c r="T213" s="8"/>
      <c r="U213" s="6"/>
      <c r="V213" s="8"/>
      <c r="W213" s="8"/>
      <c r="X213" s="6"/>
      <c r="Y213" s="8"/>
      <c r="Z213" s="6"/>
      <c r="AA213" s="6"/>
      <c r="AB213" s="6"/>
      <c r="AC213" s="6"/>
      <c r="AD213" s="6"/>
      <c r="AE213" s="8"/>
      <c r="AF213" s="8"/>
      <c r="AG213" s="11">
        <f t="shared" si="34"/>
        <v>0</v>
      </c>
    </row>
    <row r="214" spans="7:33" x14ac:dyDescent="0.15">
      <c r="G214" s="206" t="s">
        <v>416</v>
      </c>
      <c r="H214" s="4" t="s">
        <v>419</v>
      </c>
      <c r="I214" s="6"/>
      <c r="J214" s="9"/>
      <c r="K214" s="46">
        <f t="shared" si="32"/>
        <v>0</v>
      </c>
      <c r="L214" s="46">
        <f t="shared" si="33"/>
        <v>0</v>
      </c>
      <c r="M214" s="8"/>
      <c r="N214" s="6"/>
      <c r="O214" s="8"/>
      <c r="P214" s="6"/>
      <c r="Q214" s="8"/>
      <c r="R214" s="6"/>
      <c r="S214" s="6"/>
      <c r="T214" s="8"/>
      <c r="U214" s="6"/>
      <c r="V214" s="8"/>
      <c r="W214" s="8"/>
      <c r="X214" s="6"/>
      <c r="Y214" s="8"/>
      <c r="Z214" s="6"/>
      <c r="AA214" s="6"/>
      <c r="AB214" s="6"/>
      <c r="AC214" s="6"/>
      <c r="AD214" s="6"/>
      <c r="AE214" s="8"/>
      <c r="AF214" s="8"/>
      <c r="AG214" s="11">
        <f t="shared" si="34"/>
        <v>0</v>
      </c>
    </row>
    <row r="215" spans="7:33" x14ac:dyDescent="0.15">
      <c r="G215" s="206" t="s">
        <v>418</v>
      </c>
      <c r="H215" s="53" t="s">
        <v>421</v>
      </c>
      <c r="I215" s="6"/>
      <c r="J215" s="9"/>
      <c r="K215" s="46">
        <f t="shared" si="32"/>
        <v>0</v>
      </c>
      <c r="L215" s="46">
        <f t="shared" si="33"/>
        <v>0</v>
      </c>
      <c r="M215" s="8"/>
      <c r="N215" s="6"/>
      <c r="O215" s="8"/>
      <c r="P215" s="6"/>
      <c r="Q215" s="8"/>
      <c r="R215" s="6"/>
      <c r="S215" s="6"/>
      <c r="T215" s="8"/>
      <c r="U215" s="6"/>
      <c r="V215" s="8"/>
      <c r="W215" s="8"/>
      <c r="X215" s="6"/>
      <c r="Y215" s="8"/>
      <c r="Z215" s="6"/>
      <c r="AA215" s="6"/>
      <c r="AB215" s="6"/>
      <c r="AC215" s="6"/>
      <c r="AD215" s="6"/>
      <c r="AE215" s="8"/>
      <c r="AF215" s="8"/>
      <c r="AG215" s="11">
        <f t="shared" si="34"/>
        <v>0</v>
      </c>
    </row>
    <row r="216" spans="7:33" x14ac:dyDescent="0.15">
      <c r="G216" s="206" t="s">
        <v>420</v>
      </c>
      <c r="H216" s="4" t="s">
        <v>423</v>
      </c>
      <c r="I216" s="6"/>
      <c r="J216" s="9"/>
      <c r="K216" s="46">
        <f t="shared" si="32"/>
        <v>0</v>
      </c>
      <c r="L216" s="46">
        <f t="shared" si="33"/>
        <v>0</v>
      </c>
      <c r="M216" s="8"/>
      <c r="N216" s="6"/>
      <c r="O216" s="8"/>
      <c r="P216" s="6"/>
      <c r="Q216" s="8"/>
      <c r="R216" s="6"/>
      <c r="S216" s="6"/>
      <c r="T216" s="8"/>
      <c r="U216" s="6"/>
      <c r="V216" s="8"/>
      <c r="W216" s="8"/>
      <c r="X216" s="6"/>
      <c r="Y216" s="8"/>
      <c r="Z216" s="6"/>
      <c r="AA216" s="6"/>
      <c r="AB216" s="6"/>
      <c r="AC216" s="6"/>
      <c r="AD216" s="6"/>
      <c r="AE216" s="8"/>
      <c r="AF216" s="8"/>
      <c r="AG216" s="11">
        <f t="shared" si="34"/>
        <v>0</v>
      </c>
    </row>
    <row r="217" spans="7:33" ht="16.5" customHeight="1" x14ac:dyDescent="0.15">
      <c r="G217" s="205" t="s">
        <v>422</v>
      </c>
      <c r="H217" s="4" t="s">
        <v>425</v>
      </c>
      <c r="I217" s="6"/>
      <c r="J217" s="9"/>
      <c r="K217" s="46">
        <f t="shared" si="32"/>
        <v>0</v>
      </c>
      <c r="L217" s="46">
        <f t="shared" si="33"/>
        <v>0</v>
      </c>
      <c r="M217" s="8"/>
      <c r="N217" s="6"/>
      <c r="O217" s="8"/>
      <c r="P217" s="6"/>
      <c r="Q217" s="8"/>
      <c r="R217" s="6"/>
      <c r="S217" s="6"/>
      <c r="T217" s="8"/>
      <c r="U217" s="6"/>
      <c r="V217" s="8"/>
      <c r="W217" s="8"/>
      <c r="X217" s="6"/>
      <c r="Y217" s="8"/>
      <c r="Z217" s="6"/>
      <c r="AA217" s="6"/>
      <c r="AB217" s="6"/>
      <c r="AC217" s="6"/>
      <c r="AD217" s="6"/>
      <c r="AE217" s="8"/>
      <c r="AF217" s="8"/>
      <c r="AG217" s="11">
        <f t="shared" si="34"/>
        <v>0</v>
      </c>
    </row>
    <row r="218" spans="7:33" x14ac:dyDescent="0.15">
      <c r="G218" s="205" t="s">
        <v>424</v>
      </c>
      <c r="H218" s="53" t="s">
        <v>427</v>
      </c>
      <c r="I218" s="6"/>
      <c r="J218" s="9"/>
      <c r="K218" s="46">
        <f t="shared" si="32"/>
        <v>0</v>
      </c>
      <c r="L218" s="46">
        <f t="shared" si="33"/>
        <v>0</v>
      </c>
      <c r="M218" s="8"/>
      <c r="N218" s="6"/>
      <c r="O218" s="8"/>
      <c r="P218" s="6"/>
      <c r="Q218" s="8"/>
      <c r="R218" s="6"/>
      <c r="S218" s="6"/>
      <c r="T218" s="8"/>
      <c r="U218" s="6"/>
      <c r="V218" s="8"/>
      <c r="W218" s="8"/>
      <c r="X218" s="6"/>
      <c r="Y218" s="8"/>
      <c r="Z218" s="6"/>
      <c r="AA218" s="6"/>
      <c r="AB218" s="6"/>
      <c r="AC218" s="6"/>
      <c r="AD218" s="6"/>
      <c r="AE218" s="8"/>
      <c r="AF218" s="8"/>
      <c r="AG218" s="11">
        <f t="shared" si="34"/>
        <v>0</v>
      </c>
    </row>
    <row r="219" spans="7:33" x14ac:dyDescent="0.15">
      <c r="G219" s="205" t="s">
        <v>426</v>
      </c>
      <c r="H219" s="4" t="s">
        <v>429</v>
      </c>
      <c r="I219" s="6"/>
      <c r="J219" s="9"/>
      <c r="K219" s="46">
        <f t="shared" si="32"/>
        <v>0</v>
      </c>
      <c r="L219" s="46">
        <f t="shared" si="33"/>
        <v>0</v>
      </c>
      <c r="M219" s="8"/>
      <c r="N219" s="6"/>
      <c r="O219" s="8"/>
      <c r="P219" s="6"/>
      <c r="Q219" s="8"/>
      <c r="R219" s="6"/>
      <c r="S219" s="6"/>
      <c r="T219" s="8"/>
      <c r="U219" s="6"/>
      <c r="V219" s="8"/>
      <c r="W219" s="8"/>
      <c r="X219" s="6"/>
      <c r="Y219" s="8"/>
      <c r="Z219" s="6"/>
      <c r="AA219" s="6"/>
      <c r="AB219" s="6"/>
      <c r="AC219" s="6"/>
      <c r="AD219" s="6"/>
      <c r="AE219" s="8"/>
      <c r="AF219" s="8"/>
      <c r="AG219" s="11">
        <f t="shared" si="34"/>
        <v>0</v>
      </c>
    </row>
    <row r="220" spans="7:33" x14ac:dyDescent="0.15">
      <c r="G220" s="205" t="s">
        <v>428</v>
      </c>
      <c r="H220" s="4" t="s">
        <v>431</v>
      </c>
      <c r="I220" s="6"/>
      <c r="J220" s="9"/>
      <c r="K220" s="46">
        <f t="shared" si="32"/>
        <v>0</v>
      </c>
      <c r="L220" s="46">
        <f t="shared" si="33"/>
        <v>0</v>
      </c>
      <c r="M220" s="8"/>
      <c r="N220" s="6"/>
      <c r="O220" s="8"/>
      <c r="P220" s="6"/>
      <c r="Q220" s="8"/>
      <c r="R220" s="6"/>
      <c r="S220" s="6"/>
      <c r="T220" s="8"/>
      <c r="U220" s="6"/>
      <c r="V220" s="8"/>
      <c r="W220" s="8"/>
      <c r="X220" s="6"/>
      <c r="Y220" s="8"/>
      <c r="Z220" s="6"/>
      <c r="AA220" s="6"/>
      <c r="AB220" s="6"/>
      <c r="AC220" s="6"/>
      <c r="AD220" s="6"/>
      <c r="AE220" s="8"/>
      <c r="AF220" s="8"/>
      <c r="AG220" s="11">
        <f t="shared" si="34"/>
        <v>0</v>
      </c>
    </row>
    <row r="221" spans="7:33" x14ac:dyDescent="0.15">
      <c r="G221" s="205" t="s">
        <v>430</v>
      </c>
      <c r="H221" s="53" t="s">
        <v>433</v>
      </c>
      <c r="I221" s="6"/>
      <c r="J221" s="9"/>
      <c r="K221" s="46">
        <f t="shared" si="32"/>
        <v>0</v>
      </c>
      <c r="L221" s="46">
        <f t="shared" si="33"/>
        <v>0</v>
      </c>
      <c r="M221" s="8"/>
      <c r="N221" s="6"/>
      <c r="O221" s="8"/>
      <c r="P221" s="6"/>
      <c r="Q221" s="8"/>
      <c r="R221" s="6"/>
      <c r="S221" s="6"/>
      <c r="T221" s="8"/>
      <c r="U221" s="6"/>
      <c r="V221" s="8"/>
      <c r="W221" s="8"/>
      <c r="X221" s="6"/>
      <c r="Y221" s="8"/>
      <c r="Z221" s="6"/>
      <c r="AA221" s="6"/>
      <c r="AB221" s="6"/>
      <c r="AC221" s="6"/>
      <c r="AD221" s="6"/>
      <c r="AE221" s="8"/>
      <c r="AF221" s="8"/>
      <c r="AG221" s="11">
        <f t="shared" si="34"/>
        <v>0</v>
      </c>
    </row>
    <row r="222" spans="7:33" x14ac:dyDescent="0.15">
      <c r="G222" s="205" t="s">
        <v>432</v>
      </c>
      <c r="H222" s="4" t="s">
        <v>435</v>
      </c>
      <c r="I222" s="6"/>
      <c r="J222" s="9"/>
      <c r="K222" s="46">
        <f t="shared" si="32"/>
        <v>0</v>
      </c>
      <c r="L222" s="46">
        <f t="shared" si="33"/>
        <v>0</v>
      </c>
      <c r="M222" s="8"/>
      <c r="N222" s="6"/>
      <c r="O222" s="8"/>
      <c r="P222" s="6"/>
      <c r="Q222" s="8"/>
      <c r="R222" s="6"/>
      <c r="S222" s="6"/>
      <c r="T222" s="8"/>
      <c r="U222" s="6"/>
      <c r="V222" s="8"/>
      <c r="W222" s="8"/>
      <c r="X222" s="6"/>
      <c r="Y222" s="8"/>
      <c r="Z222" s="6"/>
      <c r="AA222" s="6"/>
      <c r="AB222" s="6"/>
      <c r="AC222" s="6"/>
      <c r="AD222" s="6"/>
      <c r="AE222" s="8"/>
      <c r="AF222" s="8"/>
      <c r="AG222" s="11">
        <f t="shared" si="34"/>
        <v>0</v>
      </c>
    </row>
    <row r="223" spans="7:33" x14ac:dyDescent="0.15">
      <c r="G223" s="205" t="s">
        <v>434</v>
      </c>
      <c r="H223" s="4" t="s">
        <v>437</v>
      </c>
      <c r="I223" s="46">
        <f>IF(SUM(I224:I228)&gt;=1,1,0)</f>
        <v>0</v>
      </c>
      <c r="J223" s="46"/>
      <c r="K223" s="46">
        <f t="shared" si="32"/>
        <v>0</v>
      </c>
      <c r="L223" s="46">
        <f t="shared" si="33"/>
        <v>0</v>
      </c>
      <c r="M223" s="46">
        <f>SUM(M224:M228)</f>
        <v>0</v>
      </c>
      <c r="N223" s="46">
        <f t="shared" ref="N223:AF223" si="36">SUM(N224:N228)</f>
        <v>0</v>
      </c>
      <c r="O223" s="46">
        <f t="shared" si="36"/>
        <v>0</v>
      </c>
      <c r="P223" s="46">
        <f t="shared" si="36"/>
        <v>0</v>
      </c>
      <c r="Q223" s="46">
        <f t="shared" si="36"/>
        <v>0</v>
      </c>
      <c r="R223" s="46">
        <f t="shared" si="36"/>
        <v>0</v>
      </c>
      <c r="S223" s="46">
        <f t="shared" si="36"/>
        <v>0</v>
      </c>
      <c r="T223" s="46">
        <f t="shared" si="36"/>
        <v>0</v>
      </c>
      <c r="U223" s="46">
        <f t="shared" si="36"/>
        <v>0</v>
      </c>
      <c r="V223" s="46">
        <f t="shared" si="36"/>
        <v>0</v>
      </c>
      <c r="W223" s="46">
        <f t="shared" si="36"/>
        <v>0</v>
      </c>
      <c r="X223" s="46">
        <f t="shared" si="36"/>
        <v>0</v>
      </c>
      <c r="Y223" s="46">
        <f t="shared" si="36"/>
        <v>0</v>
      </c>
      <c r="Z223" s="46">
        <f t="shared" si="36"/>
        <v>0</v>
      </c>
      <c r="AA223" s="46">
        <f t="shared" si="36"/>
        <v>0</v>
      </c>
      <c r="AB223" s="46">
        <f t="shared" si="36"/>
        <v>0</v>
      </c>
      <c r="AC223" s="46">
        <f t="shared" si="36"/>
        <v>0</v>
      </c>
      <c r="AD223" s="46">
        <f t="shared" si="36"/>
        <v>0</v>
      </c>
      <c r="AE223" s="46">
        <f t="shared" si="36"/>
        <v>0</v>
      </c>
      <c r="AF223" s="46">
        <f t="shared" si="36"/>
        <v>0</v>
      </c>
      <c r="AG223" s="11">
        <f t="shared" si="34"/>
        <v>0</v>
      </c>
    </row>
    <row r="224" spans="7:33" ht="21" x14ac:dyDescent="0.15">
      <c r="G224" s="206" t="s">
        <v>436</v>
      </c>
      <c r="H224" s="53" t="s">
        <v>439</v>
      </c>
      <c r="I224" s="6"/>
      <c r="J224" s="9"/>
      <c r="K224" s="46">
        <f t="shared" si="32"/>
        <v>0</v>
      </c>
      <c r="L224" s="46">
        <f t="shared" si="33"/>
        <v>0</v>
      </c>
      <c r="M224" s="8"/>
      <c r="N224" s="6"/>
      <c r="O224" s="8"/>
      <c r="P224" s="6"/>
      <c r="Q224" s="8"/>
      <c r="R224" s="6"/>
      <c r="S224" s="6"/>
      <c r="T224" s="8"/>
      <c r="U224" s="6"/>
      <c r="V224" s="8"/>
      <c r="W224" s="8"/>
      <c r="X224" s="6"/>
      <c r="Y224" s="8"/>
      <c r="Z224" s="6"/>
      <c r="AA224" s="6"/>
      <c r="AB224" s="6"/>
      <c r="AC224" s="6"/>
      <c r="AD224" s="6"/>
      <c r="AE224" s="8"/>
      <c r="AF224" s="8"/>
      <c r="AG224" s="11">
        <f t="shared" si="34"/>
        <v>0</v>
      </c>
    </row>
    <row r="225" spans="7:33" x14ac:dyDescent="0.15">
      <c r="G225" s="206" t="s">
        <v>438</v>
      </c>
      <c r="H225" s="4" t="s">
        <v>441</v>
      </c>
      <c r="I225" s="6"/>
      <c r="J225" s="9"/>
      <c r="K225" s="46">
        <f t="shared" si="32"/>
        <v>0</v>
      </c>
      <c r="L225" s="46">
        <f t="shared" si="33"/>
        <v>0</v>
      </c>
      <c r="M225" s="8"/>
      <c r="N225" s="6"/>
      <c r="O225" s="8"/>
      <c r="P225" s="6"/>
      <c r="Q225" s="8"/>
      <c r="R225" s="6"/>
      <c r="S225" s="6"/>
      <c r="T225" s="8"/>
      <c r="U225" s="6"/>
      <c r="V225" s="8"/>
      <c r="W225" s="8"/>
      <c r="X225" s="6"/>
      <c r="Y225" s="8"/>
      <c r="Z225" s="6"/>
      <c r="AA225" s="6"/>
      <c r="AB225" s="6"/>
      <c r="AC225" s="6"/>
      <c r="AD225" s="6"/>
      <c r="AE225" s="8"/>
      <c r="AF225" s="8"/>
      <c r="AG225" s="11">
        <f t="shared" si="34"/>
        <v>0</v>
      </c>
    </row>
    <row r="226" spans="7:33" x14ac:dyDescent="0.15">
      <c r="G226" s="206" t="s">
        <v>440</v>
      </c>
      <c r="H226" s="4" t="s">
        <v>443</v>
      </c>
      <c r="I226" s="6"/>
      <c r="J226" s="9"/>
      <c r="K226" s="46">
        <f t="shared" si="32"/>
        <v>0</v>
      </c>
      <c r="L226" s="46">
        <f t="shared" si="33"/>
        <v>0</v>
      </c>
      <c r="M226" s="8"/>
      <c r="N226" s="6"/>
      <c r="O226" s="8"/>
      <c r="P226" s="6"/>
      <c r="Q226" s="8"/>
      <c r="R226" s="6"/>
      <c r="S226" s="6"/>
      <c r="T226" s="8"/>
      <c r="U226" s="6"/>
      <c r="V226" s="8"/>
      <c r="W226" s="8"/>
      <c r="X226" s="6"/>
      <c r="Y226" s="8"/>
      <c r="Z226" s="6"/>
      <c r="AA226" s="6"/>
      <c r="AB226" s="6"/>
      <c r="AC226" s="6"/>
      <c r="AD226" s="6"/>
      <c r="AE226" s="8"/>
      <c r="AF226" s="8"/>
      <c r="AG226" s="11">
        <f t="shared" si="34"/>
        <v>0</v>
      </c>
    </row>
    <row r="227" spans="7:33" x14ac:dyDescent="0.15">
      <c r="G227" s="206" t="s">
        <v>442</v>
      </c>
      <c r="H227" s="53" t="s">
        <v>445</v>
      </c>
      <c r="I227" s="6"/>
      <c r="J227" s="9"/>
      <c r="K227" s="46">
        <f t="shared" si="32"/>
        <v>0</v>
      </c>
      <c r="L227" s="46">
        <f t="shared" si="33"/>
        <v>0</v>
      </c>
      <c r="M227" s="8"/>
      <c r="N227" s="6"/>
      <c r="O227" s="8"/>
      <c r="P227" s="6"/>
      <c r="Q227" s="8"/>
      <c r="R227" s="6"/>
      <c r="S227" s="6"/>
      <c r="T227" s="8"/>
      <c r="U227" s="6"/>
      <c r="V227" s="8"/>
      <c r="W227" s="8"/>
      <c r="X227" s="6"/>
      <c r="Y227" s="8"/>
      <c r="Z227" s="6"/>
      <c r="AA227" s="6"/>
      <c r="AB227" s="6"/>
      <c r="AC227" s="6"/>
      <c r="AD227" s="6"/>
      <c r="AE227" s="8"/>
      <c r="AF227" s="8"/>
      <c r="AG227" s="11">
        <f t="shared" si="34"/>
        <v>0</v>
      </c>
    </row>
    <row r="228" spans="7:33" x14ac:dyDescent="0.15">
      <c r="G228" s="206" t="s">
        <v>444</v>
      </c>
      <c r="H228" s="4" t="s">
        <v>447</v>
      </c>
      <c r="I228" s="6"/>
      <c r="J228" s="9"/>
      <c r="K228" s="46">
        <f t="shared" si="32"/>
        <v>0</v>
      </c>
      <c r="L228" s="46">
        <f t="shared" si="33"/>
        <v>0</v>
      </c>
      <c r="M228" s="8"/>
      <c r="N228" s="6"/>
      <c r="O228" s="8"/>
      <c r="P228" s="6"/>
      <c r="Q228" s="8"/>
      <c r="R228" s="6"/>
      <c r="S228" s="6"/>
      <c r="T228" s="8"/>
      <c r="U228" s="6"/>
      <c r="V228" s="8"/>
      <c r="W228" s="8"/>
      <c r="X228" s="6"/>
      <c r="Y228" s="8"/>
      <c r="Z228" s="6"/>
      <c r="AA228" s="6"/>
      <c r="AB228" s="6"/>
      <c r="AC228" s="6"/>
      <c r="AD228" s="6"/>
      <c r="AE228" s="8"/>
      <c r="AF228" s="8"/>
      <c r="AG228" s="11">
        <f t="shared" si="34"/>
        <v>0</v>
      </c>
    </row>
    <row r="229" spans="7:33" x14ac:dyDescent="0.15">
      <c r="G229" s="205" t="s">
        <v>446</v>
      </c>
      <c r="H229" s="4" t="s">
        <v>449</v>
      </c>
      <c r="I229" s="6"/>
      <c r="J229" s="9"/>
      <c r="K229" s="46">
        <f t="shared" si="32"/>
        <v>0</v>
      </c>
      <c r="L229" s="46">
        <f t="shared" si="33"/>
        <v>0</v>
      </c>
      <c r="M229" s="8"/>
      <c r="N229" s="6"/>
      <c r="O229" s="8"/>
      <c r="P229" s="6"/>
      <c r="Q229" s="8"/>
      <c r="R229" s="6"/>
      <c r="S229" s="6"/>
      <c r="T229" s="8"/>
      <c r="U229" s="6"/>
      <c r="V229" s="8"/>
      <c r="W229" s="8"/>
      <c r="X229" s="6"/>
      <c r="Y229" s="8"/>
      <c r="Z229" s="6"/>
      <c r="AA229" s="6"/>
      <c r="AB229" s="6"/>
      <c r="AC229" s="6"/>
      <c r="AD229" s="6"/>
      <c r="AE229" s="8"/>
      <c r="AF229" s="8"/>
      <c r="AG229" s="11">
        <f t="shared" si="34"/>
        <v>0</v>
      </c>
    </row>
    <row r="230" spans="7:33" x14ac:dyDescent="0.15">
      <c r="G230" s="205" t="s">
        <v>448</v>
      </c>
      <c r="H230" s="53" t="s">
        <v>451</v>
      </c>
      <c r="I230" s="6"/>
      <c r="J230" s="9"/>
      <c r="K230" s="46">
        <f t="shared" si="32"/>
        <v>0</v>
      </c>
      <c r="L230" s="46">
        <f t="shared" si="33"/>
        <v>0</v>
      </c>
      <c r="M230" s="8"/>
      <c r="N230" s="6"/>
      <c r="O230" s="8"/>
      <c r="P230" s="6"/>
      <c r="Q230" s="8"/>
      <c r="R230" s="6"/>
      <c r="S230" s="6"/>
      <c r="T230" s="8"/>
      <c r="U230" s="6"/>
      <c r="V230" s="8"/>
      <c r="W230" s="8"/>
      <c r="X230" s="6"/>
      <c r="Y230" s="8"/>
      <c r="Z230" s="6"/>
      <c r="AA230" s="6"/>
      <c r="AB230" s="6"/>
      <c r="AC230" s="6"/>
      <c r="AD230" s="6"/>
      <c r="AE230" s="8"/>
      <c r="AF230" s="8"/>
      <c r="AG230" s="11">
        <f t="shared" si="34"/>
        <v>0</v>
      </c>
    </row>
    <row r="231" spans="7:33" x14ac:dyDescent="0.15">
      <c r="G231" s="205" t="s">
        <v>450</v>
      </c>
      <c r="H231" s="4" t="s">
        <v>453</v>
      </c>
      <c r="I231" s="6"/>
      <c r="J231" s="9"/>
      <c r="K231" s="46">
        <f t="shared" si="32"/>
        <v>0</v>
      </c>
      <c r="L231" s="46">
        <f t="shared" si="33"/>
        <v>0</v>
      </c>
      <c r="M231" s="8"/>
      <c r="N231" s="6"/>
      <c r="O231" s="8"/>
      <c r="P231" s="6"/>
      <c r="Q231" s="8"/>
      <c r="R231" s="6"/>
      <c r="S231" s="6"/>
      <c r="T231" s="8"/>
      <c r="U231" s="6"/>
      <c r="V231" s="8"/>
      <c r="W231" s="8"/>
      <c r="X231" s="6"/>
      <c r="Y231" s="8"/>
      <c r="Z231" s="6"/>
      <c r="AA231" s="6"/>
      <c r="AB231" s="6"/>
      <c r="AC231" s="6"/>
      <c r="AD231" s="6"/>
      <c r="AE231" s="8"/>
      <c r="AF231" s="8"/>
      <c r="AG231" s="11">
        <f t="shared" si="34"/>
        <v>0</v>
      </c>
    </row>
    <row r="232" spans="7:33" x14ac:dyDescent="0.15">
      <c r="G232" s="205" t="s">
        <v>452</v>
      </c>
      <c r="H232" s="4" t="s">
        <v>455</v>
      </c>
      <c r="I232" s="6"/>
      <c r="J232" s="9"/>
      <c r="K232" s="46">
        <f t="shared" si="32"/>
        <v>0</v>
      </c>
      <c r="L232" s="46">
        <f t="shared" si="33"/>
        <v>0</v>
      </c>
      <c r="M232" s="8"/>
      <c r="N232" s="6"/>
      <c r="O232" s="8"/>
      <c r="P232" s="6"/>
      <c r="Q232" s="8"/>
      <c r="R232" s="6"/>
      <c r="S232" s="6"/>
      <c r="T232" s="8"/>
      <c r="U232" s="6"/>
      <c r="V232" s="8"/>
      <c r="W232" s="8"/>
      <c r="X232" s="6"/>
      <c r="Y232" s="8"/>
      <c r="Z232" s="6"/>
      <c r="AA232" s="6"/>
      <c r="AB232" s="6"/>
      <c r="AC232" s="6"/>
      <c r="AD232" s="6"/>
      <c r="AE232" s="8"/>
      <c r="AF232" s="8"/>
      <c r="AG232" s="11">
        <f t="shared" si="34"/>
        <v>0</v>
      </c>
    </row>
    <row r="233" spans="7:33" x14ac:dyDescent="0.15">
      <c r="G233" s="205" t="s">
        <v>454</v>
      </c>
      <c r="H233" s="53" t="s">
        <v>457</v>
      </c>
      <c r="I233" s="47">
        <f>IF(SUM(I234:I239)&gt;=1,1,0)</f>
        <v>0</v>
      </c>
      <c r="J233" s="47"/>
      <c r="K233" s="46">
        <f t="shared" si="32"/>
        <v>0</v>
      </c>
      <c r="L233" s="46">
        <f t="shared" si="33"/>
        <v>0</v>
      </c>
      <c r="M233" s="48">
        <f>SUM(M234:M239)</f>
        <v>0</v>
      </c>
      <c r="N233" s="48">
        <f t="shared" ref="N233:AF233" si="37">SUM(N234:N239)</f>
        <v>0</v>
      </c>
      <c r="O233" s="48">
        <f t="shared" si="37"/>
        <v>0</v>
      </c>
      <c r="P233" s="48">
        <f t="shared" si="37"/>
        <v>0</v>
      </c>
      <c r="Q233" s="48">
        <f t="shared" si="37"/>
        <v>0</v>
      </c>
      <c r="R233" s="48">
        <f t="shared" si="37"/>
        <v>0</v>
      </c>
      <c r="S233" s="48">
        <f t="shared" si="37"/>
        <v>0</v>
      </c>
      <c r="T233" s="48">
        <f t="shared" si="37"/>
        <v>0</v>
      </c>
      <c r="U233" s="48">
        <f t="shared" si="37"/>
        <v>0</v>
      </c>
      <c r="V233" s="48">
        <f t="shared" si="37"/>
        <v>0</v>
      </c>
      <c r="W233" s="48">
        <f t="shared" si="37"/>
        <v>0</v>
      </c>
      <c r="X233" s="48">
        <f t="shared" si="37"/>
        <v>0</v>
      </c>
      <c r="Y233" s="48">
        <f t="shared" si="37"/>
        <v>0</v>
      </c>
      <c r="Z233" s="48">
        <f t="shared" si="37"/>
        <v>0</v>
      </c>
      <c r="AA233" s="48">
        <f t="shared" si="37"/>
        <v>0</v>
      </c>
      <c r="AB233" s="48">
        <f t="shared" si="37"/>
        <v>0</v>
      </c>
      <c r="AC233" s="48">
        <f t="shared" si="37"/>
        <v>0</v>
      </c>
      <c r="AD233" s="48">
        <f t="shared" si="37"/>
        <v>0</v>
      </c>
      <c r="AE233" s="48">
        <f t="shared" si="37"/>
        <v>0</v>
      </c>
      <c r="AF233" s="48">
        <f t="shared" si="37"/>
        <v>0</v>
      </c>
      <c r="AG233" s="11">
        <f t="shared" si="34"/>
        <v>0</v>
      </c>
    </row>
    <row r="234" spans="7:33" ht="21" x14ac:dyDescent="0.15">
      <c r="G234" s="206" t="s">
        <v>456</v>
      </c>
      <c r="H234" s="4" t="s">
        <v>459</v>
      </c>
      <c r="I234" s="6"/>
      <c r="J234" s="9"/>
      <c r="K234" s="46">
        <f t="shared" si="32"/>
        <v>0</v>
      </c>
      <c r="L234" s="46">
        <f t="shared" si="33"/>
        <v>0</v>
      </c>
      <c r="M234" s="8"/>
      <c r="N234" s="6"/>
      <c r="O234" s="8"/>
      <c r="P234" s="6"/>
      <c r="Q234" s="8"/>
      <c r="R234" s="6"/>
      <c r="S234" s="6"/>
      <c r="T234" s="8"/>
      <c r="U234" s="6"/>
      <c r="V234" s="8"/>
      <c r="W234" s="8"/>
      <c r="X234" s="6"/>
      <c r="Y234" s="8"/>
      <c r="Z234" s="6"/>
      <c r="AA234" s="6"/>
      <c r="AB234" s="6"/>
      <c r="AC234" s="6"/>
      <c r="AD234" s="6"/>
      <c r="AE234" s="8"/>
      <c r="AF234" s="8"/>
      <c r="AG234" s="11">
        <f t="shared" si="34"/>
        <v>0</v>
      </c>
    </row>
    <row r="235" spans="7:33" x14ac:dyDescent="0.15">
      <c r="G235" s="206" t="s">
        <v>458</v>
      </c>
      <c r="H235" s="4" t="s">
        <v>461</v>
      </c>
      <c r="I235" s="6"/>
      <c r="J235" s="9"/>
      <c r="K235" s="46">
        <f t="shared" si="32"/>
        <v>0</v>
      </c>
      <c r="L235" s="46">
        <f t="shared" si="33"/>
        <v>0</v>
      </c>
      <c r="M235" s="8"/>
      <c r="N235" s="6"/>
      <c r="O235" s="8"/>
      <c r="P235" s="6"/>
      <c r="Q235" s="8"/>
      <c r="R235" s="6"/>
      <c r="S235" s="6"/>
      <c r="T235" s="8"/>
      <c r="U235" s="6"/>
      <c r="V235" s="8"/>
      <c r="W235" s="8"/>
      <c r="X235" s="6"/>
      <c r="Y235" s="8"/>
      <c r="Z235" s="6"/>
      <c r="AA235" s="6"/>
      <c r="AB235" s="6"/>
      <c r="AC235" s="6"/>
      <c r="AD235" s="6"/>
      <c r="AE235" s="8"/>
      <c r="AF235" s="8"/>
      <c r="AG235" s="11">
        <f t="shared" si="34"/>
        <v>0</v>
      </c>
    </row>
    <row r="236" spans="7:33" ht="21" x14ac:dyDescent="0.15">
      <c r="G236" s="206" t="s">
        <v>460</v>
      </c>
      <c r="H236" s="53" t="s">
        <v>463</v>
      </c>
      <c r="I236" s="6"/>
      <c r="J236" s="9"/>
      <c r="K236" s="46">
        <f t="shared" si="32"/>
        <v>0</v>
      </c>
      <c r="L236" s="46">
        <f t="shared" si="33"/>
        <v>0</v>
      </c>
      <c r="M236" s="8"/>
      <c r="N236" s="6"/>
      <c r="O236" s="8"/>
      <c r="P236" s="6"/>
      <c r="Q236" s="8"/>
      <c r="R236" s="6"/>
      <c r="S236" s="6"/>
      <c r="T236" s="8"/>
      <c r="U236" s="6"/>
      <c r="V236" s="8"/>
      <c r="W236" s="8"/>
      <c r="X236" s="6"/>
      <c r="Y236" s="8"/>
      <c r="Z236" s="6"/>
      <c r="AA236" s="6"/>
      <c r="AB236" s="6"/>
      <c r="AC236" s="6"/>
      <c r="AD236" s="6"/>
      <c r="AE236" s="8"/>
      <c r="AF236" s="8"/>
      <c r="AG236" s="11">
        <f t="shared" si="34"/>
        <v>0</v>
      </c>
    </row>
    <row r="237" spans="7:33" x14ac:dyDescent="0.15">
      <c r="G237" s="206" t="s">
        <v>462</v>
      </c>
      <c r="H237" s="4" t="s">
        <v>465</v>
      </c>
      <c r="I237" s="6"/>
      <c r="J237" s="9"/>
      <c r="K237" s="46">
        <f t="shared" si="32"/>
        <v>0</v>
      </c>
      <c r="L237" s="46">
        <f t="shared" si="33"/>
        <v>0</v>
      </c>
      <c r="M237" s="8"/>
      <c r="N237" s="6"/>
      <c r="O237" s="8"/>
      <c r="P237" s="6"/>
      <c r="Q237" s="8"/>
      <c r="R237" s="6"/>
      <c r="S237" s="6"/>
      <c r="T237" s="8"/>
      <c r="U237" s="6"/>
      <c r="V237" s="8"/>
      <c r="W237" s="8"/>
      <c r="X237" s="6"/>
      <c r="Y237" s="8"/>
      <c r="Z237" s="6"/>
      <c r="AA237" s="6"/>
      <c r="AB237" s="6"/>
      <c r="AC237" s="6"/>
      <c r="AD237" s="6"/>
      <c r="AE237" s="8"/>
      <c r="AF237" s="8"/>
      <c r="AG237" s="11">
        <f t="shared" si="34"/>
        <v>0</v>
      </c>
    </row>
    <row r="238" spans="7:33" ht="21" x14ac:dyDescent="0.15">
      <c r="G238" s="206" t="s">
        <v>464</v>
      </c>
      <c r="H238" s="4" t="s">
        <v>466</v>
      </c>
      <c r="I238" s="6"/>
      <c r="J238" s="9"/>
      <c r="K238" s="46">
        <f t="shared" si="32"/>
        <v>0</v>
      </c>
      <c r="L238" s="46">
        <f t="shared" si="33"/>
        <v>0</v>
      </c>
      <c r="M238" s="8"/>
      <c r="N238" s="6"/>
      <c r="O238" s="8"/>
      <c r="P238" s="6"/>
      <c r="Q238" s="8"/>
      <c r="R238" s="6"/>
      <c r="S238" s="6"/>
      <c r="T238" s="8"/>
      <c r="U238" s="6"/>
      <c r="V238" s="8"/>
      <c r="W238" s="8"/>
      <c r="X238" s="6"/>
      <c r="Y238" s="8"/>
      <c r="Z238" s="6"/>
      <c r="AA238" s="6"/>
      <c r="AB238" s="6"/>
      <c r="AC238" s="6"/>
      <c r="AD238" s="6"/>
      <c r="AE238" s="8"/>
      <c r="AF238" s="8"/>
      <c r="AG238" s="11">
        <f t="shared" si="34"/>
        <v>0</v>
      </c>
    </row>
    <row r="239" spans="7:33" ht="21" x14ac:dyDescent="0.15">
      <c r="G239" s="206" t="s">
        <v>887</v>
      </c>
      <c r="H239" s="53" t="s">
        <v>468</v>
      </c>
      <c r="I239" s="6"/>
      <c r="J239" s="9"/>
      <c r="K239" s="46">
        <f t="shared" si="32"/>
        <v>0</v>
      </c>
      <c r="L239" s="46">
        <f t="shared" si="33"/>
        <v>0</v>
      </c>
      <c r="M239" s="8"/>
      <c r="N239" s="6"/>
      <c r="O239" s="8"/>
      <c r="P239" s="6"/>
      <c r="Q239" s="8"/>
      <c r="R239" s="6"/>
      <c r="S239" s="6"/>
      <c r="T239" s="8"/>
      <c r="U239" s="6"/>
      <c r="V239" s="8"/>
      <c r="W239" s="8"/>
      <c r="X239" s="6"/>
      <c r="Y239" s="8"/>
      <c r="Z239" s="6"/>
      <c r="AA239" s="6"/>
      <c r="AB239" s="6"/>
      <c r="AC239" s="6"/>
      <c r="AD239" s="6"/>
      <c r="AE239" s="8"/>
      <c r="AF239" s="8"/>
      <c r="AG239" s="11">
        <f t="shared" si="34"/>
        <v>0</v>
      </c>
    </row>
    <row r="240" spans="7:33" x14ac:dyDescent="0.15">
      <c r="G240" s="205" t="s">
        <v>467</v>
      </c>
      <c r="H240" s="4" t="s">
        <v>470</v>
      </c>
      <c r="I240" s="6"/>
      <c r="J240" s="9"/>
      <c r="K240" s="46">
        <f t="shared" si="32"/>
        <v>0</v>
      </c>
      <c r="L240" s="46">
        <f t="shared" si="33"/>
        <v>0</v>
      </c>
      <c r="M240" s="8"/>
      <c r="N240" s="6"/>
      <c r="O240" s="8"/>
      <c r="P240" s="6"/>
      <c r="Q240" s="8"/>
      <c r="R240" s="6"/>
      <c r="S240" s="6"/>
      <c r="T240" s="8"/>
      <c r="U240" s="6"/>
      <c r="V240" s="8"/>
      <c r="W240" s="8"/>
      <c r="X240" s="6"/>
      <c r="Y240" s="8"/>
      <c r="Z240" s="6"/>
      <c r="AA240" s="6"/>
      <c r="AB240" s="6"/>
      <c r="AC240" s="6"/>
      <c r="AD240" s="6"/>
      <c r="AE240" s="8"/>
      <c r="AF240" s="8"/>
      <c r="AG240" s="11">
        <f t="shared" si="34"/>
        <v>0</v>
      </c>
    </row>
    <row r="241" spans="7:33" x14ac:dyDescent="0.15">
      <c r="G241" s="205" t="s">
        <v>469</v>
      </c>
      <c r="H241" s="4" t="s">
        <v>472</v>
      </c>
      <c r="I241" s="6"/>
      <c r="J241" s="9"/>
      <c r="K241" s="46">
        <f t="shared" si="32"/>
        <v>0</v>
      </c>
      <c r="L241" s="46">
        <f t="shared" si="33"/>
        <v>0</v>
      </c>
      <c r="M241" s="8"/>
      <c r="N241" s="6"/>
      <c r="O241" s="8"/>
      <c r="P241" s="6"/>
      <c r="Q241" s="8"/>
      <c r="R241" s="6"/>
      <c r="S241" s="6"/>
      <c r="T241" s="8"/>
      <c r="U241" s="6"/>
      <c r="V241" s="8"/>
      <c r="W241" s="8"/>
      <c r="X241" s="6"/>
      <c r="Y241" s="8"/>
      <c r="Z241" s="6"/>
      <c r="AA241" s="6"/>
      <c r="AB241" s="6"/>
      <c r="AC241" s="6"/>
      <c r="AD241" s="6"/>
      <c r="AE241" s="8"/>
      <c r="AF241" s="8"/>
      <c r="AG241" s="11">
        <f t="shared" si="34"/>
        <v>0</v>
      </c>
    </row>
    <row r="242" spans="7:33" x14ac:dyDescent="0.15">
      <c r="G242" s="205" t="s">
        <v>471</v>
      </c>
      <c r="H242" s="53" t="s">
        <v>474</v>
      </c>
      <c r="I242" s="6"/>
      <c r="J242" s="9"/>
      <c r="K242" s="46">
        <f t="shared" si="32"/>
        <v>0</v>
      </c>
      <c r="L242" s="46">
        <f t="shared" si="33"/>
        <v>0</v>
      </c>
      <c r="M242" s="8"/>
      <c r="N242" s="6"/>
      <c r="O242" s="8"/>
      <c r="P242" s="6"/>
      <c r="Q242" s="8"/>
      <c r="R242" s="6"/>
      <c r="S242" s="6"/>
      <c r="T242" s="8"/>
      <c r="U242" s="6"/>
      <c r="V242" s="8"/>
      <c r="W242" s="8"/>
      <c r="X242" s="6"/>
      <c r="Y242" s="8"/>
      <c r="Z242" s="6"/>
      <c r="AA242" s="6"/>
      <c r="AB242" s="6"/>
      <c r="AC242" s="6"/>
      <c r="AD242" s="6"/>
      <c r="AE242" s="8"/>
      <c r="AF242" s="8"/>
      <c r="AG242" s="11">
        <f t="shared" si="34"/>
        <v>0</v>
      </c>
    </row>
    <row r="243" spans="7:33" x14ac:dyDescent="0.15">
      <c r="G243" s="205" t="s">
        <v>473</v>
      </c>
      <c r="H243" s="4" t="s">
        <v>476</v>
      </c>
      <c r="I243" s="46">
        <f>IF(SUM(I244:I246)&gt;=1,1,0)</f>
        <v>0</v>
      </c>
      <c r="J243" s="46"/>
      <c r="K243" s="46">
        <f t="shared" si="32"/>
        <v>0</v>
      </c>
      <c r="L243" s="46">
        <f t="shared" si="33"/>
        <v>0</v>
      </c>
      <c r="M243" s="46">
        <f>SUM(M244:M246)</f>
        <v>0</v>
      </c>
      <c r="N243" s="46">
        <f t="shared" ref="N243:AF243" si="38">SUM(N244:N246)</f>
        <v>0</v>
      </c>
      <c r="O243" s="46">
        <f t="shared" si="38"/>
        <v>0</v>
      </c>
      <c r="P243" s="46">
        <f t="shared" si="38"/>
        <v>0</v>
      </c>
      <c r="Q243" s="46">
        <f t="shared" si="38"/>
        <v>0</v>
      </c>
      <c r="R243" s="46">
        <f t="shared" si="38"/>
        <v>0</v>
      </c>
      <c r="S243" s="46">
        <f t="shared" si="38"/>
        <v>0</v>
      </c>
      <c r="T243" s="46">
        <f t="shared" si="38"/>
        <v>0</v>
      </c>
      <c r="U243" s="46">
        <f t="shared" si="38"/>
        <v>0</v>
      </c>
      <c r="V243" s="46">
        <f t="shared" si="38"/>
        <v>0</v>
      </c>
      <c r="W243" s="46">
        <f t="shared" si="38"/>
        <v>0</v>
      </c>
      <c r="X243" s="46">
        <f t="shared" si="38"/>
        <v>0</v>
      </c>
      <c r="Y243" s="46">
        <f t="shared" si="38"/>
        <v>0</v>
      </c>
      <c r="Z243" s="46">
        <f t="shared" si="38"/>
        <v>0</v>
      </c>
      <c r="AA243" s="46">
        <f t="shared" si="38"/>
        <v>0</v>
      </c>
      <c r="AB243" s="46">
        <f t="shared" si="38"/>
        <v>0</v>
      </c>
      <c r="AC243" s="46">
        <f t="shared" si="38"/>
        <v>0</v>
      </c>
      <c r="AD243" s="46">
        <f t="shared" si="38"/>
        <v>0</v>
      </c>
      <c r="AE243" s="46">
        <f t="shared" si="38"/>
        <v>0</v>
      </c>
      <c r="AF243" s="46">
        <f t="shared" si="38"/>
        <v>0</v>
      </c>
      <c r="AG243" s="11">
        <f t="shared" si="34"/>
        <v>0</v>
      </c>
    </row>
    <row r="244" spans="7:33" ht="21" x14ac:dyDescent="0.15">
      <c r="G244" s="206" t="s">
        <v>475</v>
      </c>
      <c r="H244" s="4" t="s">
        <v>478</v>
      </c>
      <c r="I244" s="6"/>
      <c r="J244" s="9"/>
      <c r="K244" s="46">
        <f t="shared" si="32"/>
        <v>0</v>
      </c>
      <c r="L244" s="46">
        <f t="shared" si="33"/>
        <v>0</v>
      </c>
      <c r="M244" s="8"/>
      <c r="N244" s="6"/>
      <c r="O244" s="8"/>
      <c r="P244" s="6"/>
      <c r="Q244" s="8"/>
      <c r="R244" s="6"/>
      <c r="S244" s="6"/>
      <c r="T244" s="8"/>
      <c r="U244" s="6"/>
      <c r="V244" s="8"/>
      <c r="W244" s="8"/>
      <c r="X244" s="6"/>
      <c r="Y244" s="8"/>
      <c r="Z244" s="6"/>
      <c r="AA244" s="6"/>
      <c r="AB244" s="6"/>
      <c r="AC244" s="6"/>
      <c r="AD244" s="6"/>
      <c r="AE244" s="8"/>
      <c r="AF244" s="8"/>
      <c r="AG244" s="11">
        <f t="shared" si="34"/>
        <v>0</v>
      </c>
    </row>
    <row r="245" spans="7:33" x14ac:dyDescent="0.15">
      <c r="G245" s="206" t="s">
        <v>477</v>
      </c>
      <c r="H245" s="53" t="s">
        <v>480</v>
      </c>
      <c r="I245" s="6"/>
      <c r="J245" s="9"/>
      <c r="K245" s="46">
        <f t="shared" si="32"/>
        <v>0</v>
      </c>
      <c r="L245" s="46">
        <f t="shared" si="33"/>
        <v>0</v>
      </c>
      <c r="M245" s="8"/>
      <c r="N245" s="6"/>
      <c r="O245" s="8"/>
      <c r="P245" s="6"/>
      <c r="Q245" s="8"/>
      <c r="R245" s="6"/>
      <c r="S245" s="6"/>
      <c r="T245" s="8"/>
      <c r="U245" s="6"/>
      <c r="V245" s="8"/>
      <c r="W245" s="8"/>
      <c r="X245" s="6"/>
      <c r="Y245" s="8"/>
      <c r="Z245" s="6"/>
      <c r="AA245" s="6"/>
      <c r="AB245" s="6"/>
      <c r="AC245" s="6"/>
      <c r="AD245" s="6"/>
      <c r="AE245" s="8"/>
      <c r="AF245" s="8"/>
      <c r="AG245" s="11">
        <f t="shared" si="34"/>
        <v>0</v>
      </c>
    </row>
    <row r="246" spans="7:33" ht="21" x14ac:dyDescent="0.15">
      <c r="G246" s="206" t="s">
        <v>479</v>
      </c>
      <c r="H246" s="4" t="s">
        <v>482</v>
      </c>
      <c r="I246" s="6"/>
      <c r="J246" s="9"/>
      <c r="K246" s="46">
        <f t="shared" si="32"/>
        <v>0</v>
      </c>
      <c r="L246" s="46">
        <f t="shared" si="33"/>
        <v>0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11">
        <f t="shared" si="34"/>
        <v>0</v>
      </c>
    </row>
    <row r="247" spans="7:33" x14ac:dyDescent="0.15">
      <c r="G247" s="205" t="s">
        <v>481</v>
      </c>
      <c r="H247" s="4" t="s">
        <v>484</v>
      </c>
      <c r="I247" s="6"/>
      <c r="J247" s="9"/>
      <c r="K247" s="46">
        <f t="shared" si="32"/>
        <v>0</v>
      </c>
      <c r="L247" s="46">
        <f t="shared" si="33"/>
        <v>0</v>
      </c>
      <c r="M247" s="8"/>
      <c r="N247" s="6"/>
      <c r="O247" s="8"/>
      <c r="P247" s="6"/>
      <c r="Q247" s="8"/>
      <c r="R247" s="6"/>
      <c r="S247" s="6"/>
      <c r="T247" s="8"/>
      <c r="U247" s="6"/>
      <c r="V247" s="8"/>
      <c r="W247" s="8"/>
      <c r="X247" s="6"/>
      <c r="Y247" s="8"/>
      <c r="Z247" s="6"/>
      <c r="AA247" s="6"/>
      <c r="AB247" s="6"/>
      <c r="AC247" s="6"/>
      <c r="AD247" s="6"/>
      <c r="AE247" s="8"/>
      <c r="AF247" s="8"/>
      <c r="AG247" s="11">
        <f t="shared" si="34"/>
        <v>0</v>
      </c>
    </row>
    <row r="248" spans="7:33" x14ac:dyDescent="0.15">
      <c r="G248" s="205" t="s">
        <v>483</v>
      </c>
      <c r="H248" s="53" t="s">
        <v>486</v>
      </c>
      <c r="I248" s="6"/>
      <c r="J248" s="9"/>
      <c r="K248" s="46">
        <f t="shared" si="32"/>
        <v>0</v>
      </c>
      <c r="L248" s="46">
        <f t="shared" si="33"/>
        <v>0</v>
      </c>
      <c r="M248" s="8"/>
      <c r="N248" s="6"/>
      <c r="O248" s="8"/>
      <c r="P248" s="6"/>
      <c r="Q248" s="8"/>
      <c r="R248" s="6"/>
      <c r="S248" s="6"/>
      <c r="T248" s="8"/>
      <c r="U248" s="6"/>
      <c r="V248" s="8"/>
      <c r="W248" s="8"/>
      <c r="X248" s="6"/>
      <c r="Y248" s="8"/>
      <c r="Z248" s="6"/>
      <c r="AA248" s="6"/>
      <c r="AB248" s="6"/>
      <c r="AC248" s="6"/>
      <c r="AD248" s="6"/>
      <c r="AE248" s="8"/>
      <c r="AF248" s="8"/>
      <c r="AG248" s="11">
        <f t="shared" si="34"/>
        <v>0</v>
      </c>
    </row>
    <row r="249" spans="7:33" ht="21" x14ac:dyDescent="0.15">
      <c r="G249" s="205" t="s">
        <v>485</v>
      </c>
      <c r="H249" s="4" t="s">
        <v>488</v>
      </c>
      <c r="I249" s="6"/>
      <c r="J249" s="9"/>
      <c r="K249" s="46">
        <f t="shared" si="32"/>
        <v>0</v>
      </c>
      <c r="L249" s="46">
        <f t="shared" si="33"/>
        <v>0</v>
      </c>
      <c r="M249" s="8"/>
      <c r="N249" s="6"/>
      <c r="O249" s="8"/>
      <c r="P249" s="6"/>
      <c r="Q249" s="8"/>
      <c r="R249" s="6"/>
      <c r="S249" s="6"/>
      <c r="T249" s="8"/>
      <c r="U249" s="6"/>
      <c r="V249" s="8"/>
      <c r="W249" s="8"/>
      <c r="X249" s="6"/>
      <c r="Y249" s="8"/>
      <c r="Z249" s="6"/>
      <c r="AA249" s="6"/>
      <c r="AB249" s="6"/>
      <c r="AC249" s="6"/>
      <c r="AD249" s="6"/>
      <c r="AE249" s="8"/>
      <c r="AF249" s="8"/>
      <c r="AG249" s="11">
        <f t="shared" si="34"/>
        <v>0</v>
      </c>
    </row>
    <row r="250" spans="7:33" x14ac:dyDescent="0.15">
      <c r="G250" s="205" t="s">
        <v>487</v>
      </c>
      <c r="H250" s="4" t="s">
        <v>490</v>
      </c>
      <c r="I250" s="46">
        <f>IF(SUM(I251:I254)&gt;=1,1,0)</f>
        <v>0</v>
      </c>
      <c r="J250" s="46"/>
      <c r="K250" s="46">
        <f t="shared" si="32"/>
        <v>0</v>
      </c>
      <c r="L250" s="46">
        <f t="shared" si="33"/>
        <v>0</v>
      </c>
      <c r="M250" s="46">
        <f>SUM(M251:M254)</f>
        <v>0</v>
      </c>
      <c r="N250" s="46">
        <f t="shared" ref="N250:AF250" si="39">SUM(N251:N254)</f>
        <v>0</v>
      </c>
      <c r="O250" s="46">
        <f t="shared" si="39"/>
        <v>0</v>
      </c>
      <c r="P250" s="46">
        <f t="shared" si="39"/>
        <v>0</v>
      </c>
      <c r="Q250" s="46">
        <f t="shared" si="39"/>
        <v>0</v>
      </c>
      <c r="R250" s="46">
        <f t="shared" si="39"/>
        <v>0</v>
      </c>
      <c r="S250" s="46">
        <f t="shared" si="39"/>
        <v>0</v>
      </c>
      <c r="T250" s="46">
        <f t="shared" si="39"/>
        <v>0</v>
      </c>
      <c r="U250" s="46">
        <f t="shared" si="39"/>
        <v>0</v>
      </c>
      <c r="V250" s="46">
        <f t="shared" si="39"/>
        <v>0</v>
      </c>
      <c r="W250" s="46">
        <f t="shared" si="39"/>
        <v>0</v>
      </c>
      <c r="X250" s="46">
        <f t="shared" si="39"/>
        <v>0</v>
      </c>
      <c r="Y250" s="46">
        <f t="shared" si="39"/>
        <v>0</v>
      </c>
      <c r="Z250" s="46">
        <f t="shared" si="39"/>
        <v>0</v>
      </c>
      <c r="AA250" s="46">
        <f t="shared" si="39"/>
        <v>0</v>
      </c>
      <c r="AB250" s="46">
        <f t="shared" si="39"/>
        <v>0</v>
      </c>
      <c r="AC250" s="46">
        <f t="shared" si="39"/>
        <v>0</v>
      </c>
      <c r="AD250" s="46">
        <f t="shared" si="39"/>
        <v>0</v>
      </c>
      <c r="AE250" s="46">
        <f t="shared" si="39"/>
        <v>0</v>
      </c>
      <c r="AF250" s="46">
        <f t="shared" si="39"/>
        <v>0</v>
      </c>
      <c r="AG250" s="11">
        <f t="shared" si="34"/>
        <v>0</v>
      </c>
    </row>
    <row r="251" spans="7:33" ht="21" x14ac:dyDescent="0.15">
      <c r="G251" s="206" t="s">
        <v>489</v>
      </c>
      <c r="H251" s="53" t="s">
        <v>492</v>
      </c>
      <c r="I251" s="6"/>
      <c r="J251" s="9"/>
      <c r="K251" s="46">
        <f t="shared" si="32"/>
        <v>0</v>
      </c>
      <c r="L251" s="46">
        <f t="shared" si="33"/>
        <v>0</v>
      </c>
      <c r="M251" s="8"/>
      <c r="N251" s="6"/>
      <c r="O251" s="8"/>
      <c r="P251" s="6"/>
      <c r="Q251" s="8"/>
      <c r="R251" s="6"/>
      <c r="S251" s="6"/>
      <c r="T251" s="8"/>
      <c r="U251" s="6"/>
      <c r="V251" s="8"/>
      <c r="W251" s="8"/>
      <c r="X251" s="6"/>
      <c r="Y251" s="8"/>
      <c r="Z251" s="6"/>
      <c r="AA251" s="6"/>
      <c r="AB251" s="6"/>
      <c r="AC251" s="6"/>
      <c r="AD251" s="6"/>
      <c r="AE251" s="8"/>
      <c r="AF251" s="8"/>
      <c r="AG251" s="11">
        <f t="shared" si="34"/>
        <v>0</v>
      </c>
    </row>
    <row r="252" spans="7:33" x14ac:dyDescent="0.15">
      <c r="G252" s="206" t="s">
        <v>491</v>
      </c>
      <c r="H252" s="4" t="s">
        <v>494</v>
      </c>
      <c r="I252" s="6"/>
      <c r="J252" s="9"/>
      <c r="K252" s="46">
        <f t="shared" si="32"/>
        <v>0</v>
      </c>
      <c r="L252" s="46">
        <f t="shared" si="33"/>
        <v>0</v>
      </c>
      <c r="M252" s="8"/>
      <c r="N252" s="6"/>
      <c r="O252" s="8"/>
      <c r="P252" s="6"/>
      <c r="Q252" s="8"/>
      <c r="R252" s="6"/>
      <c r="S252" s="6"/>
      <c r="T252" s="8"/>
      <c r="U252" s="6"/>
      <c r="V252" s="8"/>
      <c r="W252" s="8"/>
      <c r="X252" s="6"/>
      <c r="Y252" s="8"/>
      <c r="Z252" s="6"/>
      <c r="AA252" s="6"/>
      <c r="AB252" s="6"/>
      <c r="AC252" s="6"/>
      <c r="AD252" s="6"/>
      <c r="AE252" s="8"/>
      <c r="AF252" s="8"/>
      <c r="AG252" s="11">
        <f t="shared" si="34"/>
        <v>0</v>
      </c>
    </row>
    <row r="253" spans="7:33" x14ac:dyDescent="0.15">
      <c r="G253" s="206" t="s">
        <v>493</v>
      </c>
      <c r="H253" s="4" t="s">
        <v>496</v>
      </c>
      <c r="I253" s="6"/>
      <c r="J253" s="9"/>
      <c r="K253" s="46">
        <f t="shared" si="32"/>
        <v>0</v>
      </c>
      <c r="L253" s="46">
        <f t="shared" si="33"/>
        <v>0</v>
      </c>
      <c r="M253" s="8"/>
      <c r="N253" s="6"/>
      <c r="O253" s="8"/>
      <c r="P253" s="6"/>
      <c r="Q253" s="8"/>
      <c r="R253" s="6"/>
      <c r="S253" s="6"/>
      <c r="T253" s="8"/>
      <c r="U253" s="6"/>
      <c r="V253" s="8"/>
      <c r="W253" s="8"/>
      <c r="X253" s="6"/>
      <c r="Y253" s="8"/>
      <c r="Z253" s="6"/>
      <c r="AA253" s="6"/>
      <c r="AB253" s="6"/>
      <c r="AC253" s="6"/>
      <c r="AD253" s="6"/>
      <c r="AE253" s="8"/>
      <c r="AF253" s="8"/>
      <c r="AG253" s="11">
        <f t="shared" si="34"/>
        <v>0</v>
      </c>
    </row>
    <row r="254" spans="7:33" ht="21" x14ac:dyDescent="0.15">
      <c r="G254" s="206" t="s">
        <v>495</v>
      </c>
      <c r="H254" s="53" t="s">
        <v>498</v>
      </c>
      <c r="I254" s="6"/>
      <c r="J254" s="9"/>
      <c r="K254" s="46">
        <f t="shared" si="32"/>
        <v>0</v>
      </c>
      <c r="L254" s="46">
        <f t="shared" si="33"/>
        <v>0</v>
      </c>
      <c r="M254" s="8"/>
      <c r="N254" s="6"/>
      <c r="O254" s="8"/>
      <c r="P254" s="6"/>
      <c r="Q254" s="8"/>
      <c r="R254" s="6"/>
      <c r="S254" s="6"/>
      <c r="T254" s="8"/>
      <c r="U254" s="6"/>
      <c r="V254" s="8"/>
      <c r="W254" s="8"/>
      <c r="X254" s="6"/>
      <c r="Y254" s="8"/>
      <c r="Z254" s="6"/>
      <c r="AA254" s="6"/>
      <c r="AB254" s="6"/>
      <c r="AC254" s="6"/>
      <c r="AD254" s="6"/>
      <c r="AE254" s="8"/>
      <c r="AF254" s="8"/>
      <c r="AG254" s="11">
        <f t="shared" si="34"/>
        <v>0</v>
      </c>
    </row>
    <row r="255" spans="7:33" ht="21" x14ac:dyDescent="0.15">
      <c r="G255" s="205" t="s">
        <v>497</v>
      </c>
      <c r="H255" s="4" t="s">
        <v>500</v>
      </c>
      <c r="I255" s="6"/>
      <c r="J255" s="9"/>
      <c r="K255" s="46">
        <f t="shared" si="32"/>
        <v>0</v>
      </c>
      <c r="L255" s="46">
        <f t="shared" si="33"/>
        <v>0</v>
      </c>
      <c r="M255" s="8"/>
      <c r="N255" s="6"/>
      <c r="O255" s="8"/>
      <c r="P255" s="6"/>
      <c r="Q255" s="8"/>
      <c r="R255" s="6"/>
      <c r="S255" s="6"/>
      <c r="T255" s="8"/>
      <c r="U255" s="6"/>
      <c r="V255" s="8"/>
      <c r="W255" s="8"/>
      <c r="X255" s="6"/>
      <c r="Y255" s="8"/>
      <c r="Z255" s="6"/>
      <c r="AA255" s="6"/>
      <c r="AB255" s="6"/>
      <c r="AC255" s="6"/>
      <c r="AD255" s="6"/>
      <c r="AE255" s="8"/>
      <c r="AF255" s="8"/>
      <c r="AG255" s="11">
        <f t="shared" si="34"/>
        <v>0</v>
      </c>
    </row>
    <row r="256" spans="7:33" x14ac:dyDescent="0.15">
      <c r="G256" s="205" t="s">
        <v>499</v>
      </c>
      <c r="H256" s="4" t="s">
        <v>502</v>
      </c>
      <c r="I256" s="6"/>
      <c r="J256" s="9"/>
      <c r="K256" s="46">
        <f t="shared" si="32"/>
        <v>0</v>
      </c>
      <c r="L256" s="46">
        <f t="shared" si="33"/>
        <v>0</v>
      </c>
      <c r="M256" s="8"/>
      <c r="N256" s="6"/>
      <c r="O256" s="8"/>
      <c r="P256" s="6"/>
      <c r="Q256" s="8"/>
      <c r="R256" s="6"/>
      <c r="S256" s="6"/>
      <c r="T256" s="8"/>
      <c r="U256" s="6"/>
      <c r="V256" s="8"/>
      <c r="W256" s="8"/>
      <c r="X256" s="6"/>
      <c r="Y256" s="8"/>
      <c r="Z256" s="6"/>
      <c r="AA256" s="6"/>
      <c r="AB256" s="6"/>
      <c r="AC256" s="6"/>
      <c r="AD256" s="6"/>
      <c r="AE256" s="8"/>
      <c r="AF256" s="8"/>
      <c r="AG256" s="11">
        <f t="shared" si="34"/>
        <v>0</v>
      </c>
    </row>
    <row r="257" spans="7:33" x14ac:dyDescent="0.15">
      <c r="G257" s="205" t="s">
        <v>501</v>
      </c>
      <c r="H257" s="53" t="s">
        <v>504</v>
      </c>
      <c r="I257" s="6"/>
      <c r="J257" s="9"/>
      <c r="K257" s="46">
        <f t="shared" si="32"/>
        <v>0</v>
      </c>
      <c r="L257" s="46">
        <f t="shared" si="33"/>
        <v>0</v>
      </c>
      <c r="M257" s="8"/>
      <c r="N257" s="6"/>
      <c r="O257" s="8"/>
      <c r="P257" s="6"/>
      <c r="Q257" s="8"/>
      <c r="R257" s="6"/>
      <c r="S257" s="6"/>
      <c r="T257" s="8"/>
      <c r="U257" s="6"/>
      <c r="V257" s="8"/>
      <c r="W257" s="8"/>
      <c r="X257" s="6"/>
      <c r="Y257" s="8"/>
      <c r="Z257" s="6"/>
      <c r="AA257" s="6"/>
      <c r="AB257" s="6"/>
      <c r="AC257" s="6"/>
      <c r="AD257" s="6"/>
      <c r="AE257" s="8"/>
      <c r="AF257" s="8"/>
      <c r="AG257" s="11">
        <f t="shared" si="34"/>
        <v>0</v>
      </c>
    </row>
    <row r="258" spans="7:33" x14ac:dyDescent="0.15">
      <c r="G258" s="205" t="s">
        <v>503</v>
      </c>
      <c r="H258" s="4" t="s">
        <v>506</v>
      </c>
      <c r="I258" s="6"/>
      <c r="J258" s="9"/>
      <c r="K258" s="46">
        <f t="shared" si="32"/>
        <v>0</v>
      </c>
      <c r="L258" s="46">
        <f t="shared" si="33"/>
        <v>0</v>
      </c>
      <c r="M258" s="8"/>
      <c r="N258" s="6"/>
      <c r="O258" s="8"/>
      <c r="P258" s="6"/>
      <c r="Q258" s="8"/>
      <c r="R258" s="6"/>
      <c r="S258" s="6"/>
      <c r="T258" s="8"/>
      <c r="U258" s="6"/>
      <c r="V258" s="8"/>
      <c r="W258" s="8"/>
      <c r="X258" s="6"/>
      <c r="Y258" s="8"/>
      <c r="Z258" s="6"/>
      <c r="AA258" s="6"/>
      <c r="AB258" s="6"/>
      <c r="AC258" s="6"/>
      <c r="AD258" s="6"/>
      <c r="AE258" s="8"/>
      <c r="AF258" s="8"/>
      <c r="AG258" s="11">
        <f t="shared" si="34"/>
        <v>0</v>
      </c>
    </row>
    <row r="259" spans="7:33" x14ac:dyDescent="0.15">
      <c r="G259" s="205" t="s">
        <v>505</v>
      </c>
      <c r="H259" s="4" t="s">
        <v>508</v>
      </c>
      <c r="I259" s="6"/>
      <c r="J259" s="9"/>
      <c r="K259" s="46">
        <f t="shared" si="32"/>
        <v>0</v>
      </c>
      <c r="L259" s="46">
        <f t="shared" si="33"/>
        <v>0</v>
      </c>
      <c r="M259" s="8"/>
      <c r="N259" s="6"/>
      <c r="O259" s="8"/>
      <c r="P259" s="6"/>
      <c r="Q259" s="8"/>
      <c r="R259" s="6"/>
      <c r="S259" s="6"/>
      <c r="T259" s="8"/>
      <c r="U259" s="6"/>
      <c r="V259" s="8"/>
      <c r="W259" s="8"/>
      <c r="X259" s="6"/>
      <c r="Y259" s="8"/>
      <c r="Z259" s="6"/>
      <c r="AA259" s="6"/>
      <c r="AB259" s="6"/>
      <c r="AC259" s="6"/>
      <c r="AD259" s="6"/>
      <c r="AE259" s="8"/>
      <c r="AF259" s="8"/>
      <c r="AG259" s="11">
        <f t="shared" si="34"/>
        <v>0</v>
      </c>
    </row>
    <row r="260" spans="7:33" x14ac:dyDescent="0.15">
      <c r="G260" s="205" t="s">
        <v>507</v>
      </c>
      <c r="H260" s="53" t="s">
        <v>510</v>
      </c>
      <c r="I260" s="6"/>
      <c r="J260" s="9"/>
      <c r="K260" s="46">
        <f t="shared" si="32"/>
        <v>0</v>
      </c>
      <c r="L260" s="46">
        <f t="shared" si="33"/>
        <v>0</v>
      </c>
      <c r="M260" s="8"/>
      <c r="N260" s="6"/>
      <c r="O260" s="8"/>
      <c r="P260" s="6"/>
      <c r="Q260" s="8"/>
      <c r="R260" s="6"/>
      <c r="S260" s="6"/>
      <c r="T260" s="8"/>
      <c r="U260" s="6"/>
      <c r="V260" s="8"/>
      <c r="W260" s="8"/>
      <c r="X260" s="6"/>
      <c r="Y260" s="8"/>
      <c r="Z260" s="6"/>
      <c r="AA260" s="6"/>
      <c r="AB260" s="6"/>
      <c r="AC260" s="6"/>
      <c r="AD260" s="6"/>
      <c r="AE260" s="8"/>
      <c r="AF260" s="8"/>
      <c r="AG260" s="11">
        <f t="shared" si="34"/>
        <v>0</v>
      </c>
    </row>
    <row r="261" spans="7:33" x14ac:dyDescent="0.15">
      <c r="G261" s="205" t="s">
        <v>509</v>
      </c>
      <c r="H261" s="4" t="s">
        <v>512</v>
      </c>
      <c r="I261" s="6"/>
      <c r="J261" s="9"/>
      <c r="K261" s="46">
        <f t="shared" si="32"/>
        <v>0</v>
      </c>
      <c r="L261" s="46">
        <f t="shared" si="33"/>
        <v>0</v>
      </c>
      <c r="M261" s="8"/>
      <c r="N261" s="6"/>
      <c r="O261" s="8"/>
      <c r="P261" s="6"/>
      <c r="Q261" s="8"/>
      <c r="R261" s="6"/>
      <c r="S261" s="6"/>
      <c r="T261" s="8"/>
      <c r="U261" s="6"/>
      <c r="V261" s="8"/>
      <c r="W261" s="8"/>
      <c r="X261" s="6"/>
      <c r="Y261" s="8"/>
      <c r="Z261" s="6"/>
      <c r="AA261" s="6"/>
      <c r="AB261" s="6"/>
      <c r="AC261" s="6"/>
      <c r="AD261" s="6"/>
      <c r="AE261" s="8"/>
      <c r="AF261" s="8"/>
      <c r="AG261" s="11">
        <f t="shared" si="34"/>
        <v>0</v>
      </c>
    </row>
    <row r="262" spans="7:33" x14ac:dyDescent="0.15">
      <c r="G262" s="205" t="s">
        <v>511</v>
      </c>
      <c r="H262" s="4" t="s">
        <v>514</v>
      </c>
      <c r="I262" s="6"/>
      <c r="J262" s="9"/>
      <c r="K262" s="46">
        <f t="shared" si="32"/>
        <v>0</v>
      </c>
      <c r="L262" s="46">
        <f t="shared" si="33"/>
        <v>0</v>
      </c>
      <c r="M262" s="8"/>
      <c r="N262" s="6"/>
      <c r="O262" s="8"/>
      <c r="P262" s="6"/>
      <c r="Q262" s="8"/>
      <c r="R262" s="6"/>
      <c r="S262" s="6"/>
      <c r="T262" s="8"/>
      <c r="U262" s="6"/>
      <c r="V262" s="8"/>
      <c r="W262" s="8"/>
      <c r="X262" s="6"/>
      <c r="Y262" s="8"/>
      <c r="Z262" s="6"/>
      <c r="AA262" s="6"/>
      <c r="AB262" s="6"/>
      <c r="AC262" s="6"/>
      <c r="AD262" s="6"/>
      <c r="AE262" s="8"/>
      <c r="AF262" s="8"/>
      <c r="AG262" s="11">
        <f t="shared" si="34"/>
        <v>0</v>
      </c>
    </row>
    <row r="263" spans="7:33" x14ac:dyDescent="0.15">
      <c r="G263" s="205" t="s">
        <v>513</v>
      </c>
      <c r="H263" s="53" t="s">
        <v>516</v>
      </c>
      <c r="I263" s="6"/>
      <c r="J263" s="9"/>
      <c r="K263" s="46">
        <f t="shared" si="32"/>
        <v>0</v>
      </c>
      <c r="L263" s="46">
        <f t="shared" si="33"/>
        <v>0</v>
      </c>
      <c r="M263" s="8"/>
      <c r="N263" s="6"/>
      <c r="O263" s="8"/>
      <c r="P263" s="6"/>
      <c r="Q263" s="8"/>
      <c r="R263" s="6"/>
      <c r="S263" s="6"/>
      <c r="T263" s="8"/>
      <c r="U263" s="6"/>
      <c r="V263" s="8"/>
      <c r="W263" s="8"/>
      <c r="X263" s="6"/>
      <c r="Y263" s="8"/>
      <c r="Z263" s="6"/>
      <c r="AA263" s="6"/>
      <c r="AB263" s="6"/>
      <c r="AC263" s="6"/>
      <c r="AD263" s="6"/>
      <c r="AE263" s="8"/>
      <c r="AF263" s="8"/>
      <c r="AG263" s="11">
        <f t="shared" si="34"/>
        <v>0</v>
      </c>
    </row>
    <row r="264" spans="7:33" x14ac:dyDescent="0.15">
      <c r="G264" s="208" t="s">
        <v>515</v>
      </c>
      <c r="H264" s="4" t="s">
        <v>518</v>
      </c>
      <c r="I264" s="6"/>
      <c r="J264" s="9"/>
      <c r="K264" s="46">
        <f t="shared" si="32"/>
        <v>0</v>
      </c>
      <c r="L264" s="46">
        <f t="shared" si="33"/>
        <v>0</v>
      </c>
      <c r="M264" s="8"/>
      <c r="N264" s="6"/>
      <c r="O264" s="8"/>
      <c r="P264" s="6"/>
      <c r="Q264" s="8"/>
      <c r="R264" s="6"/>
      <c r="S264" s="6"/>
      <c r="T264" s="8"/>
      <c r="U264" s="6"/>
      <c r="V264" s="8"/>
      <c r="W264" s="8"/>
      <c r="X264" s="6"/>
      <c r="Y264" s="8"/>
      <c r="Z264" s="6"/>
      <c r="AA264" s="6"/>
      <c r="AB264" s="6"/>
      <c r="AC264" s="6"/>
      <c r="AD264" s="6"/>
      <c r="AE264" s="8"/>
      <c r="AF264" s="8"/>
      <c r="AG264" s="11">
        <f t="shared" si="34"/>
        <v>0</v>
      </c>
    </row>
    <row r="265" spans="7:33" x14ac:dyDescent="0.15">
      <c r="G265" s="205" t="s">
        <v>517</v>
      </c>
      <c r="H265" s="4" t="s">
        <v>520</v>
      </c>
      <c r="I265" s="6"/>
      <c r="J265" s="9"/>
      <c r="K265" s="46">
        <f t="shared" si="32"/>
        <v>0</v>
      </c>
      <c r="L265" s="46">
        <f t="shared" si="33"/>
        <v>0</v>
      </c>
      <c r="M265" s="8"/>
      <c r="N265" s="6"/>
      <c r="O265" s="8"/>
      <c r="P265" s="6"/>
      <c r="Q265" s="8"/>
      <c r="R265" s="6"/>
      <c r="S265" s="6"/>
      <c r="T265" s="8"/>
      <c r="U265" s="6"/>
      <c r="V265" s="8"/>
      <c r="W265" s="8"/>
      <c r="X265" s="6"/>
      <c r="Y265" s="8"/>
      <c r="Z265" s="6"/>
      <c r="AA265" s="6"/>
      <c r="AB265" s="6"/>
      <c r="AC265" s="6"/>
      <c r="AD265" s="6"/>
      <c r="AE265" s="8"/>
      <c r="AF265" s="8"/>
      <c r="AG265" s="11">
        <f t="shared" si="34"/>
        <v>0</v>
      </c>
    </row>
    <row r="266" spans="7:33" x14ac:dyDescent="0.15">
      <c r="G266" s="205" t="s">
        <v>519</v>
      </c>
      <c r="H266" s="53" t="s">
        <v>522</v>
      </c>
      <c r="I266" s="6"/>
      <c r="J266" s="9"/>
      <c r="K266" s="46">
        <f t="shared" si="32"/>
        <v>0</v>
      </c>
      <c r="L266" s="46">
        <f t="shared" si="33"/>
        <v>0</v>
      </c>
      <c r="M266" s="8"/>
      <c r="N266" s="6"/>
      <c r="O266" s="8"/>
      <c r="P266" s="6"/>
      <c r="Q266" s="8"/>
      <c r="R266" s="6"/>
      <c r="S266" s="6"/>
      <c r="T266" s="8"/>
      <c r="U266" s="6"/>
      <c r="V266" s="8"/>
      <c r="W266" s="8"/>
      <c r="X266" s="6"/>
      <c r="Y266" s="8"/>
      <c r="Z266" s="6"/>
      <c r="AA266" s="6"/>
      <c r="AB266" s="6"/>
      <c r="AC266" s="6"/>
      <c r="AD266" s="6"/>
      <c r="AE266" s="8"/>
      <c r="AF266" s="8"/>
      <c r="AG266" s="11">
        <f t="shared" si="34"/>
        <v>0</v>
      </c>
    </row>
    <row r="267" spans="7:33" x14ac:dyDescent="0.15">
      <c r="G267" s="205" t="s">
        <v>896</v>
      </c>
      <c r="H267" s="4" t="s">
        <v>524</v>
      </c>
      <c r="I267" s="6"/>
      <c r="J267" s="9"/>
      <c r="K267" s="46">
        <f t="shared" ref="K267" si="40">L267+X267</f>
        <v>0</v>
      </c>
      <c r="L267" s="46">
        <f t="shared" ref="L267" si="41">SUM(M267:P267)</f>
        <v>0</v>
      </c>
      <c r="M267" s="8"/>
      <c r="N267" s="6"/>
      <c r="O267" s="8"/>
      <c r="P267" s="6"/>
      <c r="Q267" s="8"/>
      <c r="R267" s="6"/>
      <c r="S267" s="6"/>
      <c r="T267" s="8"/>
      <c r="U267" s="6"/>
      <c r="V267" s="8"/>
      <c r="W267" s="8"/>
      <c r="X267" s="6"/>
      <c r="Y267" s="8"/>
      <c r="Z267" s="6"/>
      <c r="AA267" s="6"/>
      <c r="AB267" s="6"/>
      <c r="AC267" s="6"/>
      <c r="AD267" s="6"/>
      <c r="AE267" s="8"/>
      <c r="AF267" s="8"/>
      <c r="AG267" s="11">
        <f t="shared" ref="AG267" si="42">SUM(I267:AF267)</f>
        <v>0</v>
      </c>
    </row>
    <row r="268" spans="7:33" x14ac:dyDescent="0.15">
      <c r="G268" s="205" t="s">
        <v>521</v>
      </c>
      <c r="H268" s="4" t="s">
        <v>526</v>
      </c>
      <c r="I268" s="6"/>
      <c r="J268" s="9"/>
      <c r="K268" s="46">
        <f t="shared" si="32"/>
        <v>0</v>
      </c>
      <c r="L268" s="46">
        <f t="shared" si="33"/>
        <v>0</v>
      </c>
      <c r="M268" s="8"/>
      <c r="N268" s="6"/>
      <c r="O268" s="8"/>
      <c r="P268" s="6"/>
      <c r="Q268" s="8"/>
      <c r="R268" s="6"/>
      <c r="S268" s="6"/>
      <c r="T268" s="8"/>
      <c r="U268" s="6"/>
      <c r="V268" s="8"/>
      <c r="W268" s="8"/>
      <c r="X268" s="6"/>
      <c r="Y268" s="8"/>
      <c r="Z268" s="6"/>
      <c r="AA268" s="6"/>
      <c r="AB268" s="6"/>
      <c r="AC268" s="6"/>
      <c r="AD268" s="6"/>
      <c r="AE268" s="8"/>
      <c r="AF268" s="8"/>
      <c r="AG268" s="11">
        <f t="shared" si="34"/>
        <v>0</v>
      </c>
    </row>
    <row r="269" spans="7:33" x14ac:dyDescent="0.15">
      <c r="G269" s="205" t="s">
        <v>523</v>
      </c>
      <c r="H269" s="53" t="s">
        <v>528</v>
      </c>
      <c r="I269" s="6"/>
      <c r="J269" s="9"/>
      <c r="K269" s="46">
        <f t="shared" si="32"/>
        <v>0</v>
      </c>
      <c r="L269" s="46">
        <f t="shared" si="33"/>
        <v>0</v>
      </c>
      <c r="M269" s="8"/>
      <c r="N269" s="6"/>
      <c r="O269" s="8"/>
      <c r="P269" s="6"/>
      <c r="Q269" s="8"/>
      <c r="R269" s="6"/>
      <c r="S269" s="6"/>
      <c r="T269" s="8"/>
      <c r="U269" s="6"/>
      <c r="V269" s="8"/>
      <c r="W269" s="8"/>
      <c r="X269" s="6"/>
      <c r="Y269" s="8"/>
      <c r="Z269" s="6"/>
      <c r="AA269" s="6"/>
      <c r="AB269" s="6"/>
      <c r="AC269" s="6"/>
      <c r="AD269" s="6"/>
      <c r="AE269" s="8"/>
      <c r="AF269" s="8"/>
      <c r="AG269" s="11">
        <f t="shared" si="34"/>
        <v>0</v>
      </c>
    </row>
    <row r="270" spans="7:33" x14ac:dyDescent="0.15">
      <c r="G270" s="205" t="s">
        <v>525</v>
      </c>
      <c r="H270" s="4" t="s">
        <v>530</v>
      </c>
      <c r="I270" s="6"/>
      <c r="J270" s="9"/>
      <c r="K270" s="46">
        <f t="shared" ref="K270:K322" si="43">L270+X270</f>
        <v>0</v>
      </c>
      <c r="L270" s="46">
        <f t="shared" ref="L270:L322" si="44">SUM(M270:P270)</f>
        <v>0</v>
      </c>
      <c r="M270" s="8"/>
      <c r="N270" s="6"/>
      <c r="O270" s="8"/>
      <c r="P270" s="6"/>
      <c r="Q270" s="8"/>
      <c r="R270" s="6"/>
      <c r="S270" s="6"/>
      <c r="T270" s="8"/>
      <c r="U270" s="6"/>
      <c r="V270" s="8"/>
      <c r="W270" s="8"/>
      <c r="X270" s="6"/>
      <c r="Y270" s="8"/>
      <c r="Z270" s="6"/>
      <c r="AA270" s="6"/>
      <c r="AB270" s="6"/>
      <c r="AC270" s="6"/>
      <c r="AD270" s="6"/>
      <c r="AE270" s="8"/>
      <c r="AF270" s="8"/>
      <c r="AG270" s="11">
        <f t="shared" ref="AG270:AG322" si="45">SUM(I270:AF270)</f>
        <v>0</v>
      </c>
    </row>
    <row r="271" spans="7:33" x14ac:dyDescent="0.15">
      <c r="G271" s="205" t="s">
        <v>527</v>
      </c>
      <c r="H271" s="4" t="s">
        <v>532</v>
      </c>
      <c r="I271" s="46">
        <f>IF(SUM(I272:I276)&gt;=1,1,0)</f>
        <v>0</v>
      </c>
      <c r="J271" s="46"/>
      <c r="K271" s="46">
        <f t="shared" si="43"/>
        <v>0</v>
      </c>
      <c r="L271" s="46">
        <f t="shared" si="44"/>
        <v>0</v>
      </c>
      <c r="M271" s="46">
        <f>SUM(M272:M276)</f>
        <v>0</v>
      </c>
      <c r="N271" s="46">
        <f t="shared" ref="N271:AF271" si="46">SUM(N272:N276)</f>
        <v>0</v>
      </c>
      <c r="O271" s="46">
        <f t="shared" si="46"/>
        <v>0</v>
      </c>
      <c r="P271" s="46">
        <f t="shared" si="46"/>
        <v>0</v>
      </c>
      <c r="Q271" s="46">
        <f t="shared" si="46"/>
        <v>0</v>
      </c>
      <c r="R271" s="46">
        <f t="shared" si="46"/>
        <v>0</v>
      </c>
      <c r="S271" s="46">
        <f t="shared" si="46"/>
        <v>0</v>
      </c>
      <c r="T271" s="46">
        <f t="shared" si="46"/>
        <v>0</v>
      </c>
      <c r="U271" s="46">
        <f t="shared" si="46"/>
        <v>0</v>
      </c>
      <c r="V271" s="46">
        <f t="shared" si="46"/>
        <v>0</v>
      </c>
      <c r="W271" s="46">
        <f t="shared" si="46"/>
        <v>0</v>
      </c>
      <c r="X271" s="46">
        <f t="shared" si="46"/>
        <v>0</v>
      </c>
      <c r="Y271" s="46">
        <f t="shared" si="46"/>
        <v>0</v>
      </c>
      <c r="Z271" s="46">
        <f t="shared" si="46"/>
        <v>0</v>
      </c>
      <c r="AA271" s="46">
        <f t="shared" si="46"/>
        <v>0</v>
      </c>
      <c r="AB271" s="46">
        <f t="shared" si="46"/>
        <v>0</v>
      </c>
      <c r="AC271" s="46">
        <f t="shared" si="46"/>
        <v>0</v>
      </c>
      <c r="AD271" s="46">
        <f t="shared" si="46"/>
        <v>0</v>
      </c>
      <c r="AE271" s="46">
        <f t="shared" si="46"/>
        <v>0</v>
      </c>
      <c r="AF271" s="46">
        <f t="shared" si="46"/>
        <v>0</v>
      </c>
      <c r="AG271" s="11">
        <f t="shared" si="45"/>
        <v>0</v>
      </c>
    </row>
    <row r="272" spans="7:33" ht="21" x14ac:dyDescent="0.15">
      <c r="G272" s="206" t="s">
        <v>529</v>
      </c>
      <c r="H272" s="53" t="s">
        <v>534</v>
      </c>
      <c r="I272" s="6"/>
      <c r="J272" s="9"/>
      <c r="K272" s="46">
        <f t="shared" si="43"/>
        <v>0</v>
      </c>
      <c r="L272" s="46">
        <f t="shared" si="44"/>
        <v>0</v>
      </c>
      <c r="M272" s="8"/>
      <c r="N272" s="6"/>
      <c r="O272" s="8"/>
      <c r="P272" s="6"/>
      <c r="Q272" s="8"/>
      <c r="R272" s="6"/>
      <c r="S272" s="6"/>
      <c r="T272" s="8"/>
      <c r="U272" s="6"/>
      <c r="V272" s="8"/>
      <c r="W272" s="8"/>
      <c r="X272" s="6"/>
      <c r="Y272" s="8"/>
      <c r="Z272" s="6"/>
      <c r="AA272" s="6"/>
      <c r="AB272" s="6"/>
      <c r="AC272" s="6"/>
      <c r="AD272" s="6"/>
      <c r="AE272" s="8"/>
      <c r="AF272" s="8"/>
      <c r="AG272" s="11">
        <f t="shared" si="45"/>
        <v>0</v>
      </c>
    </row>
    <row r="273" spans="7:33" x14ac:dyDescent="0.15">
      <c r="G273" s="206" t="s">
        <v>531</v>
      </c>
      <c r="H273" s="4" t="s">
        <v>536</v>
      </c>
      <c r="I273" s="6"/>
      <c r="J273" s="9"/>
      <c r="K273" s="46">
        <f t="shared" si="43"/>
        <v>0</v>
      </c>
      <c r="L273" s="46">
        <f t="shared" si="44"/>
        <v>0</v>
      </c>
      <c r="M273" s="8"/>
      <c r="N273" s="6"/>
      <c r="O273" s="8"/>
      <c r="P273" s="6"/>
      <c r="Q273" s="8"/>
      <c r="R273" s="6"/>
      <c r="S273" s="6"/>
      <c r="T273" s="8"/>
      <c r="U273" s="6"/>
      <c r="V273" s="8"/>
      <c r="W273" s="8"/>
      <c r="X273" s="6"/>
      <c r="Y273" s="8"/>
      <c r="Z273" s="6"/>
      <c r="AA273" s="6"/>
      <c r="AB273" s="6"/>
      <c r="AC273" s="6"/>
      <c r="AD273" s="6"/>
      <c r="AE273" s="8"/>
      <c r="AF273" s="8"/>
      <c r="AG273" s="11">
        <f t="shared" si="45"/>
        <v>0</v>
      </c>
    </row>
    <row r="274" spans="7:33" x14ac:dyDescent="0.15">
      <c r="G274" s="206" t="s">
        <v>533</v>
      </c>
      <c r="H274" s="4" t="s">
        <v>538</v>
      </c>
      <c r="I274" s="6"/>
      <c r="J274" s="9"/>
      <c r="K274" s="46">
        <f t="shared" si="43"/>
        <v>0</v>
      </c>
      <c r="L274" s="46">
        <f t="shared" si="44"/>
        <v>0</v>
      </c>
      <c r="M274" s="8"/>
      <c r="N274" s="6"/>
      <c r="O274" s="8"/>
      <c r="P274" s="6"/>
      <c r="Q274" s="8"/>
      <c r="R274" s="6"/>
      <c r="S274" s="6"/>
      <c r="T274" s="8"/>
      <c r="U274" s="6"/>
      <c r="V274" s="8"/>
      <c r="W274" s="8"/>
      <c r="X274" s="6"/>
      <c r="Y274" s="8"/>
      <c r="Z274" s="6"/>
      <c r="AA274" s="6"/>
      <c r="AB274" s="6"/>
      <c r="AC274" s="6"/>
      <c r="AD274" s="6"/>
      <c r="AE274" s="8"/>
      <c r="AF274" s="8"/>
      <c r="AG274" s="11">
        <f t="shared" si="45"/>
        <v>0</v>
      </c>
    </row>
    <row r="275" spans="7:33" x14ac:dyDescent="0.15">
      <c r="G275" s="206" t="s">
        <v>535</v>
      </c>
      <c r="H275" s="53" t="s">
        <v>540</v>
      </c>
      <c r="I275" s="6"/>
      <c r="J275" s="9"/>
      <c r="K275" s="46">
        <f t="shared" si="43"/>
        <v>0</v>
      </c>
      <c r="L275" s="46">
        <f t="shared" si="44"/>
        <v>0</v>
      </c>
      <c r="M275" s="8"/>
      <c r="N275" s="6"/>
      <c r="O275" s="8"/>
      <c r="P275" s="6"/>
      <c r="Q275" s="8"/>
      <c r="R275" s="6"/>
      <c r="S275" s="6"/>
      <c r="T275" s="8"/>
      <c r="U275" s="6"/>
      <c r="V275" s="8"/>
      <c r="W275" s="8"/>
      <c r="X275" s="6"/>
      <c r="Y275" s="8"/>
      <c r="Z275" s="6"/>
      <c r="AA275" s="6"/>
      <c r="AB275" s="6"/>
      <c r="AC275" s="6"/>
      <c r="AD275" s="6"/>
      <c r="AE275" s="8"/>
      <c r="AF275" s="8"/>
      <c r="AG275" s="11">
        <f t="shared" si="45"/>
        <v>0</v>
      </c>
    </row>
    <row r="276" spans="7:33" x14ac:dyDescent="0.15">
      <c r="G276" s="206" t="s">
        <v>897</v>
      </c>
      <c r="H276" s="4" t="s">
        <v>542</v>
      </c>
      <c r="I276" s="6"/>
      <c r="J276" s="9"/>
      <c r="K276" s="46">
        <f t="shared" ref="K276" si="47">L276+X276</f>
        <v>0</v>
      </c>
      <c r="L276" s="46">
        <f t="shared" ref="L276" si="48">SUM(M276:P276)</f>
        <v>0</v>
      </c>
      <c r="M276" s="8"/>
      <c r="N276" s="6"/>
      <c r="O276" s="8"/>
      <c r="P276" s="6"/>
      <c r="Q276" s="8"/>
      <c r="R276" s="6"/>
      <c r="S276" s="6"/>
      <c r="T276" s="8"/>
      <c r="U276" s="6"/>
      <c r="V276" s="8"/>
      <c r="W276" s="8"/>
      <c r="X276" s="6"/>
      <c r="Y276" s="8"/>
      <c r="Z276" s="6"/>
      <c r="AA276" s="6"/>
      <c r="AB276" s="6"/>
      <c r="AC276" s="6"/>
      <c r="AD276" s="6"/>
      <c r="AE276" s="8"/>
      <c r="AF276" s="8"/>
      <c r="AG276" s="11">
        <f t="shared" ref="AG276" si="49">SUM(I276:AF276)</f>
        <v>0</v>
      </c>
    </row>
    <row r="277" spans="7:33" x14ac:dyDescent="0.15">
      <c r="G277" s="205" t="s">
        <v>537</v>
      </c>
      <c r="H277" s="4" t="s">
        <v>544</v>
      </c>
      <c r="I277" s="6"/>
      <c r="J277" s="9"/>
      <c r="K277" s="46">
        <f t="shared" si="43"/>
        <v>0</v>
      </c>
      <c r="L277" s="46">
        <f t="shared" si="44"/>
        <v>0</v>
      </c>
      <c r="M277" s="8"/>
      <c r="N277" s="6"/>
      <c r="O277" s="8"/>
      <c r="P277" s="6"/>
      <c r="Q277" s="8"/>
      <c r="R277" s="6"/>
      <c r="S277" s="6"/>
      <c r="T277" s="8"/>
      <c r="U277" s="6"/>
      <c r="V277" s="8"/>
      <c r="W277" s="8"/>
      <c r="X277" s="6"/>
      <c r="Y277" s="8"/>
      <c r="Z277" s="6"/>
      <c r="AA277" s="6"/>
      <c r="AB277" s="6"/>
      <c r="AC277" s="6"/>
      <c r="AD277" s="6"/>
      <c r="AE277" s="8"/>
      <c r="AF277" s="8"/>
      <c r="AG277" s="11">
        <f t="shared" si="45"/>
        <v>0</v>
      </c>
    </row>
    <row r="278" spans="7:33" ht="21" x14ac:dyDescent="0.15">
      <c r="G278" s="205" t="s">
        <v>539</v>
      </c>
      <c r="H278" s="53" t="s">
        <v>546</v>
      </c>
      <c r="I278" s="47">
        <f>IF(SUM(I279:I283)&gt;=1,1,0)</f>
        <v>0</v>
      </c>
      <c r="J278" s="47"/>
      <c r="K278" s="46">
        <f t="shared" si="43"/>
        <v>0</v>
      </c>
      <c r="L278" s="46">
        <f t="shared" si="44"/>
        <v>0</v>
      </c>
      <c r="M278" s="48">
        <f>SUM(M279:M283)</f>
        <v>0</v>
      </c>
      <c r="N278" s="48">
        <f t="shared" ref="N278:AF278" si="50">SUM(N279:N283)</f>
        <v>0</v>
      </c>
      <c r="O278" s="48">
        <f t="shared" si="50"/>
        <v>0</v>
      </c>
      <c r="P278" s="48">
        <f t="shared" si="50"/>
        <v>0</v>
      </c>
      <c r="Q278" s="48">
        <f t="shared" si="50"/>
        <v>0</v>
      </c>
      <c r="R278" s="48">
        <f t="shared" si="50"/>
        <v>0</v>
      </c>
      <c r="S278" s="48">
        <f t="shared" si="50"/>
        <v>0</v>
      </c>
      <c r="T278" s="48">
        <f t="shared" si="50"/>
        <v>0</v>
      </c>
      <c r="U278" s="48">
        <f t="shared" si="50"/>
        <v>0</v>
      </c>
      <c r="V278" s="48">
        <f t="shared" si="50"/>
        <v>0</v>
      </c>
      <c r="W278" s="48">
        <f t="shared" si="50"/>
        <v>0</v>
      </c>
      <c r="X278" s="48">
        <f t="shared" si="50"/>
        <v>0</v>
      </c>
      <c r="Y278" s="48">
        <f t="shared" si="50"/>
        <v>0</v>
      </c>
      <c r="Z278" s="48">
        <f t="shared" si="50"/>
        <v>0</v>
      </c>
      <c r="AA278" s="48">
        <f t="shared" si="50"/>
        <v>0</v>
      </c>
      <c r="AB278" s="48">
        <f t="shared" si="50"/>
        <v>0</v>
      </c>
      <c r="AC278" s="48">
        <f t="shared" si="50"/>
        <v>0</v>
      </c>
      <c r="AD278" s="48">
        <f t="shared" si="50"/>
        <v>0</v>
      </c>
      <c r="AE278" s="48">
        <f t="shared" si="50"/>
        <v>0</v>
      </c>
      <c r="AF278" s="48">
        <f t="shared" si="50"/>
        <v>0</v>
      </c>
      <c r="AG278" s="11">
        <f t="shared" si="45"/>
        <v>0</v>
      </c>
    </row>
    <row r="279" spans="7:33" ht="21" x14ac:dyDescent="0.15">
      <c r="G279" s="206" t="s">
        <v>541</v>
      </c>
      <c r="H279" s="4" t="s">
        <v>548</v>
      </c>
      <c r="I279" s="6"/>
      <c r="J279" s="9"/>
      <c r="K279" s="46">
        <f t="shared" si="43"/>
        <v>0</v>
      </c>
      <c r="L279" s="46">
        <f t="shared" si="44"/>
        <v>0</v>
      </c>
      <c r="M279" s="8"/>
      <c r="N279" s="6"/>
      <c r="O279" s="8"/>
      <c r="P279" s="6"/>
      <c r="Q279" s="8"/>
      <c r="R279" s="6"/>
      <c r="S279" s="6"/>
      <c r="T279" s="8"/>
      <c r="U279" s="6"/>
      <c r="V279" s="8"/>
      <c r="W279" s="8"/>
      <c r="X279" s="6"/>
      <c r="Y279" s="8"/>
      <c r="Z279" s="6"/>
      <c r="AA279" s="6"/>
      <c r="AB279" s="6"/>
      <c r="AC279" s="6"/>
      <c r="AD279" s="6"/>
      <c r="AE279" s="8"/>
      <c r="AF279" s="8"/>
      <c r="AG279" s="11">
        <f t="shared" si="45"/>
        <v>0</v>
      </c>
    </row>
    <row r="280" spans="7:33" x14ac:dyDescent="0.15">
      <c r="G280" s="206" t="s">
        <v>543</v>
      </c>
      <c r="H280" s="4" t="s">
        <v>549</v>
      </c>
      <c r="I280" s="6"/>
      <c r="J280" s="9"/>
      <c r="K280" s="46">
        <f t="shared" si="43"/>
        <v>0</v>
      </c>
      <c r="L280" s="46">
        <f t="shared" si="44"/>
        <v>0</v>
      </c>
      <c r="M280" s="8"/>
      <c r="N280" s="6"/>
      <c r="O280" s="8"/>
      <c r="P280" s="6"/>
      <c r="Q280" s="8"/>
      <c r="R280" s="6"/>
      <c r="S280" s="6"/>
      <c r="T280" s="8"/>
      <c r="U280" s="6"/>
      <c r="V280" s="8"/>
      <c r="W280" s="8"/>
      <c r="X280" s="6"/>
      <c r="Y280" s="8"/>
      <c r="Z280" s="6"/>
      <c r="AA280" s="6"/>
      <c r="AB280" s="6"/>
      <c r="AC280" s="6"/>
      <c r="AD280" s="6"/>
      <c r="AE280" s="8"/>
      <c r="AF280" s="8"/>
      <c r="AG280" s="11">
        <f t="shared" si="45"/>
        <v>0</v>
      </c>
    </row>
    <row r="281" spans="7:33" x14ac:dyDescent="0.15">
      <c r="G281" s="206" t="s">
        <v>545</v>
      </c>
      <c r="H281" s="53" t="s">
        <v>551</v>
      </c>
      <c r="I281" s="6"/>
      <c r="J281" s="9"/>
      <c r="K281" s="46">
        <f t="shared" si="43"/>
        <v>0</v>
      </c>
      <c r="L281" s="46">
        <f t="shared" si="44"/>
        <v>0</v>
      </c>
      <c r="M281" s="8"/>
      <c r="N281" s="6"/>
      <c r="O281" s="8"/>
      <c r="P281" s="6"/>
      <c r="Q281" s="8"/>
      <c r="R281" s="6"/>
      <c r="S281" s="6"/>
      <c r="T281" s="8"/>
      <c r="U281" s="6"/>
      <c r="V281" s="8"/>
      <c r="W281" s="8"/>
      <c r="X281" s="6"/>
      <c r="Y281" s="8"/>
      <c r="Z281" s="6"/>
      <c r="AA281" s="6"/>
      <c r="AB281" s="6"/>
      <c r="AC281" s="6"/>
      <c r="AD281" s="6"/>
      <c r="AE281" s="8"/>
      <c r="AF281" s="8"/>
      <c r="AG281" s="11">
        <f t="shared" si="45"/>
        <v>0</v>
      </c>
    </row>
    <row r="282" spans="7:33" x14ac:dyDescent="0.15">
      <c r="G282" s="206" t="s">
        <v>547</v>
      </c>
      <c r="H282" s="4" t="s">
        <v>553</v>
      </c>
      <c r="I282" s="6"/>
      <c r="J282" s="9"/>
      <c r="K282" s="46">
        <f t="shared" si="43"/>
        <v>0</v>
      </c>
      <c r="L282" s="46">
        <f t="shared" si="44"/>
        <v>0</v>
      </c>
      <c r="M282" s="8"/>
      <c r="N282" s="6"/>
      <c r="O282" s="8"/>
      <c r="P282" s="6"/>
      <c r="Q282" s="8"/>
      <c r="R282" s="6"/>
      <c r="S282" s="6"/>
      <c r="T282" s="8"/>
      <c r="U282" s="6"/>
      <c r="V282" s="8"/>
      <c r="W282" s="8"/>
      <c r="X282" s="6"/>
      <c r="Y282" s="8"/>
      <c r="Z282" s="6"/>
      <c r="AA282" s="6"/>
      <c r="AB282" s="6"/>
      <c r="AC282" s="6"/>
      <c r="AD282" s="6"/>
      <c r="AE282" s="8"/>
      <c r="AF282" s="8"/>
      <c r="AG282" s="11">
        <f t="shared" si="45"/>
        <v>0</v>
      </c>
    </row>
    <row r="283" spans="7:33" x14ac:dyDescent="0.15">
      <c r="G283" s="206" t="s">
        <v>864</v>
      </c>
      <c r="H283" s="4" t="s">
        <v>555</v>
      </c>
      <c r="I283" s="6"/>
      <c r="J283" s="9"/>
      <c r="K283" s="46">
        <f t="shared" si="43"/>
        <v>0</v>
      </c>
      <c r="L283" s="46">
        <f t="shared" si="44"/>
        <v>0</v>
      </c>
      <c r="M283" s="8"/>
      <c r="N283" s="6"/>
      <c r="O283" s="8"/>
      <c r="P283" s="6"/>
      <c r="Q283" s="8"/>
      <c r="R283" s="6"/>
      <c r="S283" s="6"/>
      <c r="T283" s="8"/>
      <c r="U283" s="6"/>
      <c r="V283" s="8"/>
      <c r="W283" s="8"/>
      <c r="X283" s="6"/>
      <c r="Y283" s="8"/>
      <c r="Z283" s="6"/>
      <c r="AA283" s="6"/>
      <c r="AB283" s="6"/>
      <c r="AC283" s="6"/>
      <c r="AD283" s="6"/>
      <c r="AE283" s="8"/>
      <c r="AF283" s="8"/>
      <c r="AG283" s="11">
        <f t="shared" si="45"/>
        <v>0</v>
      </c>
    </row>
    <row r="284" spans="7:33" x14ac:dyDescent="0.15">
      <c r="G284" s="205" t="s">
        <v>550</v>
      </c>
      <c r="H284" s="53" t="s">
        <v>557</v>
      </c>
      <c r="I284" s="6"/>
      <c r="J284" s="9"/>
      <c r="K284" s="46">
        <f t="shared" si="43"/>
        <v>0</v>
      </c>
      <c r="L284" s="46">
        <f t="shared" si="44"/>
        <v>0</v>
      </c>
      <c r="M284" s="8"/>
      <c r="N284" s="6"/>
      <c r="O284" s="8"/>
      <c r="P284" s="6"/>
      <c r="Q284" s="8"/>
      <c r="R284" s="6"/>
      <c r="S284" s="6"/>
      <c r="T284" s="8"/>
      <c r="U284" s="6"/>
      <c r="V284" s="8"/>
      <c r="W284" s="8"/>
      <c r="X284" s="6"/>
      <c r="Y284" s="8"/>
      <c r="Z284" s="6"/>
      <c r="AA284" s="6"/>
      <c r="AB284" s="6"/>
      <c r="AC284" s="6"/>
      <c r="AD284" s="6"/>
      <c r="AE284" s="8"/>
      <c r="AF284" s="8"/>
      <c r="AG284" s="11">
        <f t="shared" si="45"/>
        <v>0</v>
      </c>
    </row>
    <row r="285" spans="7:33" x14ac:dyDescent="0.15">
      <c r="G285" s="205" t="s">
        <v>552</v>
      </c>
      <c r="H285" s="4" t="s">
        <v>559</v>
      </c>
      <c r="I285" s="6"/>
      <c r="J285" s="9"/>
      <c r="K285" s="46">
        <f t="shared" si="43"/>
        <v>0</v>
      </c>
      <c r="L285" s="46">
        <f t="shared" si="44"/>
        <v>0</v>
      </c>
      <c r="M285" s="8"/>
      <c r="N285" s="6"/>
      <c r="O285" s="8"/>
      <c r="P285" s="6"/>
      <c r="Q285" s="8"/>
      <c r="R285" s="6"/>
      <c r="S285" s="6"/>
      <c r="T285" s="8"/>
      <c r="U285" s="6"/>
      <c r="V285" s="8"/>
      <c r="W285" s="8"/>
      <c r="X285" s="6"/>
      <c r="Y285" s="8"/>
      <c r="Z285" s="6"/>
      <c r="AA285" s="6"/>
      <c r="AB285" s="6"/>
      <c r="AC285" s="6"/>
      <c r="AD285" s="6"/>
      <c r="AE285" s="8"/>
      <c r="AF285" s="8"/>
      <c r="AG285" s="11">
        <f t="shared" si="45"/>
        <v>0</v>
      </c>
    </row>
    <row r="286" spans="7:33" x14ac:dyDescent="0.15">
      <c r="G286" s="205" t="s">
        <v>554</v>
      </c>
      <c r="H286" s="4" t="s">
        <v>560</v>
      </c>
      <c r="I286" s="6"/>
      <c r="J286" s="9"/>
      <c r="K286" s="46">
        <f t="shared" si="43"/>
        <v>0</v>
      </c>
      <c r="L286" s="46">
        <f t="shared" si="44"/>
        <v>0</v>
      </c>
      <c r="M286" s="8"/>
      <c r="N286" s="6"/>
      <c r="O286" s="8"/>
      <c r="P286" s="6"/>
      <c r="Q286" s="8"/>
      <c r="R286" s="6"/>
      <c r="S286" s="6"/>
      <c r="T286" s="8"/>
      <c r="U286" s="6"/>
      <c r="V286" s="8"/>
      <c r="W286" s="8"/>
      <c r="X286" s="6"/>
      <c r="Y286" s="8"/>
      <c r="Z286" s="6"/>
      <c r="AA286" s="6"/>
      <c r="AB286" s="6"/>
      <c r="AC286" s="6"/>
      <c r="AD286" s="6"/>
      <c r="AE286" s="8"/>
      <c r="AF286" s="8"/>
      <c r="AG286" s="11">
        <f t="shared" si="45"/>
        <v>0</v>
      </c>
    </row>
    <row r="287" spans="7:33" x14ac:dyDescent="0.15">
      <c r="G287" s="205" t="s">
        <v>556</v>
      </c>
      <c r="H287" s="53" t="s">
        <v>562</v>
      </c>
      <c r="I287" s="46">
        <f>IF(SUM(I288:I293)&gt;=1,1,0)</f>
        <v>0</v>
      </c>
      <c r="J287" s="46"/>
      <c r="K287" s="46">
        <f t="shared" si="43"/>
        <v>0</v>
      </c>
      <c r="L287" s="46">
        <f t="shared" si="44"/>
        <v>0</v>
      </c>
      <c r="M287" s="46">
        <f>SUM(M288:M293)</f>
        <v>0</v>
      </c>
      <c r="N287" s="46">
        <f t="shared" ref="N287:AF287" si="51">SUM(N288:N293)</f>
        <v>0</v>
      </c>
      <c r="O287" s="46">
        <f t="shared" si="51"/>
        <v>0</v>
      </c>
      <c r="P287" s="46">
        <f t="shared" si="51"/>
        <v>0</v>
      </c>
      <c r="Q287" s="46">
        <f t="shared" si="51"/>
        <v>0</v>
      </c>
      <c r="R287" s="46">
        <f t="shared" si="51"/>
        <v>0</v>
      </c>
      <c r="S287" s="46">
        <f t="shared" si="51"/>
        <v>0</v>
      </c>
      <c r="T287" s="46">
        <f t="shared" si="51"/>
        <v>0</v>
      </c>
      <c r="U287" s="46">
        <f t="shared" si="51"/>
        <v>0</v>
      </c>
      <c r="V287" s="46">
        <f t="shared" si="51"/>
        <v>0</v>
      </c>
      <c r="W287" s="46">
        <f t="shared" si="51"/>
        <v>0</v>
      </c>
      <c r="X287" s="46">
        <f t="shared" si="51"/>
        <v>0</v>
      </c>
      <c r="Y287" s="46">
        <f t="shared" si="51"/>
        <v>0</v>
      </c>
      <c r="Z287" s="46">
        <f t="shared" si="51"/>
        <v>0</v>
      </c>
      <c r="AA287" s="46">
        <f t="shared" si="51"/>
        <v>0</v>
      </c>
      <c r="AB287" s="46">
        <f t="shared" si="51"/>
        <v>0</v>
      </c>
      <c r="AC287" s="46">
        <f t="shared" si="51"/>
        <v>0</v>
      </c>
      <c r="AD287" s="46">
        <f t="shared" si="51"/>
        <v>0</v>
      </c>
      <c r="AE287" s="46">
        <f t="shared" si="51"/>
        <v>0</v>
      </c>
      <c r="AF287" s="46">
        <f t="shared" si="51"/>
        <v>0</v>
      </c>
      <c r="AG287" s="11">
        <f t="shared" si="45"/>
        <v>0</v>
      </c>
    </row>
    <row r="288" spans="7:33" ht="21" x14ac:dyDescent="0.15">
      <c r="G288" s="206" t="s">
        <v>558</v>
      </c>
      <c r="H288" s="4" t="s">
        <v>564</v>
      </c>
      <c r="I288" s="6"/>
      <c r="J288" s="9"/>
      <c r="K288" s="46">
        <f t="shared" si="43"/>
        <v>0</v>
      </c>
      <c r="L288" s="46">
        <f t="shared" si="44"/>
        <v>0</v>
      </c>
      <c r="M288" s="8"/>
      <c r="N288" s="6"/>
      <c r="O288" s="8"/>
      <c r="P288" s="6"/>
      <c r="Q288" s="8"/>
      <c r="R288" s="6"/>
      <c r="S288" s="6"/>
      <c r="T288" s="8"/>
      <c r="U288" s="6"/>
      <c r="V288" s="8"/>
      <c r="W288" s="8"/>
      <c r="X288" s="6"/>
      <c r="Y288" s="8"/>
      <c r="Z288" s="6"/>
      <c r="AA288" s="6"/>
      <c r="AB288" s="6"/>
      <c r="AC288" s="6"/>
      <c r="AD288" s="6"/>
      <c r="AE288" s="8"/>
      <c r="AF288" s="8"/>
      <c r="AG288" s="11">
        <f t="shared" si="45"/>
        <v>0</v>
      </c>
    </row>
    <row r="289" spans="7:33" x14ac:dyDescent="0.15">
      <c r="G289" s="206" t="s">
        <v>416</v>
      </c>
      <c r="H289" s="4" t="s">
        <v>565</v>
      </c>
      <c r="I289" s="6"/>
      <c r="J289" s="9"/>
      <c r="K289" s="46">
        <f t="shared" si="43"/>
        <v>0</v>
      </c>
      <c r="L289" s="46">
        <f t="shared" si="44"/>
        <v>0</v>
      </c>
      <c r="M289" s="8"/>
      <c r="N289" s="6"/>
      <c r="O289" s="8"/>
      <c r="P289" s="6"/>
      <c r="Q289" s="8"/>
      <c r="R289" s="6"/>
      <c r="S289" s="6"/>
      <c r="T289" s="8"/>
      <c r="U289" s="6"/>
      <c r="V289" s="8"/>
      <c r="W289" s="8"/>
      <c r="X289" s="6"/>
      <c r="Y289" s="8"/>
      <c r="Z289" s="6"/>
      <c r="AA289" s="6"/>
      <c r="AB289" s="6"/>
      <c r="AC289" s="6"/>
      <c r="AD289" s="6"/>
      <c r="AE289" s="8"/>
      <c r="AF289" s="8"/>
      <c r="AG289" s="11">
        <f t="shared" si="45"/>
        <v>0</v>
      </c>
    </row>
    <row r="290" spans="7:33" x14ac:dyDescent="0.15">
      <c r="G290" s="206" t="s">
        <v>561</v>
      </c>
      <c r="H290" s="53" t="s">
        <v>566</v>
      </c>
      <c r="I290" s="6"/>
      <c r="J290" s="9"/>
      <c r="K290" s="46">
        <f t="shared" si="43"/>
        <v>0</v>
      </c>
      <c r="L290" s="46">
        <f t="shared" si="44"/>
        <v>0</v>
      </c>
      <c r="M290" s="8"/>
      <c r="N290" s="6"/>
      <c r="O290" s="8"/>
      <c r="P290" s="6"/>
      <c r="Q290" s="8"/>
      <c r="R290" s="6"/>
      <c r="S290" s="6"/>
      <c r="T290" s="8"/>
      <c r="U290" s="6"/>
      <c r="V290" s="8"/>
      <c r="W290" s="8"/>
      <c r="X290" s="6"/>
      <c r="Y290" s="8"/>
      <c r="Z290" s="6"/>
      <c r="AA290" s="6"/>
      <c r="AB290" s="6"/>
      <c r="AC290" s="6"/>
      <c r="AD290" s="6"/>
      <c r="AE290" s="8"/>
      <c r="AF290" s="8"/>
      <c r="AG290" s="11">
        <f t="shared" si="45"/>
        <v>0</v>
      </c>
    </row>
    <row r="291" spans="7:33" x14ac:dyDescent="0.15">
      <c r="G291" s="206" t="s">
        <v>563</v>
      </c>
      <c r="H291" s="4" t="s">
        <v>568</v>
      </c>
      <c r="I291" s="6"/>
      <c r="J291" s="9"/>
      <c r="K291" s="46">
        <f t="shared" si="43"/>
        <v>0</v>
      </c>
      <c r="L291" s="46">
        <f t="shared" si="44"/>
        <v>0</v>
      </c>
      <c r="M291" s="8"/>
      <c r="N291" s="6"/>
      <c r="O291" s="8"/>
      <c r="P291" s="6"/>
      <c r="Q291" s="8"/>
      <c r="R291" s="6"/>
      <c r="S291" s="6"/>
      <c r="T291" s="8"/>
      <c r="U291" s="6"/>
      <c r="V291" s="8"/>
      <c r="W291" s="8"/>
      <c r="X291" s="6"/>
      <c r="Y291" s="8"/>
      <c r="Z291" s="6"/>
      <c r="AA291" s="6"/>
      <c r="AB291" s="6"/>
      <c r="AC291" s="6"/>
      <c r="AD291" s="6"/>
      <c r="AE291" s="8"/>
      <c r="AF291" s="8"/>
      <c r="AG291" s="11">
        <f t="shared" si="45"/>
        <v>0</v>
      </c>
    </row>
    <row r="292" spans="7:33" x14ac:dyDescent="0.15">
      <c r="G292" s="206" t="s">
        <v>414</v>
      </c>
      <c r="H292" s="4" t="s">
        <v>570</v>
      </c>
      <c r="I292" s="6"/>
      <c r="J292" s="9"/>
      <c r="K292" s="46">
        <f t="shared" si="43"/>
        <v>0</v>
      </c>
      <c r="L292" s="46">
        <f t="shared" si="44"/>
        <v>0</v>
      </c>
      <c r="M292" s="8"/>
      <c r="N292" s="6"/>
      <c r="O292" s="8"/>
      <c r="P292" s="6"/>
      <c r="Q292" s="8"/>
      <c r="R292" s="6"/>
      <c r="S292" s="6"/>
      <c r="T292" s="8"/>
      <c r="U292" s="6"/>
      <c r="V292" s="8"/>
      <c r="W292" s="8"/>
      <c r="X292" s="6"/>
      <c r="Y292" s="8"/>
      <c r="Z292" s="6"/>
      <c r="AA292" s="6"/>
      <c r="AB292" s="6"/>
      <c r="AC292" s="6"/>
      <c r="AD292" s="6"/>
      <c r="AE292" s="8"/>
      <c r="AF292" s="8"/>
      <c r="AG292" s="11">
        <f t="shared" si="45"/>
        <v>0</v>
      </c>
    </row>
    <row r="293" spans="7:33" x14ac:dyDescent="0.15">
      <c r="G293" s="206" t="s">
        <v>418</v>
      </c>
      <c r="H293" s="53" t="s">
        <v>571</v>
      </c>
      <c r="I293" s="6"/>
      <c r="J293" s="9"/>
      <c r="K293" s="46">
        <f t="shared" si="43"/>
        <v>0</v>
      </c>
      <c r="L293" s="46">
        <f t="shared" si="44"/>
        <v>0</v>
      </c>
      <c r="M293" s="8"/>
      <c r="N293" s="6"/>
      <c r="O293" s="8"/>
      <c r="P293" s="6"/>
      <c r="Q293" s="8"/>
      <c r="R293" s="6"/>
      <c r="S293" s="6"/>
      <c r="T293" s="8"/>
      <c r="U293" s="6"/>
      <c r="V293" s="8"/>
      <c r="W293" s="8"/>
      <c r="X293" s="6"/>
      <c r="Y293" s="8"/>
      <c r="Z293" s="6"/>
      <c r="AA293" s="6"/>
      <c r="AB293" s="6"/>
      <c r="AC293" s="6"/>
      <c r="AD293" s="6"/>
      <c r="AE293" s="8"/>
      <c r="AF293" s="8"/>
      <c r="AG293" s="11">
        <f t="shared" si="45"/>
        <v>0</v>
      </c>
    </row>
    <row r="294" spans="7:33" x14ac:dyDescent="0.15">
      <c r="G294" s="205" t="s">
        <v>567</v>
      </c>
      <c r="H294" s="4" t="s">
        <v>573</v>
      </c>
      <c r="I294" s="6"/>
      <c r="J294" s="9"/>
      <c r="K294" s="46">
        <f t="shared" si="43"/>
        <v>0</v>
      </c>
      <c r="L294" s="46">
        <f t="shared" si="44"/>
        <v>0</v>
      </c>
      <c r="M294" s="8"/>
      <c r="N294" s="6"/>
      <c r="O294" s="8"/>
      <c r="P294" s="6"/>
      <c r="Q294" s="8"/>
      <c r="R294" s="6"/>
      <c r="S294" s="6"/>
      <c r="T294" s="8"/>
      <c r="U294" s="6"/>
      <c r="V294" s="8"/>
      <c r="W294" s="8"/>
      <c r="X294" s="6"/>
      <c r="Y294" s="8"/>
      <c r="Z294" s="6"/>
      <c r="AA294" s="6"/>
      <c r="AB294" s="6"/>
      <c r="AC294" s="6"/>
      <c r="AD294" s="6"/>
      <c r="AE294" s="8"/>
      <c r="AF294" s="8"/>
      <c r="AG294" s="11">
        <f t="shared" si="45"/>
        <v>0</v>
      </c>
    </row>
    <row r="295" spans="7:33" x14ac:dyDescent="0.15">
      <c r="G295" s="205" t="s">
        <v>569</v>
      </c>
      <c r="H295" s="4" t="s">
        <v>575</v>
      </c>
      <c r="I295" s="46">
        <f>IF(SUM(I296:I301)&gt;=1,1,0)</f>
        <v>0</v>
      </c>
      <c r="J295" s="46"/>
      <c r="K295" s="46">
        <f t="shared" si="43"/>
        <v>11</v>
      </c>
      <c r="L295" s="46">
        <f t="shared" si="44"/>
        <v>11</v>
      </c>
      <c r="M295" s="46">
        <f>SUM(M296:M301)</f>
        <v>11</v>
      </c>
      <c r="N295" s="46">
        <f t="shared" ref="N295:AF295" si="52">SUM(N296:N301)</f>
        <v>0</v>
      </c>
      <c r="O295" s="46">
        <f t="shared" si="52"/>
        <v>0</v>
      </c>
      <c r="P295" s="46">
        <f t="shared" si="52"/>
        <v>0</v>
      </c>
      <c r="Q295" s="46">
        <f t="shared" si="52"/>
        <v>0</v>
      </c>
      <c r="R295" s="46">
        <f t="shared" si="52"/>
        <v>0</v>
      </c>
      <c r="S295" s="46">
        <f t="shared" si="52"/>
        <v>0</v>
      </c>
      <c r="T295" s="46">
        <f t="shared" si="52"/>
        <v>0</v>
      </c>
      <c r="U295" s="46">
        <f t="shared" si="52"/>
        <v>0</v>
      </c>
      <c r="V295" s="46">
        <f t="shared" si="52"/>
        <v>0</v>
      </c>
      <c r="W295" s="46">
        <f t="shared" si="52"/>
        <v>0</v>
      </c>
      <c r="X295" s="46">
        <f t="shared" si="52"/>
        <v>0</v>
      </c>
      <c r="Y295" s="46">
        <f t="shared" si="52"/>
        <v>0</v>
      </c>
      <c r="Z295" s="46">
        <f t="shared" si="52"/>
        <v>0</v>
      </c>
      <c r="AA295" s="46">
        <f t="shared" si="52"/>
        <v>0</v>
      </c>
      <c r="AB295" s="46">
        <f t="shared" si="52"/>
        <v>0</v>
      </c>
      <c r="AC295" s="46">
        <f t="shared" si="52"/>
        <v>0</v>
      </c>
      <c r="AD295" s="46">
        <f t="shared" si="52"/>
        <v>0</v>
      </c>
      <c r="AE295" s="46">
        <f t="shared" si="52"/>
        <v>0</v>
      </c>
      <c r="AF295" s="46">
        <f t="shared" si="52"/>
        <v>0</v>
      </c>
      <c r="AG295" s="11">
        <f t="shared" si="45"/>
        <v>33</v>
      </c>
    </row>
    <row r="296" spans="7:33" ht="21" x14ac:dyDescent="0.15">
      <c r="G296" s="206" t="s">
        <v>871</v>
      </c>
      <c r="H296" s="53" t="s">
        <v>577</v>
      </c>
      <c r="I296" s="6"/>
      <c r="J296" s="9"/>
      <c r="K296" s="46">
        <f t="shared" si="43"/>
        <v>11</v>
      </c>
      <c r="L296" s="46">
        <f t="shared" si="44"/>
        <v>11</v>
      </c>
      <c r="M296" s="8">
        <f>5+6</f>
        <v>11</v>
      </c>
      <c r="N296" s="6"/>
      <c r="O296" s="8"/>
      <c r="P296" s="6"/>
      <c r="Q296" s="8"/>
      <c r="R296" s="6"/>
      <c r="S296" s="6"/>
      <c r="T296" s="8"/>
      <c r="U296" s="6"/>
      <c r="V296" s="8"/>
      <c r="W296" s="8"/>
      <c r="X296" s="6"/>
      <c r="Y296" s="8"/>
      <c r="Z296" s="6"/>
      <c r="AA296" s="6"/>
      <c r="AB296" s="6"/>
      <c r="AC296" s="6"/>
      <c r="AD296" s="6"/>
      <c r="AE296" s="8"/>
      <c r="AF296" s="8"/>
      <c r="AG296" s="11">
        <f t="shared" si="45"/>
        <v>33</v>
      </c>
    </row>
    <row r="297" spans="7:33" x14ac:dyDescent="0.15">
      <c r="G297" s="206" t="s">
        <v>572</v>
      </c>
      <c r="H297" s="4" t="s">
        <v>579</v>
      </c>
      <c r="I297" s="6"/>
      <c r="J297" s="9"/>
      <c r="K297" s="46">
        <f t="shared" si="43"/>
        <v>0</v>
      </c>
      <c r="L297" s="46">
        <f t="shared" si="44"/>
        <v>0</v>
      </c>
      <c r="M297" s="8"/>
      <c r="N297" s="6"/>
      <c r="O297" s="8"/>
      <c r="P297" s="6"/>
      <c r="Q297" s="8"/>
      <c r="R297" s="6"/>
      <c r="S297" s="6"/>
      <c r="T297" s="8"/>
      <c r="U297" s="6"/>
      <c r="V297" s="8"/>
      <c r="W297" s="8"/>
      <c r="X297" s="6"/>
      <c r="Y297" s="8"/>
      <c r="Z297" s="6"/>
      <c r="AA297" s="6"/>
      <c r="AB297" s="6"/>
      <c r="AC297" s="6"/>
      <c r="AD297" s="6"/>
      <c r="AE297" s="8"/>
      <c r="AF297" s="8"/>
      <c r="AG297" s="11">
        <f t="shared" si="45"/>
        <v>0</v>
      </c>
    </row>
    <row r="298" spans="7:33" x14ac:dyDescent="0.15">
      <c r="G298" s="206" t="s">
        <v>574</v>
      </c>
      <c r="H298" s="4" t="s">
        <v>581</v>
      </c>
      <c r="I298" s="6"/>
      <c r="J298" s="9"/>
      <c r="K298" s="46">
        <f t="shared" si="43"/>
        <v>0</v>
      </c>
      <c r="L298" s="46">
        <f t="shared" si="44"/>
        <v>0</v>
      </c>
      <c r="M298" s="8"/>
      <c r="N298" s="6"/>
      <c r="O298" s="8"/>
      <c r="P298" s="6"/>
      <c r="Q298" s="8"/>
      <c r="R298" s="6"/>
      <c r="S298" s="6"/>
      <c r="T298" s="8"/>
      <c r="U298" s="6"/>
      <c r="V298" s="8"/>
      <c r="W298" s="8"/>
      <c r="X298" s="6"/>
      <c r="Y298" s="8"/>
      <c r="Z298" s="6"/>
      <c r="AA298" s="6"/>
      <c r="AB298" s="6"/>
      <c r="AC298" s="6"/>
      <c r="AD298" s="6"/>
      <c r="AE298" s="8"/>
      <c r="AF298" s="8"/>
      <c r="AG298" s="11">
        <f t="shared" si="45"/>
        <v>0</v>
      </c>
    </row>
    <row r="299" spans="7:33" x14ac:dyDescent="0.15">
      <c r="G299" s="206" t="s">
        <v>576</v>
      </c>
      <c r="H299" s="53" t="s">
        <v>583</v>
      </c>
      <c r="I299" s="6"/>
      <c r="J299" s="9"/>
      <c r="K299" s="46">
        <f t="shared" si="43"/>
        <v>0</v>
      </c>
      <c r="L299" s="46">
        <f t="shared" si="44"/>
        <v>0</v>
      </c>
      <c r="M299" s="8"/>
      <c r="N299" s="6"/>
      <c r="O299" s="8"/>
      <c r="P299" s="6"/>
      <c r="Q299" s="8"/>
      <c r="R299" s="6"/>
      <c r="S299" s="6"/>
      <c r="T299" s="8"/>
      <c r="U299" s="6"/>
      <c r="V299" s="8"/>
      <c r="W299" s="8"/>
      <c r="X299" s="6"/>
      <c r="Y299" s="8"/>
      <c r="Z299" s="6"/>
      <c r="AA299" s="6"/>
      <c r="AB299" s="6"/>
      <c r="AC299" s="6"/>
      <c r="AD299" s="6"/>
      <c r="AE299" s="8"/>
      <c r="AF299" s="8"/>
      <c r="AG299" s="11">
        <f t="shared" si="45"/>
        <v>0</v>
      </c>
    </row>
    <row r="300" spans="7:33" x14ac:dyDescent="0.15">
      <c r="G300" s="206" t="s">
        <v>578</v>
      </c>
      <c r="H300" s="4" t="s">
        <v>585</v>
      </c>
      <c r="I300" s="6"/>
      <c r="J300" s="9"/>
      <c r="K300" s="46">
        <f t="shared" si="43"/>
        <v>0</v>
      </c>
      <c r="L300" s="46">
        <f t="shared" si="44"/>
        <v>0</v>
      </c>
      <c r="M300" s="8"/>
      <c r="N300" s="6"/>
      <c r="O300" s="8"/>
      <c r="P300" s="6"/>
      <c r="Q300" s="8"/>
      <c r="R300" s="6"/>
      <c r="S300" s="6"/>
      <c r="T300" s="8"/>
      <c r="U300" s="6"/>
      <c r="V300" s="8"/>
      <c r="W300" s="8"/>
      <c r="X300" s="6"/>
      <c r="Y300" s="8"/>
      <c r="Z300" s="6"/>
      <c r="AA300" s="6"/>
      <c r="AB300" s="6"/>
      <c r="AC300" s="6"/>
      <c r="AD300" s="6"/>
      <c r="AE300" s="8"/>
      <c r="AF300" s="8"/>
      <c r="AG300" s="11">
        <f t="shared" si="45"/>
        <v>0</v>
      </c>
    </row>
    <row r="301" spans="7:33" x14ac:dyDescent="0.15">
      <c r="G301" s="206" t="s">
        <v>580</v>
      </c>
      <c r="H301" s="4" t="s">
        <v>587</v>
      </c>
      <c r="I301" s="6"/>
      <c r="J301" s="9"/>
      <c r="K301" s="46">
        <f t="shared" si="43"/>
        <v>0</v>
      </c>
      <c r="L301" s="46">
        <f t="shared" si="44"/>
        <v>0</v>
      </c>
      <c r="M301" s="8"/>
      <c r="N301" s="6"/>
      <c r="O301" s="8"/>
      <c r="P301" s="6"/>
      <c r="Q301" s="8"/>
      <c r="R301" s="6"/>
      <c r="S301" s="6"/>
      <c r="T301" s="8"/>
      <c r="U301" s="6"/>
      <c r="V301" s="8"/>
      <c r="W301" s="8"/>
      <c r="X301" s="6"/>
      <c r="Y301" s="8"/>
      <c r="Z301" s="6"/>
      <c r="AA301" s="6"/>
      <c r="AB301" s="6"/>
      <c r="AC301" s="6"/>
      <c r="AD301" s="6"/>
      <c r="AE301" s="8"/>
      <c r="AF301" s="8"/>
      <c r="AG301" s="11">
        <f t="shared" si="45"/>
        <v>0</v>
      </c>
    </row>
    <row r="302" spans="7:33" x14ac:dyDescent="0.15">
      <c r="G302" s="205" t="s">
        <v>582</v>
      </c>
      <c r="H302" s="53" t="s">
        <v>588</v>
      </c>
      <c r="I302" s="6"/>
      <c r="J302" s="9"/>
      <c r="K302" s="46">
        <f t="shared" si="43"/>
        <v>0</v>
      </c>
      <c r="L302" s="46">
        <f t="shared" si="44"/>
        <v>0</v>
      </c>
      <c r="M302" s="8"/>
      <c r="N302" s="6"/>
      <c r="O302" s="8"/>
      <c r="P302" s="6"/>
      <c r="Q302" s="8"/>
      <c r="R302" s="6"/>
      <c r="S302" s="6"/>
      <c r="T302" s="8"/>
      <c r="U302" s="6"/>
      <c r="V302" s="8"/>
      <c r="W302" s="8"/>
      <c r="X302" s="6"/>
      <c r="Y302" s="8"/>
      <c r="Z302" s="6"/>
      <c r="AA302" s="6"/>
      <c r="AB302" s="6"/>
      <c r="AC302" s="6"/>
      <c r="AD302" s="6"/>
      <c r="AE302" s="8"/>
      <c r="AF302" s="8"/>
      <c r="AG302" s="11">
        <f t="shared" si="45"/>
        <v>0</v>
      </c>
    </row>
    <row r="303" spans="7:33" x14ac:dyDescent="0.15">
      <c r="G303" s="205" t="s">
        <v>584</v>
      </c>
      <c r="H303" s="4" t="s">
        <v>590</v>
      </c>
      <c r="I303" s="6"/>
      <c r="J303" s="9"/>
      <c r="K303" s="46">
        <f t="shared" si="43"/>
        <v>0</v>
      </c>
      <c r="L303" s="46">
        <f t="shared" si="44"/>
        <v>0</v>
      </c>
      <c r="M303" s="8"/>
      <c r="N303" s="6"/>
      <c r="O303" s="8"/>
      <c r="P303" s="6"/>
      <c r="Q303" s="8"/>
      <c r="R303" s="6"/>
      <c r="S303" s="6"/>
      <c r="T303" s="8"/>
      <c r="U303" s="6"/>
      <c r="V303" s="8"/>
      <c r="W303" s="8"/>
      <c r="X303" s="6"/>
      <c r="Y303" s="8"/>
      <c r="Z303" s="6"/>
      <c r="AA303" s="6"/>
      <c r="AB303" s="6"/>
      <c r="AC303" s="6"/>
      <c r="AD303" s="6"/>
      <c r="AE303" s="8"/>
      <c r="AF303" s="8"/>
      <c r="AG303" s="11">
        <f t="shared" si="45"/>
        <v>0</v>
      </c>
    </row>
    <row r="304" spans="7:33" x14ac:dyDescent="0.15">
      <c r="G304" s="205" t="s">
        <v>586</v>
      </c>
      <c r="H304" s="4" t="s">
        <v>592</v>
      </c>
      <c r="I304" s="46">
        <f>IF(SUM(I305:I309)&gt;=1,1,0)</f>
        <v>0</v>
      </c>
      <c r="J304" s="46"/>
      <c r="K304" s="46">
        <f t="shared" si="43"/>
        <v>0</v>
      </c>
      <c r="L304" s="46">
        <f t="shared" si="44"/>
        <v>0</v>
      </c>
      <c r="M304" s="46">
        <f>SUM(M305:M309)</f>
        <v>0</v>
      </c>
      <c r="N304" s="46">
        <f t="shared" ref="N304:AF304" si="53">SUM(N305:N309)</f>
        <v>0</v>
      </c>
      <c r="O304" s="46">
        <f t="shared" si="53"/>
        <v>0</v>
      </c>
      <c r="P304" s="46">
        <f t="shared" si="53"/>
        <v>0</v>
      </c>
      <c r="Q304" s="46">
        <f t="shared" si="53"/>
        <v>0</v>
      </c>
      <c r="R304" s="46">
        <f t="shared" si="53"/>
        <v>0</v>
      </c>
      <c r="S304" s="46">
        <f t="shared" si="53"/>
        <v>0</v>
      </c>
      <c r="T304" s="46">
        <f t="shared" si="53"/>
        <v>0</v>
      </c>
      <c r="U304" s="46">
        <f t="shared" si="53"/>
        <v>0</v>
      </c>
      <c r="V304" s="46">
        <f t="shared" si="53"/>
        <v>0</v>
      </c>
      <c r="W304" s="46">
        <f t="shared" si="53"/>
        <v>0</v>
      </c>
      <c r="X304" s="46">
        <f t="shared" si="53"/>
        <v>0</v>
      </c>
      <c r="Y304" s="46">
        <f t="shared" si="53"/>
        <v>0</v>
      </c>
      <c r="Z304" s="46">
        <f t="shared" si="53"/>
        <v>0</v>
      </c>
      <c r="AA304" s="46">
        <f t="shared" si="53"/>
        <v>0</v>
      </c>
      <c r="AB304" s="46">
        <f t="shared" si="53"/>
        <v>0</v>
      </c>
      <c r="AC304" s="46">
        <f t="shared" si="53"/>
        <v>0</v>
      </c>
      <c r="AD304" s="46">
        <f t="shared" si="53"/>
        <v>0</v>
      </c>
      <c r="AE304" s="46">
        <f t="shared" si="53"/>
        <v>0</v>
      </c>
      <c r="AF304" s="46">
        <f t="shared" si="53"/>
        <v>0</v>
      </c>
      <c r="AG304" s="11">
        <f t="shared" si="45"/>
        <v>0</v>
      </c>
    </row>
    <row r="305" spans="7:33" ht="21" x14ac:dyDescent="0.15">
      <c r="G305" s="206" t="s">
        <v>872</v>
      </c>
      <c r="H305" s="53" t="s">
        <v>594</v>
      </c>
      <c r="I305" s="6"/>
      <c r="J305" s="9"/>
      <c r="K305" s="46">
        <f t="shared" si="43"/>
        <v>0</v>
      </c>
      <c r="L305" s="46">
        <f t="shared" si="44"/>
        <v>0</v>
      </c>
      <c r="M305" s="8"/>
      <c r="N305" s="6"/>
      <c r="O305" s="8"/>
      <c r="P305" s="6"/>
      <c r="Q305" s="8"/>
      <c r="R305" s="6"/>
      <c r="S305" s="6"/>
      <c r="T305" s="8"/>
      <c r="U305" s="6"/>
      <c r="V305" s="8"/>
      <c r="W305" s="8"/>
      <c r="X305" s="6"/>
      <c r="Y305" s="8"/>
      <c r="Z305" s="6"/>
      <c r="AA305" s="6"/>
      <c r="AB305" s="6"/>
      <c r="AC305" s="6"/>
      <c r="AD305" s="6"/>
      <c r="AE305" s="8"/>
      <c r="AF305" s="8"/>
      <c r="AG305" s="11">
        <f t="shared" si="45"/>
        <v>0</v>
      </c>
    </row>
    <row r="306" spans="7:33" x14ac:dyDescent="0.15">
      <c r="G306" s="206" t="s">
        <v>589</v>
      </c>
      <c r="H306" s="4" t="s">
        <v>596</v>
      </c>
      <c r="I306" s="6"/>
      <c r="J306" s="9"/>
      <c r="K306" s="46">
        <f t="shared" si="43"/>
        <v>0</v>
      </c>
      <c r="L306" s="46">
        <f t="shared" si="44"/>
        <v>0</v>
      </c>
      <c r="M306" s="8"/>
      <c r="N306" s="6"/>
      <c r="O306" s="8"/>
      <c r="P306" s="6"/>
      <c r="Q306" s="8"/>
      <c r="R306" s="6"/>
      <c r="S306" s="6"/>
      <c r="T306" s="8"/>
      <c r="U306" s="6"/>
      <c r="V306" s="8"/>
      <c r="W306" s="8"/>
      <c r="X306" s="6"/>
      <c r="Y306" s="8"/>
      <c r="Z306" s="6"/>
      <c r="AA306" s="6"/>
      <c r="AB306" s="6"/>
      <c r="AC306" s="6"/>
      <c r="AD306" s="6"/>
      <c r="AE306" s="8"/>
      <c r="AF306" s="8"/>
      <c r="AG306" s="11">
        <f t="shared" si="45"/>
        <v>0</v>
      </c>
    </row>
    <row r="307" spans="7:33" x14ac:dyDescent="0.15">
      <c r="G307" s="206" t="s">
        <v>591</v>
      </c>
      <c r="H307" s="4" t="s">
        <v>598</v>
      </c>
      <c r="I307" s="6"/>
      <c r="J307" s="9"/>
      <c r="K307" s="46">
        <f t="shared" si="43"/>
        <v>0</v>
      </c>
      <c r="L307" s="46">
        <f t="shared" si="44"/>
        <v>0</v>
      </c>
      <c r="M307" s="8"/>
      <c r="N307" s="6"/>
      <c r="O307" s="8"/>
      <c r="P307" s="6"/>
      <c r="Q307" s="8"/>
      <c r="R307" s="6"/>
      <c r="S307" s="6"/>
      <c r="T307" s="8"/>
      <c r="U307" s="6"/>
      <c r="V307" s="8"/>
      <c r="W307" s="8"/>
      <c r="X307" s="6"/>
      <c r="Y307" s="8"/>
      <c r="Z307" s="6"/>
      <c r="AA307" s="6"/>
      <c r="AB307" s="6"/>
      <c r="AC307" s="6"/>
      <c r="AD307" s="6"/>
      <c r="AE307" s="8"/>
      <c r="AF307" s="8"/>
      <c r="AG307" s="11">
        <f t="shared" si="45"/>
        <v>0</v>
      </c>
    </row>
    <row r="308" spans="7:33" x14ac:dyDescent="0.15">
      <c r="G308" s="206" t="s">
        <v>593</v>
      </c>
      <c r="H308" s="53" t="s">
        <v>599</v>
      </c>
      <c r="I308" s="6"/>
      <c r="J308" s="9"/>
      <c r="K308" s="46">
        <f t="shared" si="43"/>
        <v>0</v>
      </c>
      <c r="L308" s="46">
        <f t="shared" si="44"/>
        <v>0</v>
      </c>
      <c r="M308" s="8"/>
      <c r="N308" s="6"/>
      <c r="O308" s="8"/>
      <c r="P308" s="6"/>
      <c r="Q308" s="8"/>
      <c r="R308" s="6"/>
      <c r="S308" s="6"/>
      <c r="T308" s="8"/>
      <c r="U308" s="6"/>
      <c r="V308" s="8"/>
      <c r="W308" s="8"/>
      <c r="X308" s="6"/>
      <c r="Y308" s="8"/>
      <c r="Z308" s="6"/>
      <c r="AA308" s="6"/>
      <c r="AB308" s="6"/>
      <c r="AC308" s="6"/>
      <c r="AD308" s="6"/>
      <c r="AE308" s="8"/>
      <c r="AF308" s="8"/>
      <c r="AG308" s="11">
        <f t="shared" si="45"/>
        <v>0</v>
      </c>
    </row>
    <row r="309" spans="7:33" x14ac:dyDescent="0.15">
      <c r="G309" s="206" t="s">
        <v>595</v>
      </c>
      <c r="H309" s="4" t="s">
        <v>601</v>
      </c>
      <c r="I309" s="6"/>
      <c r="J309" s="9"/>
      <c r="K309" s="46">
        <f t="shared" si="43"/>
        <v>0</v>
      </c>
      <c r="L309" s="46">
        <f t="shared" si="44"/>
        <v>0</v>
      </c>
      <c r="M309" s="8"/>
      <c r="N309" s="6"/>
      <c r="O309" s="8"/>
      <c r="P309" s="6"/>
      <c r="Q309" s="8"/>
      <c r="R309" s="6"/>
      <c r="S309" s="6"/>
      <c r="T309" s="8"/>
      <c r="U309" s="6"/>
      <c r="V309" s="8"/>
      <c r="W309" s="8"/>
      <c r="X309" s="6"/>
      <c r="Y309" s="8"/>
      <c r="Z309" s="6"/>
      <c r="AA309" s="6"/>
      <c r="AB309" s="6"/>
      <c r="AC309" s="6"/>
      <c r="AD309" s="6"/>
      <c r="AE309" s="8"/>
      <c r="AF309" s="8"/>
      <c r="AG309" s="11">
        <f t="shared" si="45"/>
        <v>0</v>
      </c>
    </row>
    <row r="310" spans="7:33" x14ac:dyDescent="0.15">
      <c r="G310" s="205" t="s">
        <v>597</v>
      </c>
      <c r="H310" s="4" t="s">
        <v>603</v>
      </c>
      <c r="I310" s="46">
        <f>IF(SUM(I311:I312)&gt;=1,1,0)</f>
        <v>0</v>
      </c>
      <c r="J310" s="46"/>
      <c r="K310" s="46">
        <f t="shared" si="43"/>
        <v>0</v>
      </c>
      <c r="L310" s="46">
        <f t="shared" si="44"/>
        <v>0</v>
      </c>
      <c r="M310" s="46">
        <f>SUM(M311:M312)</f>
        <v>0</v>
      </c>
      <c r="N310" s="46">
        <f t="shared" ref="N310:AF310" si="54">SUM(N311:N312)</f>
        <v>0</v>
      </c>
      <c r="O310" s="46">
        <f t="shared" si="54"/>
        <v>0</v>
      </c>
      <c r="P310" s="46">
        <f t="shared" si="54"/>
        <v>0</v>
      </c>
      <c r="Q310" s="46">
        <f t="shared" si="54"/>
        <v>0</v>
      </c>
      <c r="R310" s="46">
        <f t="shared" si="54"/>
        <v>0</v>
      </c>
      <c r="S310" s="46">
        <f t="shared" si="54"/>
        <v>0</v>
      </c>
      <c r="T310" s="46">
        <f t="shared" si="54"/>
        <v>0</v>
      </c>
      <c r="U310" s="46">
        <f t="shared" si="54"/>
        <v>0</v>
      </c>
      <c r="V310" s="46">
        <f t="shared" si="54"/>
        <v>0</v>
      </c>
      <c r="W310" s="46">
        <f t="shared" si="54"/>
        <v>0</v>
      </c>
      <c r="X310" s="46">
        <f t="shared" si="54"/>
        <v>0</v>
      </c>
      <c r="Y310" s="46">
        <f t="shared" si="54"/>
        <v>0</v>
      </c>
      <c r="Z310" s="46">
        <f t="shared" si="54"/>
        <v>0</v>
      </c>
      <c r="AA310" s="46">
        <f t="shared" si="54"/>
        <v>0</v>
      </c>
      <c r="AB310" s="46">
        <f t="shared" si="54"/>
        <v>0</v>
      </c>
      <c r="AC310" s="46">
        <f t="shared" si="54"/>
        <v>0</v>
      </c>
      <c r="AD310" s="46">
        <f t="shared" si="54"/>
        <v>0</v>
      </c>
      <c r="AE310" s="46">
        <f t="shared" si="54"/>
        <v>0</v>
      </c>
      <c r="AF310" s="46">
        <f t="shared" si="54"/>
        <v>0</v>
      </c>
      <c r="AG310" s="11">
        <f t="shared" si="45"/>
        <v>0</v>
      </c>
    </row>
    <row r="311" spans="7:33" ht="21" x14ac:dyDescent="0.15">
      <c r="G311" s="206" t="s">
        <v>888</v>
      </c>
      <c r="H311" s="53" t="s">
        <v>605</v>
      </c>
      <c r="I311" s="6"/>
      <c r="J311" s="9"/>
      <c r="K311" s="46">
        <f t="shared" si="43"/>
        <v>0</v>
      </c>
      <c r="L311" s="46">
        <f t="shared" si="44"/>
        <v>0</v>
      </c>
      <c r="M311" s="8"/>
      <c r="N311" s="6"/>
      <c r="O311" s="8"/>
      <c r="P311" s="6"/>
      <c r="Q311" s="8"/>
      <c r="R311" s="6"/>
      <c r="S311" s="6"/>
      <c r="T311" s="8"/>
      <c r="U311" s="6"/>
      <c r="V311" s="8"/>
      <c r="W311" s="8"/>
      <c r="X311" s="6"/>
      <c r="Y311" s="8"/>
      <c r="Z311" s="6"/>
      <c r="AA311" s="6"/>
      <c r="AB311" s="6"/>
      <c r="AC311" s="6"/>
      <c r="AD311" s="6"/>
      <c r="AE311" s="8"/>
      <c r="AF311" s="8"/>
      <c r="AG311" s="11">
        <f t="shared" si="45"/>
        <v>0</v>
      </c>
    </row>
    <row r="312" spans="7:33" ht="21" x14ac:dyDescent="0.15">
      <c r="G312" s="206" t="s">
        <v>600</v>
      </c>
      <c r="H312" s="4" t="s">
        <v>607</v>
      </c>
      <c r="I312" s="6"/>
      <c r="J312" s="9"/>
      <c r="K312" s="46">
        <f t="shared" si="43"/>
        <v>0</v>
      </c>
      <c r="L312" s="46">
        <f t="shared" si="44"/>
        <v>0</v>
      </c>
      <c r="M312" s="8"/>
      <c r="N312" s="6"/>
      <c r="O312" s="8"/>
      <c r="P312" s="6"/>
      <c r="Q312" s="8"/>
      <c r="R312" s="6"/>
      <c r="S312" s="6"/>
      <c r="T312" s="8"/>
      <c r="U312" s="6"/>
      <c r="V312" s="8"/>
      <c r="W312" s="8"/>
      <c r="X312" s="6"/>
      <c r="Y312" s="8"/>
      <c r="Z312" s="6"/>
      <c r="AA312" s="6"/>
      <c r="AB312" s="6"/>
      <c r="AC312" s="6"/>
      <c r="AD312" s="6"/>
      <c r="AE312" s="8"/>
      <c r="AF312" s="8"/>
      <c r="AG312" s="11">
        <f t="shared" si="45"/>
        <v>0</v>
      </c>
    </row>
    <row r="313" spans="7:33" x14ac:dyDescent="0.15">
      <c r="G313" s="205" t="s">
        <v>602</v>
      </c>
      <c r="H313" s="4" t="s">
        <v>609</v>
      </c>
      <c r="I313" s="6"/>
      <c r="J313" s="9"/>
      <c r="K313" s="46">
        <f t="shared" si="43"/>
        <v>0</v>
      </c>
      <c r="L313" s="46">
        <f t="shared" si="44"/>
        <v>0</v>
      </c>
      <c r="M313" s="8"/>
      <c r="N313" s="6"/>
      <c r="O313" s="8"/>
      <c r="P313" s="6"/>
      <c r="Q313" s="8"/>
      <c r="R313" s="6"/>
      <c r="S313" s="6"/>
      <c r="T313" s="8"/>
      <c r="U313" s="6"/>
      <c r="V313" s="8"/>
      <c r="W313" s="8"/>
      <c r="X313" s="6"/>
      <c r="Y313" s="8"/>
      <c r="Z313" s="6"/>
      <c r="AA313" s="6"/>
      <c r="AB313" s="6"/>
      <c r="AC313" s="6"/>
      <c r="AD313" s="6"/>
      <c r="AE313" s="8"/>
      <c r="AF313" s="8"/>
      <c r="AG313" s="11">
        <f t="shared" si="45"/>
        <v>0</v>
      </c>
    </row>
    <row r="314" spans="7:33" x14ac:dyDescent="0.15">
      <c r="G314" s="205" t="s">
        <v>604</v>
      </c>
      <c r="H314" s="53" t="s">
        <v>611</v>
      </c>
      <c r="I314" s="6"/>
      <c r="J314" s="9"/>
      <c r="K314" s="46">
        <f t="shared" si="43"/>
        <v>0</v>
      </c>
      <c r="L314" s="46">
        <f t="shared" si="44"/>
        <v>0</v>
      </c>
      <c r="M314" s="8"/>
      <c r="N314" s="6"/>
      <c r="O314" s="8"/>
      <c r="P314" s="6"/>
      <c r="Q314" s="8"/>
      <c r="R314" s="6"/>
      <c r="S314" s="6"/>
      <c r="T314" s="8"/>
      <c r="U314" s="6"/>
      <c r="V314" s="8"/>
      <c r="W314" s="8"/>
      <c r="X314" s="6"/>
      <c r="Y314" s="8"/>
      <c r="Z314" s="6"/>
      <c r="AA314" s="6"/>
      <c r="AB314" s="6"/>
      <c r="AC314" s="6"/>
      <c r="AD314" s="6"/>
      <c r="AE314" s="8"/>
      <c r="AF314" s="8"/>
      <c r="AG314" s="11">
        <f t="shared" si="45"/>
        <v>0</v>
      </c>
    </row>
    <row r="315" spans="7:33" x14ac:dyDescent="0.15">
      <c r="G315" s="205" t="s">
        <v>606</v>
      </c>
      <c r="H315" s="4" t="s">
        <v>613</v>
      </c>
      <c r="I315" s="6"/>
      <c r="J315" s="9"/>
      <c r="K315" s="46">
        <f t="shared" si="43"/>
        <v>0</v>
      </c>
      <c r="L315" s="46">
        <f t="shared" si="44"/>
        <v>0</v>
      </c>
      <c r="M315" s="8"/>
      <c r="N315" s="6"/>
      <c r="O315" s="8"/>
      <c r="P315" s="6"/>
      <c r="Q315" s="8"/>
      <c r="R315" s="6"/>
      <c r="S315" s="6"/>
      <c r="T315" s="8"/>
      <c r="U315" s="6"/>
      <c r="V315" s="8"/>
      <c r="W315" s="8"/>
      <c r="X315" s="6"/>
      <c r="Y315" s="8"/>
      <c r="Z315" s="6"/>
      <c r="AA315" s="6"/>
      <c r="AB315" s="6"/>
      <c r="AC315" s="6"/>
      <c r="AD315" s="6"/>
      <c r="AE315" s="8"/>
      <c r="AF315" s="8"/>
      <c r="AG315" s="11">
        <f t="shared" si="45"/>
        <v>0</v>
      </c>
    </row>
    <row r="316" spans="7:33" x14ac:dyDescent="0.15">
      <c r="G316" s="205" t="s">
        <v>608</v>
      </c>
      <c r="H316" s="4" t="s">
        <v>615</v>
      </c>
      <c r="I316" s="6"/>
      <c r="J316" s="9"/>
      <c r="K316" s="46">
        <f t="shared" si="43"/>
        <v>0</v>
      </c>
      <c r="L316" s="46">
        <f t="shared" si="44"/>
        <v>0</v>
      </c>
      <c r="M316" s="8"/>
      <c r="N316" s="6"/>
      <c r="O316" s="8"/>
      <c r="P316" s="6"/>
      <c r="Q316" s="8"/>
      <c r="R316" s="6"/>
      <c r="S316" s="6"/>
      <c r="T316" s="8"/>
      <c r="U316" s="6"/>
      <c r="V316" s="8"/>
      <c r="W316" s="8"/>
      <c r="X316" s="6"/>
      <c r="Y316" s="8"/>
      <c r="Z316" s="6"/>
      <c r="AA316" s="6"/>
      <c r="AB316" s="6"/>
      <c r="AC316" s="6"/>
      <c r="AD316" s="6"/>
      <c r="AE316" s="8"/>
      <c r="AF316" s="8"/>
      <c r="AG316" s="11">
        <f t="shared" si="45"/>
        <v>0</v>
      </c>
    </row>
    <row r="317" spans="7:33" x14ac:dyDescent="0.15">
      <c r="G317" s="205" t="s">
        <v>610</v>
      </c>
      <c r="H317" s="53" t="s">
        <v>617</v>
      </c>
      <c r="I317" s="6"/>
      <c r="J317" s="9"/>
      <c r="K317" s="46">
        <f t="shared" si="43"/>
        <v>0</v>
      </c>
      <c r="L317" s="46">
        <f t="shared" si="44"/>
        <v>0</v>
      </c>
      <c r="M317" s="8"/>
      <c r="N317" s="6"/>
      <c r="O317" s="8"/>
      <c r="P317" s="6"/>
      <c r="Q317" s="8"/>
      <c r="R317" s="6"/>
      <c r="S317" s="6"/>
      <c r="T317" s="8"/>
      <c r="U317" s="6"/>
      <c r="V317" s="8"/>
      <c r="W317" s="8"/>
      <c r="X317" s="6"/>
      <c r="Y317" s="8"/>
      <c r="Z317" s="6"/>
      <c r="AA317" s="6"/>
      <c r="AB317" s="6"/>
      <c r="AC317" s="6"/>
      <c r="AD317" s="6"/>
      <c r="AE317" s="8"/>
      <c r="AF317" s="8"/>
      <c r="AG317" s="11">
        <f t="shared" si="45"/>
        <v>0</v>
      </c>
    </row>
    <row r="318" spans="7:33" x14ac:dyDescent="0.15">
      <c r="G318" s="205" t="s">
        <v>612</v>
      </c>
      <c r="H318" s="4" t="s">
        <v>619</v>
      </c>
      <c r="I318" s="6"/>
      <c r="J318" s="9"/>
      <c r="K318" s="46">
        <f t="shared" si="43"/>
        <v>0</v>
      </c>
      <c r="L318" s="46">
        <f t="shared" si="44"/>
        <v>0</v>
      </c>
      <c r="M318" s="8"/>
      <c r="N318" s="6"/>
      <c r="O318" s="8"/>
      <c r="P318" s="6"/>
      <c r="Q318" s="8"/>
      <c r="R318" s="6"/>
      <c r="S318" s="6"/>
      <c r="T318" s="8"/>
      <c r="U318" s="6"/>
      <c r="V318" s="8"/>
      <c r="W318" s="8"/>
      <c r="X318" s="6"/>
      <c r="Y318" s="8"/>
      <c r="Z318" s="6"/>
      <c r="AA318" s="6"/>
      <c r="AB318" s="6"/>
      <c r="AC318" s="6"/>
      <c r="AD318" s="6"/>
      <c r="AE318" s="8"/>
      <c r="AF318" s="8"/>
      <c r="AG318" s="11">
        <f t="shared" si="45"/>
        <v>0</v>
      </c>
    </row>
    <row r="319" spans="7:33" x14ac:dyDescent="0.15">
      <c r="G319" s="205" t="s">
        <v>614</v>
      </c>
      <c r="H319" s="4" t="s">
        <v>621</v>
      </c>
      <c r="I319" s="6"/>
      <c r="J319" s="9"/>
      <c r="K319" s="46">
        <f t="shared" si="43"/>
        <v>0</v>
      </c>
      <c r="L319" s="46">
        <f t="shared" si="44"/>
        <v>0</v>
      </c>
      <c r="M319" s="8"/>
      <c r="N319" s="6"/>
      <c r="O319" s="8"/>
      <c r="P319" s="6"/>
      <c r="Q319" s="8"/>
      <c r="R319" s="6"/>
      <c r="S319" s="6"/>
      <c r="T319" s="8"/>
      <c r="U319" s="6"/>
      <c r="V319" s="8"/>
      <c r="W319" s="8"/>
      <c r="X319" s="6"/>
      <c r="Y319" s="8"/>
      <c r="Z319" s="6"/>
      <c r="AA319" s="6"/>
      <c r="AB319" s="6"/>
      <c r="AC319" s="6"/>
      <c r="AD319" s="6"/>
      <c r="AE319" s="8"/>
      <c r="AF319" s="8"/>
      <c r="AG319" s="11">
        <f t="shared" si="45"/>
        <v>0</v>
      </c>
    </row>
    <row r="320" spans="7:33" x14ac:dyDescent="0.15">
      <c r="G320" s="205" t="s">
        <v>616</v>
      </c>
      <c r="H320" s="53" t="s">
        <v>623</v>
      </c>
      <c r="I320" s="6"/>
      <c r="J320" s="9"/>
      <c r="K320" s="46">
        <f t="shared" si="43"/>
        <v>0</v>
      </c>
      <c r="L320" s="46">
        <f t="shared" si="44"/>
        <v>0</v>
      </c>
      <c r="M320" s="8"/>
      <c r="N320" s="6"/>
      <c r="O320" s="8"/>
      <c r="P320" s="6"/>
      <c r="Q320" s="8"/>
      <c r="R320" s="6"/>
      <c r="S320" s="6"/>
      <c r="T320" s="8"/>
      <c r="U320" s="6"/>
      <c r="V320" s="8"/>
      <c r="W320" s="8"/>
      <c r="X320" s="6"/>
      <c r="Y320" s="8"/>
      <c r="Z320" s="6"/>
      <c r="AA320" s="6"/>
      <c r="AB320" s="6"/>
      <c r="AC320" s="6"/>
      <c r="AD320" s="6"/>
      <c r="AE320" s="8"/>
      <c r="AF320" s="8"/>
      <c r="AG320" s="11">
        <f t="shared" si="45"/>
        <v>0</v>
      </c>
    </row>
    <row r="321" spans="7:33" x14ac:dyDescent="0.15">
      <c r="G321" s="205" t="s">
        <v>618</v>
      </c>
      <c r="H321" s="4" t="s">
        <v>898</v>
      </c>
      <c r="I321" s="6"/>
      <c r="J321" s="9"/>
      <c r="K321" s="46">
        <f t="shared" si="43"/>
        <v>0</v>
      </c>
      <c r="L321" s="46">
        <f t="shared" si="44"/>
        <v>0</v>
      </c>
      <c r="M321" s="8"/>
      <c r="N321" s="6"/>
      <c r="O321" s="8"/>
      <c r="P321" s="6"/>
      <c r="Q321" s="8"/>
      <c r="R321" s="6"/>
      <c r="S321" s="6"/>
      <c r="T321" s="8"/>
      <c r="U321" s="6"/>
      <c r="V321" s="8"/>
      <c r="W321" s="8"/>
      <c r="X321" s="6"/>
      <c r="Y321" s="8"/>
      <c r="Z321" s="6"/>
      <c r="AA321" s="6"/>
      <c r="AB321" s="6"/>
      <c r="AC321" s="6"/>
      <c r="AD321" s="6"/>
      <c r="AE321" s="8"/>
      <c r="AF321" s="8"/>
      <c r="AG321" s="11">
        <f t="shared" si="45"/>
        <v>0</v>
      </c>
    </row>
    <row r="322" spans="7:33" x14ac:dyDescent="0.15">
      <c r="G322" s="205" t="s">
        <v>620</v>
      </c>
      <c r="H322" s="4" t="s">
        <v>899</v>
      </c>
      <c r="I322" s="6"/>
      <c r="J322" s="9"/>
      <c r="K322" s="46">
        <f t="shared" si="43"/>
        <v>5</v>
      </c>
      <c r="L322" s="46">
        <f t="shared" si="44"/>
        <v>5</v>
      </c>
      <c r="M322" s="8">
        <v>5</v>
      </c>
      <c r="N322" s="6"/>
      <c r="O322" s="8"/>
      <c r="P322" s="6"/>
      <c r="Q322" s="8"/>
      <c r="R322" s="6"/>
      <c r="S322" s="6"/>
      <c r="T322" s="8"/>
      <c r="U322" s="6"/>
      <c r="V322" s="8"/>
      <c r="W322" s="8"/>
      <c r="X322" s="6"/>
      <c r="Y322" s="8"/>
      <c r="Z322" s="6"/>
      <c r="AA322" s="6"/>
      <c r="AB322" s="6"/>
      <c r="AC322" s="6"/>
      <c r="AD322" s="6"/>
      <c r="AE322" s="8"/>
      <c r="AF322" s="8"/>
      <c r="AG322" s="11">
        <f t="shared" si="45"/>
        <v>15</v>
      </c>
    </row>
    <row r="323" spans="7:33" x14ac:dyDescent="0.15">
      <c r="G323" s="209" t="s">
        <v>622</v>
      </c>
      <c r="H323" s="53" t="s">
        <v>900</v>
      </c>
      <c r="I323" s="46">
        <f>SUM(I11:I17,I20:I26,I31:I34,I39:I45,I52:I53,I56:I64,I68:I70,I73:I76,I81:I88,I91:I102,I105:I110,I118:I119,I124:I150,I153:I159,I164:I165,I171:I174,I180:I195,I199:I210,I217:I223,I229:I233,I240:I243,I247:I250,I255:I271,I277:I278,I284:I287,I294:I295,I302:I304,I310,I313:I322)</f>
        <v>1</v>
      </c>
      <c r="J323" s="46">
        <f t="shared" ref="J323:M323" si="55">SUM(J11:J17,J20:J26,J31:J34,J39:J45,J52:J53,J56:J64,J68:J70,J73:J76,J81:J88,J91:J102,J105:J110,J118:J119,J124:J150,J153:J159,J164:J165,J171:J174,J180:J195,J199:J210,J217:J223,J229:J233,J240:J243,J247:J250,J255:J271,J277:J278,J284:J287,J294:J295,J302:J304,J310,J313:J322)</f>
        <v>0</v>
      </c>
      <c r="K323" s="46">
        <f t="shared" si="55"/>
        <v>16</v>
      </c>
      <c r="L323" s="46">
        <f>SUM(L11:L17,L20:L26,L31:L34,L39:L45,L52:L53,L56:L64,L68:L70,L73:L76,L81:L88,L91:L102,L105:L110,L118:L119,L124:L150,L153:L159,L164:L165,L171:L174,L180:L195,L199:L210,L217:L223,L229:L233,L240:L243,L247:L250,L255:L271,L277:L278,L284:L287,L294:L295,L302:L304,L310,L313:L322)</f>
        <v>16</v>
      </c>
      <c r="M323" s="46">
        <f t="shared" si="55"/>
        <v>16</v>
      </c>
      <c r="N323" s="46">
        <f t="shared" ref="N323" si="56">SUM(N11:N17,N20:N26,N31:N34,N39:N45,N52:N53,N56:N64,N68:N70,N73:N76,N81:N88,N91:N102,N105:N110,N118:N119,N124:N150,N153:N159,N164:N165,N171:N174,N180:N195,N199:N210,N217:N223,N229:N233,N240:N243,N247:N250,N255:N271,N277:N278,N284:N287,N294:N295,N302:N304,N310,N313:N322)</f>
        <v>0</v>
      </c>
      <c r="O323" s="46">
        <f t="shared" ref="O323" si="57">SUM(O11:O17,O20:O26,O31:O34,O39:O45,O52:O53,O56:O64,O68:O70,O73:O76,O81:O88,O91:O102,O105:O110,O118:O119,O124:O150,O153:O159,O164:O165,O171:O174,O180:O195,O199:O210,O217:O223,O229:O233,O240:O243,O247:O250,O255:O271,O277:O278,O284:O287,O294:O295,O302:O304,O310,O313:O322)</f>
        <v>0</v>
      </c>
      <c r="P323" s="46">
        <f t="shared" ref="P323" si="58">SUM(P11:P17,P20:P26,P31:P34,P39:P45,P52:P53,P56:P64,P68:P70,P73:P76,P81:P88,P91:P102,P105:P110,P118:P119,P124:P150,P153:P159,P164:P165,P171:P174,P180:P195,P199:P210,P217:P223,P229:P233,P240:P243,P247:P250,P255:P271,P277:P278,P284:P287,P294:P295,P302:P304,P310,P313:P322)</f>
        <v>0</v>
      </c>
      <c r="Q323" s="46">
        <f t="shared" ref="Q323" si="59">SUM(Q11:Q17,Q20:Q26,Q31:Q34,Q39:Q45,Q52:Q53,Q56:Q64,Q68:Q70,Q73:Q76,Q81:Q88,Q91:Q102,Q105:Q110,Q118:Q119,Q124:Q150,Q153:Q159,Q164:Q165,Q171:Q174,Q180:Q195,Q199:Q210,Q217:Q223,Q229:Q233,Q240:Q243,Q247:Q250,Q255:Q271,Q277:Q278,Q284:Q287,Q294:Q295,Q302:Q304,Q310,Q313:Q322)</f>
        <v>0</v>
      </c>
      <c r="R323" s="46">
        <f t="shared" ref="R323" si="60">SUM(R11:R17,R20:R26,R31:R34,R39:R45,R52:R53,R56:R64,R68:R70,R73:R76,R81:R88,R91:R102,R105:R110,R118:R119,R124:R150,R153:R159,R164:R165,R171:R174,R180:R195,R199:R210,R217:R223,R229:R233,R240:R243,R247:R250,R255:R271,R277:R278,R284:R287,R294:R295,R302:R304,R310,R313:R322)</f>
        <v>0</v>
      </c>
      <c r="S323" s="46">
        <f t="shared" ref="S323" si="61">SUM(S11:S17,S20:S26,S31:S34,S39:S45,S52:S53,S56:S64,S68:S70,S73:S76,S81:S88,S91:S102,S105:S110,S118:S119,S124:S150,S153:S159,S164:S165,S171:S174,S180:S195,S199:S210,S217:S223,S229:S233,S240:S243,S247:S250,S255:S271,S277:S278,S284:S287,S294:S295,S302:S304,S310,S313:S322)</f>
        <v>0</v>
      </c>
      <c r="T323" s="46">
        <f t="shared" ref="T323" si="62">SUM(T11:T17,T20:T26,T31:T34,T39:T45,T52:T53,T56:T64,T68:T70,T73:T76,T81:T88,T91:T102,T105:T110,T118:T119,T124:T150,T153:T159,T164:T165,T171:T174,T180:T195,T199:T210,T217:T223,T229:T233,T240:T243,T247:T250,T255:T271,T277:T278,T284:T287,T294:T295,T302:T304,T310,T313:T322)</f>
        <v>0</v>
      </c>
      <c r="U323" s="46">
        <f t="shared" ref="U323" si="63">SUM(U11:U17,U20:U26,U31:U34,U39:U45,U52:U53,U56:U64,U68:U70,U73:U76,U81:U88,U91:U102,U105:U110,U118:U119,U124:U150,U153:U159,U164:U165,U171:U174,U180:U195,U199:U210,U217:U223,U229:U233,U240:U243,U247:U250,U255:U271,U277:U278,U284:U287,U294:U295,U302:U304,U310,U313:U322)</f>
        <v>0</v>
      </c>
      <c r="V323" s="46">
        <f t="shared" ref="V323" si="64">SUM(V11:V17,V20:V26,V31:V34,V39:V45,V52:V53,V56:V64,V68:V70,V73:V76,V81:V88,V91:V102,V105:V110,V118:V119,V124:V150,V153:V159,V164:V165,V171:V174,V180:V195,V199:V210,V217:V223,V229:V233,V240:V243,V247:V250,V255:V271,V277:V278,V284:V287,V294:V295,V302:V304,V310,V313:V322)</f>
        <v>0</v>
      </c>
      <c r="W323" s="46">
        <f t="shared" ref="W323" si="65">SUM(W11:W17,W20:W26,W31:W34,W39:W45,W52:W53,W56:W64,W68:W70,W73:W76,W81:W88,W91:W102,W105:W110,W118:W119,W124:W150,W153:W159,W164:W165,W171:W174,W180:W195,W199:W210,W217:W223,W229:W233,W240:W243,W247:W250,W255:W271,W277:W278,W284:W287,W294:W295,W302:W304,W310,W313:W322)</f>
        <v>0</v>
      </c>
      <c r="X323" s="46">
        <f t="shared" ref="X323" si="66">SUM(X11:X17,X20:X26,X31:X34,X39:X45,X52:X53,X56:X64,X68:X70,X73:X76,X81:X88,X91:X102,X105:X110,X118:X119,X124:X150,X153:X159,X164:X165,X171:X174,X180:X195,X199:X210,X217:X223,X229:X233,X240:X243,X247:X250,X255:X271,X277:X278,X284:X287,X294:X295,X302:X304,X310,X313:X322)</f>
        <v>0</v>
      </c>
      <c r="Y323" s="46">
        <f t="shared" ref="Y323" si="67">SUM(Y11:Y17,Y20:Y26,Y31:Y34,Y39:Y45,Y52:Y53,Y56:Y64,Y68:Y70,Y73:Y76,Y81:Y88,Y91:Y102,Y105:Y110,Y118:Y119,Y124:Y150,Y153:Y159,Y164:Y165,Y171:Y174,Y180:Y195,Y199:Y210,Y217:Y223,Y229:Y233,Y240:Y243,Y247:Y250,Y255:Y271,Y277:Y278,Y284:Y287,Y294:Y295,Y302:Y304,Y310,Y313:Y322)</f>
        <v>0</v>
      </c>
      <c r="Z323" s="46">
        <f t="shared" ref="Z323" si="68">SUM(Z11:Z17,Z20:Z26,Z31:Z34,Z39:Z45,Z52:Z53,Z56:Z64,Z68:Z70,Z73:Z76,Z81:Z88,Z91:Z102,Z105:Z110,Z118:Z119,Z124:Z150,Z153:Z159,Z164:Z165,Z171:Z174,Z180:Z195,Z199:Z210,Z217:Z223,Z229:Z233,Z240:Z243,Z247:Z250,Z255:Z271,Z277:Z278,Z284:Z287,Z294:Z295,Z302:Z304,Z310,Z313:Z322)</f>
        <v>0</v>
      </c>
      <c r="AA323" s="46">
        <f t="shared" ref="AA323" si="69">SUM(AA11:AA17,AA20:AA26,AA31:AA34,AA39:AA45,AA52:AA53,AA56:AA64,AA68:AA70,AA73:AA76,AA81:AA88,AA91:AA102,AA105:AA110,AA118:AA119,AA124:AA150,AA153:AA159,AA164:AA165,AA171:AA174,AA180:AA195,AA199:AA210,AA217:AA223,AA229:AA233,AA240:AA243,AA247:AA250,AA255:AA271,AA277:AA278,AA284:AA287,AA294:AA295,AA302:AA304,AA310,AA313:AA322)</f>
        <v>0</v>
      </c>
      <c r="AB323" s="46">
        <f t="shared" ref="AB323" si="70">SUM(AB11:AB17,AB20:AB26,AB31:AB34,AB39:AB45,AB52:AB53,AB56:AB64,AB68:AB70,AB73:AB76,AB81:AB88,AB91:AB102,AB105:AB110,AB118:AB119,AB124:AB150,AB153:AB159,AB164:AB165,AB171:AB174,AB180:AB195,AB199:AB210,AB217:AB223,AB229:AB233,AB240:AB243,AB247:AB250,AB255:AB271,AB277:AB278,AB284:AB287,AB294:AB295,AB302:AB304,AB310,AB313:AB322)</f>
        <v>0</v>
      </c>
      <c r="AC323" s="46">
        <f t="shared" ref="AC323" si="71">SUM(AC11:AC17,AC20:AC26,AC31:AC34,AC39:AC45,AC52:AC53,AC56:AC64,AC68:AC70,AC73:AC76,AC81:AC88,AC91:AC102,AC105:AC110,AC118:AC119,AC124:AC150,AC153:AC159,AC164:AC165,AC171:AC174,AC180:AC195,AC199:AC210,AC217:AC223,AC229:AC233,AC240:AC243,AC247:AC250,AC255:AC271,AC277:AC278,AC284:AC287,AC294:AC295,AC302:AC304,AC310,AC313:AC322)</f>
        <v>0</v>
      </c>
      <c r="AD323" s="46">
        <f t="shared" ref="AD323" si="72">SUM(AD11:AD17,AD20:AD26,AD31:AD34,AD39:AD45,AD52:AD53,AD56:AD64,AD68:AD70,AD73:AD76,AD81:AD88,AD91:AD102,AD105:AD110,AD118:AD119,AD124:AD150,AD153:AD159,AD164:AD165,AD171:AD174,AD180:AD195,AD199:AD210,AD217:AD223,AD229:AD233,AD240:AD243,AD247:AD250,AD255:AD271,AD277:AD278,AD284:AD287,AD294:AD295,AD302:AD304,AD310,AD313:AD322)</f>
        <v>0</v>
      </c>
      <c r="AE323" s="46">
        <f t="shared" ref="AE323" si="73">SUM(AE11:AE17,AE20:AE26,AE31:AE34,AE39:AE45,AE52:AE53,AE56:AE64,AE68:AE70,AE73:AE76,AE81:AE88,AE91:AE102,AE105:AE110,AE118:AE119,AE124:AE150,AE153:AE159,AE164:AE165,AE171:AE174,AE180:AE195,AE199:AE210,AE217:AE223,AE229:AE233,AE240:AE243,AE247:AE250,AE255:AE271,AE277:AE278,AE284:AE287,AE294:AE295,AE302:AE304,AE310,AE313:AE322)</f>
        <v>0</v>
      </c>
      <c r="AF323" s="46">
        <f t="shared" ref="AF323" si="74">SUM(AF11:AF17,AF20:AF26,AF31:AF34,AF39:AF45,AF52:AF53,AF56:AF64,AF68:AF70,AF73:AF76,AF81:AF88,AF91:AF102,AF105:AF110,AF118:AF119,AF124:AF150,AF153:AF159,AF164:AF165,AF171:AF174,AF180:AF195,AF199:AF210,AF217:AF223,AF229:AF233,AF240:AF243,AF247:AF250,AF255:AF271,AF277:AF278,AF284:AF287,AF294:AF295,AF302:AF304,AF310,AF313:AF322)</f>
        <v>0</v>
      </c>
      <c r="AG323" s="11">
        <f>SUM(I11:AF323)</f>
        <v>131</v>
      </c>
    </row>
  </sheetData>
  <sheetProtection algorithmName="SHA-512" hashValue="lRJEzjPoYNHB0Hw1MrKjFs7nmmyH8C4wUkYoEMJN3LQKgwKl99ZIyLDsI0xGuXIzf6jsKqtmUSGFGuvKXHkjqg==" saltValue="/KR0K1f8s0ZY56poMxvY2w==" spinCount="100000" sheet="1" objects="1" scenarios="1" selectLockedCells="1"/>
  <mergeCells count="16">
    <mergeCell ref="X8:X9"/>
    <mergeCell ref="Y8:AA8"/>
    <mergeCell ref="AE8:AF8"/>
    <mergeCell ref="L7:AF7"/>
    <mergeCell ref="G5:AF5"/>
    <mergeCell ref="G6:G9"/>
    <mergeCell ref="H6:H9"/>
    <mergeCell ref="I6:I9"/>
    <mergeCell ref="J6:J9"/>
    <mergeCell ref="K6:AF6"/>
    <mergeCell ref="K7:K9"/>
    <mergeCell ref="AB8:AD8"/>
    <mergeCell ref="L8:L9"/>
    <mergeCell ref="M8:P8"/>
    <mergeCell ref="Q8:R8"/>
    <mergeCell ref="S8:W8"/>
  </mergeCells>
  <phoneticPr fontId="20" type="noConversion"/>
  <conditionalFormatting sqref="I11:I322">
    <cfRule type="expression" dxfId="142" priority="13">
      <formula>$I11&gt;1</formula>
    </cfRule>
  </conditionalFormatting>
  <conditionalFormatting sqref="I11:I323">
    <cfRule type="expression" dxfId="141" priority="78">
      <formula>AND($I11=0,SUM($M11:$AF11)&gt;0)</formula>
    </cfRule>
  </conditionalFormatting>
  <conditionalFormatting sqref="I11:J16 M11:AF16 I18:J25 M18:AF25 I27:J33 M27:AF33 I35:J44 M35:AF44 I46:J52 M46:AF52 I54:J63 M54:AF63 I65:J69 M65:AF69 I71:J75 M71:AF75 I77:J87 M77:AF87 I89:J101 M89:AF101 I103:J109 M103:AF109 I111:J118 M111:AF118 I120:J149 M120:AF149 I151:J158 M151:AF158 I160:J164 M160:AF164 I166:J173 M166:AF173 I175:J194 M175:AF194 I196:J209 M196:AF209 I211:J222 M211:AF222 I224:J232 M224:AF232 I234:J242 M234:AF242 I244:J249 M244:AF249 I251:J270 M251:AF270 I272:J277 M272:AF277 I279:J286 M279:AF286 I288:J294 M288:AF294 I296:J303 M296:AF303 I305:J309 M305:AF309 I311:J322 M311:AF322">
    <cfRule type="expression" dxfId="140" priority="3">
      <formula>_xlfn.ISFORMULA(I11)</formula>
    </cfRule>
  </conditionalFormatting>
  <conditionalFormatting sqref="I11:AF323">
    <cfRule type="expression" dxfId="138" priority="5">
      <formula>ISTEXT(I11)</formula>
    </cfRule>
    <cfRule type="expression" dxfId="137" priority="8">
      <formula>MOD(I11,1)&lt;&gt;0</formula>
    </cfRule>
  </conditionalFormatting>
  <conditionalFormatting sqref="J11:J323">
    <cfRule type="expression" dxfId="136" priority="14">
      <formula>$J11&gt;0</formula>
    </cfRule>
  </conditionalFormatting>
  <conditionalFormatting sqref="M11:P323">
    <cfRule type="expression" dxfId="135" priority="11">
      <formula>AND(SUM($Q11:$R11)&gt;0,SUM($M11:$P11)=0)</formula>
    </cfRule>
  </conditionalFormatting>
  <conditionalFormatting sqref="M11:AF16 M18:AF25 M27:AF33 M35:AF44 M46:AF52 M54:AF63 M65:AF69 M71:AF75 M77:AF87 M89:AF101 M103:AF109 M111:AF118 M120:AF149 M151:AF158 M160:AF164 M166:AF173 M175:AF194 M196:AF209 M211:AF222 M224:AF232 M234:AF242 M244:AF249 M251:AF270 M272:AF277 M279:AF286 M288:AF294 M296:AF303 M305:AF309 M311:AF322">
    <cfRule type="expression" dxfId="134" priority="53">
      <formula>AND($I11=1,SUM($M11:$AF11)=0)</formula>
    </cfRule>
  </conditionalFormatting>
  <conditionalFormatting sqref="Q11:R323">
    <cfRule type="expression" dxfId="133" priority="10">
      <formula>SUM($Q11:$R11)&gt;$L11</formula>
    </cfRule>
    <cfRule type="expression" dxfId="132" priority="29">
      <formula>SUM($Q11:$R11)&lt;$L11</formula>
    </cfRule>
  </conditionalFormatting>
  <conditionalFormatting sqref="S11:S323">
    <cfRule type="expression" dxfId="131" priority="35">
      <formula>$M11&lt;$S11</formula>
    </cfRule>
  </conditionalFormatting>
  <conditionalFormatting sqref="S11:V322">
    <cfRule type="expression" dxfId="130" priority="45">
      <formula>SUM($S11:$V11)&gt;$L11</formula>
    </cfRule>
  </conditionalFormatting>
  <conditionalFormatting sqref="T11:T323">
    <cfRule type="expression" dxfId="129" priority="34">
      <formula>$N11&lt;$T11</formula>
    </cfRule>
  </conditionalFormatting>
  <conditionalFormatting sqref="U11:U323">
    <cfRule type="expression" dxfId="128" priority="33">
      <formula>$O11&lt;$U11</formula>
    </cfRule>
  </conditionalFormatting>
  <conditionalFormatting sqref="V11:V323">
    <cfRule type="expression" dxfId="127" priority="31">
      <formula>$P11&lt;$V11</formula>
    </cfRule>
  </conditionalFormatting>
  <conditionalFormatting sqref="W11:W323">
    <cfRule type="expression" dxfId="126" priority="15">
      <formula>$W11&gt;$Q11</formula>
    </cfRule>
  </conditionalFormatting>
  <conditionalFormatting sqref="X11:X323">
    <cfRule type="expression" dxfId="125" priority="16">
      <formula>AND($X11=0,SUM($AB11:$AD11)&gt;0)</formula>
    </cfRule>
    <cfRule type="expression" dxfId="124" priority="17">
      <formula>AND($X11=0,SUM($Y11:$AA11)&gt;0)</formula>
    </cfRule>
  </conditionalFormatting>
  <conditionalFormatting sqref="Y11:AA323">
    <cfRule type="expression" dxfId="123" priority="12">
      <formula>AND(SUM($AB11:$AD11)&gt;0,SUM($Y11:$AA11)=0)</formula>
    </cfRule>
    <cfRule type="expression" dxfId="122" priority="19">
      <formula>SUM($Y11:$AA11)&gt;$X11</formula>
    </cfRule>
    <cfRule type="expression" dxfId="121" priority="20">
      <formula>SUM($Y11:$AA11)&lt;$X11</formula>
    </cfRule>
  </conditionalFormatting>
  <conditionalFormatting sqref="AB11:AB323">
    <cfRule type="expression" dxfId="120" priority="38">
      <formula>$Y11&lt;$AB11</formula>
    </cfRule>
  </conditionalFormatting>
  <conditionalFormatting sqref="AB11:AD323">
    <cfRule type="expression" dxfId="119" priority="42">
      <formula>SUM($AB11:$AD11)&gt;$X11</formula>
    </cfRule>
  </conditionalFormatting>
  <conditionalFormatting sqref="AC11:AC323">
    <cfRule type="expression" dxfId="118" priority="37">
      <formula>$Z11&lt;$AC11</formula>
    </cfRule>
  </conditionalFormatting>
  <conditionalFormatting sqref="AD11:AD323">
    <cfRule type="expression" dxfId="117" priority="36">
      <formula>$AA11&lt;$AD11</formula>
    </cfRule>
  </conditionalFormatting>
  <conditionalFormatting sqref="AE11:AF323">
    <cfRule type="expression" dxfId="116" priority="21">
      <formula>SUM($AE11:$AF11)&gt;$K11</formula>
    </cfRule>
    <cfRule type="expression" dxfId="115" priority="22">
      <formula>SUM($AE11:$AF11)&lt;$K11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FEC689B-F8AA-4384-AE07-9AC7004A96A4}">
            <xm:f>AND('Раздел 1'!$H$12=1,SUM($I11:$AF11)&gt;0)</xm:f>
            <x14:dxf>
              <fill>
                <patternFill>
                  <bgColor rgb="FFFF0000"/>
                </patternFill>
              </fill>
            </x14:dxf>
          </x14:cfRule>
          <xm:sqref>I11:AF322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3AF1-77AD-40F7-A03A-9F699A7717FE}">
  <dimension ref="A1:AM323"/>
  <sheetViews>
    <sheetView topLeftCell="A5" zoomScaleNormal="100" workbookViewId="0">
      <pane xSplit="9" ySplit="6" topLeftCell="J305" activePane="bottomRight" state="frozen"/>
      <selection activeCell="H19" sqref="H19:I19"/>
      <selection pane="topRight" activeCell="H19" sqref="H19:I19"/>
      <selection pane="bottomLeft" activeCell="H19" sqref="H19:I19"/>
      <selection pane="bottomRight" activeCell="J321" sqref="J321"/>
    </sheetView>
  </sheetViews>
  <sheetFormatPr defaultColWidth="9.140625" defaultRowHeight="10.5" x14ac:dyDescent="0.15"/>
  <cols>
    <col min="1" max="1" width="5.5703125" style="67" hidden="1" customWidth="1"/>
    <col min="2" max="2" width="12.5703125" style="67" hidden="1" customWidth="1"/>
    <col min="3" max="3" width="7" style="67" hidden="1" customWidth="1"/>
    <col min="4" max="4" width="9.85546875" style="67" hidden="1" customWidth="1"/>
    <col min="5" max="5" width="6" style="67" hidden="1" customWidth="1"/>
    <col min="6" max="6" width="9" style="67" hidden="1" customWidth="1"/>
    <col min="7" max="7" width="28.7109375" style="67" customWidth="1"/>
    <col min="8" max="8" width="4.5703125" style="67" customWidth="1"/>
    <col min="9" max="9" width="10.42578125" style="67" customWidth="1"/>
    <col min="10" max="29" width="7.85546875" style="67" customWidth="1"/>
    <col min="30" max="30" width="9.85546875" style="67" customWidth="1"/>
    <col min="31" max="31" width="12.140625" style="67" customWidth="1"/>
    <col min="32" max="32" width="11.28515625" style="67" customWidth="1"/>
    <col min="33" max="33" width="10.42578125" style="67" customWidth="1"/>
    <col min="34" max="34" width="7.5703125" style="67" customWidth="1"/>
    <col min="35" max="35" width="10.28515625" style="67" customWidth="1"/>
    <col min="36" max="36" width="12.140625" style="67" customWidth="1"/>
    <col min="37" max="37" width="11.140625" style="67" customWidth="1"/>
    <col min="38" max="38" width="11" style="67" customWidth="1"/>
    <col min="39" max="39" width="10.140625" style="67" customWidth="1"/>
    <col min="40" max="16384" width="9.140625" style="67"/>
  </cols>
  <sheetData>
    <row r="1" spans="1:39" hidden="1" x14ac:dyDescent="0.15"/>
    <row r="2" spans="1:39" hidden="1" x14ac:dyDescent="0.15"/>
    <row r="3" spans="1:39" hidden="1" x14ac:dyDescent="0.15"/>
    <row r="4" spans="1:39" hidden="1" x14ac:dyDescent="0.15"/>
    <row r="5" spans="1:39" ht="13.5" customHeight="1" x14ac:dyDescent="0.15">
      <c r="G5" s="317" t="s">
        <v>627</v>
      </c>
      <c r="H5" s="317"/>
      <c r="I5" s="317"/>
      <c r="J5" s="317"/>
      <c r="K5" s="317"/>
      <c r="L5" s="317"/>
      <c r="M5" s="317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317"/>
      <c r="AB5" s="317"/>
      <c r="AC5" s="317"/>
      <c r="AD5" s="317"/>
      <c r="AE5" s="317"/>
      <c r="AF5" s="317"/>
      <c r="AG5" s="317"/>
      <c r="AH5" s="317"/>
      <c r="AI5" s="317"/>
      <c r="AJ5" s="317"/>
      <c r="AK5" s="317"/>
      <c r="AL5" s="317"/>
    </row>
    <row r="6" spans="1:39" ht="31.5" customHeight="1" x14ac:dyDescent="0.15">
      <c r="G6" s="318" t="s">
        <v>1</v>
      </c>
      <c r="H6" s="319" t="s">
        <v>2</v>
      </c>
      <c r="I6" s="320" t="s">
        <v>628</v>
      </c>
      <c r="J6" s="320"/>
      <c r="K6" s="320"/>
      <c r="L6" s="320"/>
      <c r="M6" s="320"/>
      <c r="N6" s="320"/>
      <c r="O6" s="320"/>
      <c r="P6" s="320"/>
      <c r="Q6" s="320"/>
      <c r="R6" s="320"/>
      <c r="S6" s="320"/>
      <c r="T6" s="320"/>
      <c r="U6" s="320"/>
      <c r="V6" s="320"/>
      <c r="W6" s="320"/>
      <c r="X6" s="320"/>
      <c r="Y6" s="320"/>
      <c r="Z6" s="320"/>
      <c r="AA6" s="320"/>
      <c r="AB6" s="320"/>
      <c r="AC6" s="320" t="s">
        <v>629</v>
      </c>
      <c r="AD6" s="320"/>
      <c r="AE6" s="320"/>
      <c r="AF6" s="320"/>
      <c r="AG6" s="320"/>
      <c r="AH6" s="320" t="s">
        <v>630</v>
      </c>
      <c r="AI6" s="320"/>
      <c r="AJ6" s="320"/>
      <c r="AK6" s="320"/>
      <c r="AL6" s="320"/>
    </row>
    <row r="7" spans="1:39" ht="21" customHeight="1" x14ac:dyDescent="0.15">
      <c r="G7" s="318"/>
      <c r="H7" s="319"/>
      <c r="I7" s="321" t="s">
        <v>626</v>
      </c>
      <c r="J7" s="324" t="s">
        <v>631</v>
      </c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6"/>
      <c r="AC7" s="318" t="s">
        <v>626</v>
      </c>
      <c r="AD7" s="327" t="s">
        <v>632</v>
      </c>
      <c r="AE7" s="222"/>
      <c r="AF7" s="222"/>
      <c r="AG7" s="328"/>
      <c r="AH7" s="318" t="s">
        <v>626</v>
      </c>
      <c r="AI7" s="327" t="s">
        <v>632</v>
      </c>
      <c r="AJ7" s="222"/>
      <c r="AK7" s="222"/>
      <c r="AL7" s="328"/>
    </row>
    <row r="8" spans="1:39" ht="20.25" customHeight="1" x14ac:dyDescent="0.15">
      <c r="G8" s="318"/>
      <c r="H8" s="319"/>
      <c r="I8" s="322"/>
      <c r="J8" s="332" t="s">
        <v>16</v>
      </c>
      <c r="K8" s="333"/>
      <c r="L8" s="334"/>
      <c r="M8" s="332" t="s">
        <v>633</v>
      </c>
      <c r="N8" s="333"/>
      <c r="O8" s="333"/>
      <c r="P8" s="333"/>
      <c r="Q8" s="333"/>
      <c r="R8" s="334"/>
      <c r="S8" s="323" t="s">
        <v>634</v>
      </c>
      <c r="T8" s="323"/>
      <c r="U8" s="323"/>
      <c r="V8" s="323"/>
      <c r="W8" s="323"/>
      <c r="X8" s="323" t="s">
        <v>19</v>
      </c>
      <c r="Y8" s="323"/>
      <c r="Z8" s="323"/>
      <c r="AA8" s="323"/>
      <c r="AB8" s="323"/>
      <c r="AC8" s="318"/>
      <c r="AD8" s="329"/>
      <c r="AE8" s="330"/>
      <c r="AF8" s="330"/>
      <c r="AG8" s="331"/>
      <c r="AH8" s="318"/>
      <c r="AI8" s="329"/>
      <c r="AJ8" s="330"/>
      <c r="AK8" s="330"/>
      <c r="AL8" s="331"/>
    </row>
    <row r="9" spans="1:39" ht="42" x14ac:dyDescent="0.15">
      <c r="G9" s="318"/>
      <c r="H9" s="319"/>
      <c r="I9" s="323"/>
      <c r="J9" s="70">
        <v>1</v>
      </c>
      <c r="K9" s="71">
        <v>2</v>
      </c>
      <c r="L9" s="71" t="s">
        <v>635</v>
      </c>
      <c r="M9" s="70">
        <v>1</v>
      </c>
      <c r="N9" s="71">
        <v>2</v>
      </c>
      <c r="O9" s="71">
        <v>3</v>
      </c>
      <c r="P9" s="71">
        <v>4</v>
      </c>
      <c r="Q9" s="71">
        <v>5</v>
      </c>
      <c r="R9" s="71" t="s">
        <v>636</v>
      </c>
      <c r="S9" s="71">
        <v>1</v>
      </c>
      <c r="T9" s="71">
        <v>2</v>
      </c>
      <c r="U9" s="71">
        <v>3</v>
      </c>
      <c r="V9" s="71">
        <v>4</v>
      </c>
      <c r="W9" s="71" t="s">
        <v>637</v>
      </c>
      <c r="X9" s="71">
        <v>1</v>
      </c>
      <c r="Y9" s="71">
        <v>2</v>
      </c>
      <c r="Z9" s="71">
        <v>3</v>
      </c>
      <c r="AA9" s="71">
        <v>4</v>
      </c>
      <c r="AB9" s="71" t="s">
        <v>637</v>
      </c>
      <c r="AC9" s="318"/>
      <c r="AD9" s="140" t="s">
        <v>16</v>
      </c>
      <c r="AE9" s="140" t="s">
        <v>633</v>
      </c>
      <c r="AF9" s="140" t="s">
        <v>18</v>
      </c>
      <c r="AG9" s="140" t="s">
        <v>19</v>
      </c>
      <c r="AH9" s="318"/>
      <c r="AI9" s="68" t="s">
        <v>16</v>
      </c>
      <c r="AJ9" s="68" t="s">
        <v>633</v>
      </c>
      <c r="AK9" s="68" t="s">
        <v>18</v>
      </c>
      <c r="AL9" s="68" t="s">
        <v>19</v>
      </c>
    </row>
    <row r="10" spans="1:39" ht="11.25" thickBot="1" x14ac:dyDescent="0.2">
      <c r="A10" s="187">
        <f>'Раздел 0'!M27</f>
        <v>0</v>
      </c>
      <c r="B10" s="185">
        <f>'Раздел 1'!D15</f>
        <v>0</v>
      </c>
      <c r="C10" s="184" t="str" cm="1">
        <f t="array" ref="C10">_xlfn.IFS(SUM('Раздел 1'!$D$5:$D$6)&gt;0,"ФКиС",SUM('Раздел 1'!$D$7:$D$8)&gt;0,"Образование",SUM('Раздел 1'!$D$9:$D$10)&gt;0,"Другая")</f>
        <v>ФКиС</v>
      </c>
      <c r="D10" s="184" t="str" cm="1">
        <f t="array" ref="D10">_xlfn.IFS(SUM('Раздел 1'!$E$12)&gt;0,"СШ",SUM('Раздел 1'!$F$12)&gt;0,"СШОР",SUM('Раздел 1'!$G$12)&gt;0,"УОР",SUM('Раздел 1'!$H$12)&gt;0,"ЦСП",SUM('Раздел 1'!$I$12)&gt;0,"ДРУГИЕ",SUM('Раздел 1'!$E$13)&gt;0,"ОСП СШ",SUM('Раздел 1'!$F$13)&gt;0,"ОСП СШОР",SUM('Раздел 1'!$I$13)&gt;0,"ОСП ДРУГИЕ")</f>
        <v>ЦСП</v>
      </c>
      <c r="E10" s="184">
        <f>IF(SUM('Раздел 1'!$D$12)&gt;0,SUM('Раздел 1'!$D$13),"")</f>
        <v>0</v>
      </c>
      <c r="F10" s="184" t="e" cm="1">
        <f t="array" ref="F10">_xlfn.IFS(SUM('Раздел 1'!$D$19)&gt;0,"РФ",SUM('Раздел 1'!$E$19)&gt;0,"СУБЪЕКТ",SUM('Раздел 1'!$F$19:$G$19)&gt;0,"МУНИЦИПАЛ",SUM('Раздел 1'!$H$19:$I$19)&gt;0,"ИНЫЕ")</f>
        <v>#N/A</v>
      </c>
      <c r="G10" s="73">
        <v>1</v>
      </c>
      <c r="H10" s="73">
        <v>2</v>
      </c>
      <c r="I10" s="145">
        <v>3</v>
      </c>
      <c r="J10" s="73">
        <v>4</v>
      </c>
      <c r="K10" s="73">
        <v>5</v>
      </c>
      <c r="L10" s="73">
        <v>6</v>
      </c>
      <c r="M10" s="73">
        <v>7</v>
      </c>
      <c r="N10" s="73">
        <v>8</v>
      </c>
      <c r="O10" s="73">
        <v>9</v>
      </c>
      <c r="P10" s="73">
        <v>10</v>
      </c>
      <c r="Q10" s="73">
        <v>11</v>
      </c>
      <c r="R10" s="73">
        <v>12</v>
      </c>
      <c r="S10" s="73">
        <v>13</v>
      </c>
      <c r="T10" s="73">
        <v>14</v>
      </c>
      <c r="U10" s="73">
        <v>15</v>
      </c>
      <c r="V10" s="73">
        <v>16</v>
      </c>
      <c r="W10" s="73">
        <v>17</v>
      </c>
      <c r="X10" s="73">
        <v>18</v>
      </c>
      <c r="Y10" s="73">
        <v>19</v>
      </c>
      <c r="Z10" s="73">
        <v>20</v>
      </c>
      <c r="AA10" s="73">
        <v>21</v>
      </c>
      <c r="AB10" s="73">
        <v>22</v>
      </c>
      <c r="AC10" s="145">
        <v>23</v>
      </c>
      <c r="AD10" s="73">
        <v>24</v>
      </c>
      <c r="AE10" s="73">
        <v>25</v>
      </c>
      <c r="AF10" s="73">
        <v>26</v>
      </c>
      <c r="AG10" s="73">
        <v>27</v>
      </c>
      <c r="AH10" s="145">
        <v>28</v>
      </c>
      <c r="AI10" s="73">
        <v>29</v>
      </c>
      <c r="AJ10" s="73">
        <v>30</v>
      </c>
      <c r="AK10" s="73">
        <v>31</v>
      </c>
      <c r="AL10" s="73">
        <v>32</v>
      </c>
      <c r="AM10" s="146">
        <v>33</v>
      </c>
    </row>
    <row r="11" spans="1:39" x14ac:dyDescent="0.15">
      <c r="G11" s="210" t="s">
        <v>21</v>
      </c>
      <c r="H11" s="142" t="s">
        <v>22</v>
      </c>
      <c r="I11" s="60">
        <f>SUM(J11:AB11)</f>
        <v>0</v>
      </c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6">
        <f>SUM(AD11:AG11)</f>
        <v>0</v>
      </c>
      <c r="AD11" s="54"/>
      <c r="AE11" s="54"/>
      <c r="AF11" s="54"/>
      <c r="AG11" s="54"/>
      <c r="AH11" s="56">
        <f>SUM(AI11:AL11)</f>
        <v>0</v>
      </c>
      <c r="AI11" s="54"/>
      <c r="AJ11" s="54"/>
      <c r="AK11" s="54"/>
      <c r="AL11" s="54"/>
      <c r="AM11" s="147">
        <f>SUM(J11:AL11)</f>
        <v>0</v>
      </c>
    </row>
    <row r="12" spans="1:39" x14ac:dyDescent="0.15">
      <c r="G12" s="211" t="s">
        <v>23</v>
      </c>
      <c r="H12" s="144" t="s">
        <v>24</v>
      </c>
      <c r="I12" s="46">
        <f t="shared" ref="I12:I75" si="0">SUM(J12:AB12)</f>
        <v>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45">
        <f t="shared" ref="AC12:AC75" si="1">SUM(AD12:AG12)</f>
        <v>0</v>
      </c>
      <c r="AD12" s="8"/>
      <c r="AE12" s="8"/>
      <c r="AF12" s="8"/>
      <c r="AG12" s="8"/>
      <c r="AH12" s="45">
        <f t="shared" ref="AH12:AH75" si="2">SUM(AI12:AL12)</f>
        <v>0</v>
      </c>
      <c r="AI12" s="8"/>
      <c r="AJ12" s="8"/>
      <c r="AK12" s="8"/>
      <c r="AL12" s="8"/>
      <c r="AM12" s="147">
        <f t="shared" ref="AM12:AM75" si="3">SUM(J12:AL12)</f>
        <v>0</v>
      </c>
    </row>
    <row r="13" spans="1:39" x14ac:dyDescent="0.15">
      <c r="G13" s="211" t="s">
        <v>25</v>
      </c>
      <c r="H13" s="144" t="s">
        <v>26</v>
      </c>
      <c r="I13" s="46">
        <f t="shared" si="0"/>
        <v>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45">
        <f t="shared" si="1"/>
        <v>0</v>
      </c>
      <c r="AD13" s="8"/>
      <c r="AE13" s="8"/>
      <c r="AF13" s="8"/>
      <c r="AG13" s="8"/>
      <c r="AH13" s="45">
        <f t="shared" si="2"/>
        <v>0</v>
      </c>
      <c r="AI13" s="8"/>
      <c r="AJ13" s="8"/>
      <c r="AK13" s="8"/>
      <c r="AL13" s="8"/>
      <c r="AM13" s="147">
        <f t="shared" si="3"/>
        <v>0</v>
      </c>
    </row>
    <row r="14" spans="1:39" x14ac:dyDescent="0.15">
      <c r="G14" s="211" t="s">
        <v>27</v>
      </c>
      <c r="H14" s="142" t="s">
        <v>28</v>
      </c>
      <c r="I14" s="46">
        <f t="shared" si="0"/>
        <v>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45">
        <f t="shared" si="1"/>
        <v>0</v>
      </c>
      <c r="AD14" s="8"/>
      <c r="AE14" s="8"/>
      <c r="AF14" s="8"/>
      <c r="AG14" s="8"/>
      <c r="AH14" s="45">
        <f t="shared" si="2"/>
        <v>0</v>
      </c>
      <c r="AI14" s="8"/>
      <c r="AJ14" s="8"/>
      <c r="AK14" s="8"/>
      <c r="AL14" s="8"/>
      <c r="AM14" s="147">
        <f t="shared" si="3"/>
        <v>0</v>
      </c>
    </row>
    <row r="15" spans="1:39" x14ac:dyDescent="0.15">
      <c r="G15" s="211" t="s">
        <v>29</v>
      </c>
      <c r="H15" s="144" t="s">
        <v>30</v>
      </c>
      <c r="I15" s="46">
        <f t="shared" si="0"/>
        <v>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45">
        <f t="shared" si="1"/>
        <v>0</v>
      </c>
      <c r="AD15" s="8"/>
      <c r="AE15" s="8"/>
      <c r="AF15" s="8"/>
      <c r="AG15" s="8"/>
      <c r="AH15" s="45">
        <f t="shared" si="2"/>
        <v>0</v>
      </c>
      <c r="AI15" s="8"/>
      <c r="AJ15" s="8"/>
      <c r="AK15" s="8"/>
      <c r="AL15" s="8"/>
      <c r="AM15" s="147">
        <f t="shared" si="3"/>
        <v>0</v>
      </c>
    </row>
    <row r="16" spans="1:39" x14ac:dyDescent="0.15">
      <c r="G16" s="211" t="s">
        <v>31</v>
      </c>
      <c r="H16" s="144" t="s">
        <v>32</v>
      </c>
      <c r="I16" s="46">
        <f t="shared" si="0"/>
        <v>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45">
        <f t="shared" si="1"/>
        <v>0</v>
      </c>
      <c r="AD16" s="8"/>
      <c r="AE16" s="8"/>
      <c r="AF16" s="8"/>
      <c r="AG16" s="8"/>
      <c r="AH16" s="45">
        <f t="shared" si="2"/>
        <v>0</v>
      </c>
      <c r="AI16" s="8"/>
      <c r="AJ16" s="8"/>
      <c r="AK16" s="8"/>
      <c r="AL16" s="8"/>
      <c r="AM16" s="147">
        <f t="shared" si="3"/>
        <v>0</v>
      </c>
    </row>
    <row r="17" spans="7:39" x14ac:dyDescent="0.15">
      <c r="G17" s="211" t="s">
        <v>33</v>
      </c>
      <c r="H17" s="142" t="s">
        <v>34</v>
      </c>
      <c r="I17" s="46">
        <f t="shared" si="0"/>
        <v>0</v>
      </c>
      <c r="J17" s="45">
        <f t="shared" ref="J17:L17" si="4">SUM(J18:J19)</f>
        <v>0</v>
      </c>
      <c r="K17" s="45">
        <f t="shared" si="4"/>
        <v>0</v>
      </c>
      <c r="L17" s="45">
        <f t="shared" si="4"/>
        <v>0</v>
      </c>
      <c r="M17" s="45">
        <f>SUM(M18:M19)</f>
        <v>0</v>
      </c>
      <c r="N17" s="45">
        <f t="shared" ref="N17:AB17" si="5">SUM(N18:N19)</f>
        <v>0</v>
      </c>
      <c r="O17" s="45">
        <f t="shared" si="5"/>
        <v>0</v>
      </c>
      <c r="P17" s="45">
        <f t="shared" si="5"/>
        <v>0</v>
      </c>
      <c r="Q17" s="45">
        <f t="shared" si="5"/>
        <v>0</v>
      </c>
      <c r="R17" s="45">
        <f t="shared" si="5"/>
        <v>0</v>
      </c>
      <c r="S17" s="45">
        <f t="shared" si="5"/>
        <v>0</v>
      </c>
      <c r="T17" s="45">
        <f t="shared" si="5"/>
        <v>0</v>
      </c>
      <c r="U17" s="45">
        <f t="shared" si="5"/>
        <v>0</v>
      </c>
      <c r="V17" s="45">
        <f t="shared" si="5"/>
        <v>0</v>
      </c>
      <c r="W17" s="45">
        <f t="shared" si="5"/>
        <v>0</v>
      </c>
      <c r="X17" s="45">
        <f t="shared" si="5"/>
        <v>0</v>
      </c>
      <c r="Y17" s="45">
        <f t="shared" si="5"/>
        <v>0</v>
      </c>
      <c r="Z17" s="45">
        <f t="shared" si="5"/>
        <v>0</v>
      </c>
      <c r="AA17" s="45">
        <f t="shared" si="5"/>
        <v>0</v>
      </c>
      <c r="AB17" s="45">
        <f t="shared" si="5"/>
        <v>0</v>
      </c>
      <c r="AC17" s="45">
        <f t="shared" si="1"/>
        <v>0</v>
      </c>
      <c r="AD17" s="45">
        <f t="shared" ref="AD17" si="6">SUM(AD18:AD19)</f>
        <v>0</v>
      </c>
      <c r="AE17" s="45">
        <f t="shared" ref="AE17" si="7">SUM(AE18:AE19)</f>
        <v>0</v>
      </c>
      <c r="AF17" s="45">
        <f t="shared" ref="AF17" si="8">SUM(AF18:AF19)</f>
        <v>0</v>
      </c>
      <c r="AG17" s="45">
        <f t="shared" ref="AG17" si="9">SUM(AG18:AG19)</f>
        <v>0</v>
      </c>
      <c r="AH17" s="45">
        <f t="shared" si="2"/>
        <v>0</v>
      </c>
      <c r="AI17" s="45">
        <f t="shared" ref="AI17" si="10">SUM(AI18:AI19)</f>
        <v>0</v>
      </c>
      <c r="AJ17" s="45">
        <f t="shared" ref="AJ17" si="11">SUM(AJ18:AJ19)</f>
        <v>0</v>
      </c>
      <c r="AK17" s="45">
        <f t="shared" ref="AK17" si="12">SUM(AK18:AK19)</f>
        <v>0</v>
      </c>
      <c r="AL17" s="45">
        <f t="shared" ref="AL17" si="13">SUM(AL18:AL19)</f>
        <v>0</v>
      </c>
      <c r="AM17" s="147">
        <f t="shared" si="3"/>
        <v>0</v>
      </c>
    </row>
    <row r="18" spans="7:39" ht="21" x14ac:dyDescent="0.15">
      <c r="G18" s="212" t="s">
        <v>35</v>
      </c>
      <c r="H18" s="144" t="s">
        <v>36</v>
      </c>
      <c r="I18" s="46">
        <f t="shared" si="0"/>
        <v>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45">
        <f t="shared" si="1"/>
        <v>0</v>
      </c>
      <c r="AD18" s="8"/>
      <c r="AE18" s="8"/>
      <c r="AF18" s="8"/>
      <c r="AG18" s="8"/>
      <c r="AH18" s="45">
        <f t="shared" si="2"/>
        <v>0</v>
      </c>
      <c r="AI18" s="8"/>
      <c r="AJ18" s="8"/>
      <c r="AK18" s="8"/>
      <c r="AL18" s="8"/>
      <c r="AM18" s="147">
        <f t="shared" si="3"/>
        <v>0</v>
      </c>
    </row>
    <row r="19" spans="7:39" ht="21" x14ac:dyDescent="0.15">
      <c r="G19" s="212" t="s">
        <v>37</v>
      </c>
      <c r="H19" s="144" t="s">
        <v>38</v>
      </c>
      <c r="I19" s="46">
        <f t="shared" si="0"/>
        <v>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45">
        <f t="shared" si="1"/>
        <v>0</v>
      </c>
      <c r="AD19" s="8"/>
      <c r="AE19" s="8"/>
      <c r="AF19" s="8"/>
      <c r="AG19" s="8"/>
      <c r="AH19" s="45">
        <f t="shared" si="2"/>
        <v>0</v>
      </c>
      <c r="AI19" s="8"/>
      <c r="AJ19" s="8"/>
      <c r="AK19" s="8"/>
      <c r="AL19" s="8"/>
      <c r="AM19" s="147">
        <f t="shared" si="3"/>
        <v>0</v>
      </c>
    </row>
    <row r="20" spans="7:39" x14ac:dyDescent="0.15">
      <c r="G20" s="211" t="s">
        <v>39</v>
      </c>
      <c r="H20" s="142" t="s">
        <v>40</v>
      </c>
      <c r="I20" s="46">
        <f t="shared" si="0"/>
        <v>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45">
        <f t="shared" si="1"/>
        <v>0</v>
      </c>
      <c r="AD20" s="8"/>
      <c r="AE20" s="8"/>
      <c r="AF20" s="8"/>
      <c r="AG20" s="8"/>
      <c r="AH20" s="45">
        <f t="shared" si="2"/>
        <v>0</v>
      </c>
      <c r="AI20" s="8"/>
      <c r="AJ20" s="8"/>
      <c r="AK20" s="8"/>
      <c r="AL20" s="8"/>
      <c r="AM20" s="147">
        <f t="shared" si="3"/>
        <v>0</v>
      </c>
    </row>
    <row r="21" spans="7:39" x14ac:dyDescent="0.15">
      <c r="G21" s="211" t="s">
        <v>41</v>
      </c>
      <c r="H21" s="144" t="s">
        <v>42</v>
      </c>
      <c r="I21" s="46">
        <f t="shared" si="0"/>
        <v>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45">
        <f t="shared" si="1"/>
        <v>0</v>
      </c>
      <c r="AD21" s="8"/>
      <c r="AE21" s="8"/>
      <c r="AF21" s="8"/>
      <c r="AG21" s="8"/>
      <c r="AH21" s="45">
        <f t="shared" si="2"/>
        <v>0</v>
      </c>
      <c r="AI21" s="8"/>
      <c r="AJ21" s="8"/>
      <c r="AK21" s="8"/>
      <c r="AL21" s="8"/>
      <c r="AM21" s="147">
        <f t="shared" si="3"/>
        <v>0</v>
      </c>
    </row>
    <row r="22" spans="7:39" x14ac:dyDescent="0.15">
      <c r="G22" s="211" t="s">
        <v>43</v>
      </c>
      <c r="H22" s="144" t="s">
        <v>44</v>
      </c>
      <c r="I22" s="46">
        <f t="shared" si="0"/>
        <v>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45">
        <f t="shared" si="1"/>
        <v>0</v>
      </c>
      <c r="AD22" s="8"/>
      <c r="AE22" s="8"/>
      <c r="AF22" s="8"/>
      <c r="AG22" s="8"/>
      <c r="AH22" s="45">
        <f t="shared" si="2"/>
        <v>0</v>
      </c>
      <c r="AI22" s="8"/>
      <c r="AJ22" s="8"/>
      <c r="AK22" s="8"/>
      <c r="AL22" s="8"/>
      <c r="AM22" s="147">
        <f t="shared" si="3"/>
        <v>0</v>
      </c>
    </row>
    <row r="23" spans="7:39" ht="21" x14ac:dyDescent="0.15">
      <c r="G23" s="211" t="s">
        <v>45</v>
      </c>
      <c r="H23" s="142" t="s">
        <v>46</v>
      </c>
      <c r="I23" s="46">
        <f t="shared" si="0"/>
        <v>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45">
        <f t="shared" si="1"/>
        <v>0</v>
      </c>
      <c r="AD23" s="8"/>
      <c r="AE23" s="8"/>
      <c r="AF23" s="8"/>
      <c r="AG23" s="8"/>
      <c r="AH23" s="45">
        <f t="shared" si="2"/>
        <v>0</v>
      </c>
      <c r="AI23" s="8"/>
      <c r="AJ23" s="8"/>
      <c r="AK23" s="8"/>
      <c r="AL23" s="8"/>
      <c r="AM23" s="147">
        <f t="shared" si="3"/>
        <v>0</v>
      </c>
    </row>
    <row r="24" spans="7:39" x14ac:dyDescent="0.15">
      <c r="G24" s="211" t="s">
        <v>47</v>
      </c>
      <c r="H24" s="144" t="s">
        <v>48</v>
      </c>
      <c r="I24" s="46">
        <f t="shared" si="0"/>
        <v>0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45">
        <f t="shared" si="1"/>
        <v>0</v>
      </c>
      <c r="AD24" s="6"/>
      <c r="AE24" s="6"/>
      <c r="AF24" s="6"/>
      <c r="AG24" s="6"/>
      <c r="AH24" s="45">
        <f t="shared" si="2"/>
        <v>0</v>
      </c>
      <c r="AI24" s="6"/>
      <c r="AJ24" s="6"/>
      <c r="AK24" s="6"/>
      <c r="AL24" s="6"/>
      <c r="AM24" s="147">
        <f t="shared" si="3"/>
        <v>0</v>
      </c>
    </row>
    <row r="25" spans="7:39" x14ac:dyDescent="0.15">
      <c r="G25" s="211" t="s">
        <v>49</v>
      </c>
      <c r="H25" s="144" t="s">
        <v>50</v>
      </c>
      <c r="I25" s="46">
        <f t="shared" si="0"/>
        <v>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45">
        <f t="shared" si="1"/>
        <v>0</v>
      </c>
      <c r="AD25" s="6"/>
      <c r="AE25" s="6"/>
      <c r="AF25" s="6"/>
      <c r="AG25" s="6"/>
      <c r="AH25" s="45">
        <f t="shared" si="2"/>
        <v>0</v>
      </c>
      <c r="AI25" s="6"/>
      <c r="AJ25" s="6"/>
      <c r="AK25" s="6"/>
      <c r="AL25" s="6"/>
      <c r="AM25" s="147">
        <f t="shared" si="3"/>
        <v>0</v>
      </c>
    </row>
    <row r="26" spans="7:39" x14ac:dyDescent="0.15">
      <c r="G26" s="211" t="s">
        <v>51</v>
      </c>
      <c r="H26" s="142" t="s">
        <v>52</v>
      </c>
      <c r="I26" s="46">
        <f t="shared" si="0"/>
        <v>0</v>
      </c>
      <c r="J26" s="46">
        <f t="shared" ref="J26:L26" si="14">SUM(J27:J30)</f>
        <v>0</v>
      </c>
      <c r="K26" s="46">
        <f t="shared" si="14"/>
        <v>0</v>
      </c>
      <c r="L26" s="46">
        <f t="shared" si="14"/>
        <v>0</v>
      </c>
      <c r="M26" s="46">
        <f>SUM(M27:M30)</f>
        <v>0</v>
      </c>
      <c r="N26" s="46">
        <f t="shared" ref="N26:AB26" si="15">SUM(N27:N30)</f>
        <v>0</v>
      </c>
      <c r="O26" s="46">
        <f t="shared" si="15"/>
        <v>0</v>
      </c>
      <c r="P26" s="46">
        <f t="shared" si="15"/>
        <v>0</v>
      </c>
      <c r="Q26" s="46">
        <f t="shared" si="15"/>
        <v>0</v>
      </c>
      <c r="R26" s="46">
        <f t="shared" si="15"/>
        <v>0</v>
      </c>
      <c r="S26" s="46">
        <f t="shared" si="15"/>
        <v>0</v>
      </c>
      <c r="T26" s="46">
        <f t="shared" si="15"/>
        <v>0</v>
      </c>
      <c r="U26" s="46">
        <f t="shared" si="15"/>
        <v>0</v>
      </c>
      <c r="V26" s="46">
        <f t="shared" si="15"/>
        <v>0</v>
      </c>
      <c r="W26" s="46">
        <f t="shared" si="15"/>
        <v>0</v>
      </c>
      <c r="X26" s="46">
        <f t="shared" si="15"/>
        <v>0</v>
      </c>
      <c r="Y26" s="46">
        <f t="shared" si="15"/>
        <v>0</v>
      </c>
      <c r="Z26" s="46">
        <f t="shared" si="15"/>
        <v>0</v>
      </c>
      <c r="AA26" s="46">
        <f t="shared" si="15"/>
        <v>0</v>
      </c>
      <c r="AB26" s="46">
        <f t="shared" si="15"/>
        <v>0</v>
      </c>
      <c r="AC26" s="45">
        <f t="shared" si="1"/>
        <v>0</v>
      </c>
      <c r="AD26" s="46">
        <f t="shared" ref="AD26" si="16">SUM(AD27:AD30)</f>
        <v>0</v>
      </c>
      <c r="AE26" s="46">
        <f t="shared" ref="AE26" si="17">SUM(AE27:AE30)</f>
        <v>0</v>
      </c>
      <c r="AF26" s="46">
        <f t="shared" ref="AF26" si="18">SUM(AF27:AF30)</f>
        <v>0</v>
      </c>
      <c r="AG26" s="46">
        <f t="shared" ref="AG26" si="19">SUM(AG27:AG30)</f>
        <v>0</v>
      </c>
      <c r="AH26" s="45">
        <f t="shared" si="2"/>
        <v>0</v>
      </c>
      <c r="AI26" s="46">
        <f t="shared" ref="AI26" si="20">SUM(AI27:AI30)</f>
        <v>0</v>
      </c>
      <c r="AJ26" s="46">
        <f t="shared" ref="AJ26" si="21">SUM(AJ27:AJ30)</f>
        <v>0</v>
      </c>
      <c r="AK26" s="46">
        <f t="shared" ref="AK26" si="22">SUM(AK27:AK30)</f>
        <v>0</v>
      </c>
      <c r="AL26" s="46">
        <f t="shared" ref="AL26" si="23">SUM(AL27:AL30)</f>
        <v>0</v>
      </c>
      <c r="AM26" s="147">
        <f t="shared" si="3"/>
        <v>0</v>
      </c>
    </row>
    <row r="27" spans="7:39" ht="21" x14ac:dyDescent="0.15">
      <c r="G27" s="212" t="s">
        <v>865</v>
      </c>
      <c r="H27" s="144" t="s">
        <v>53</v>
      </c>
      <c r="I27" s="46">
        <f t="shared" si="0"/>
        <v>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45">
        <f t="shared" si="1"/>
        <v>0</v>
      </c>
      <c r="AD27" s="6"/>
      <c r="AE27" s="6"/>
      <c r="AF27" s="6"/>
      <c r="AG27" s="6"/>
      <c r="AH27" s="45">
        <f t="shared" si="2"/>
        <v>0</v>
      </c>
      <c r="AI27" s="6"/>
      <c r="AJ27" s="6"/>
      <c r="AK27" s="6"/>
      <c r="AL27" s="6"/>
      <c r="AM27" s="147">
        <f t="shared" si="3"/>
        <v>0</v>
      </c>
    </row>
    <row r="28" spans="7:39" x14ac:dyDescent="0.15">
      <c r="G28" s="212" t="s">
        <v>54</v>
      </c>
      <c r="H28" s="144" t="s">
        <v>55</v>
      </c>
      <c r="I28" s="46">
        <f t="shared" si="0"/>
        <v>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45">
        <f t="shared" si="1"/>
        <v>0</v>
      </c>
      <c r="AD28" s="8"/>
      <c r="AE28" s="8"/>
      <c r="AF28" s="8"/>
      <c r="AG28" s="8"/>
      <c r="AH28" s="45">
        <f t="shared" si="2"/>
        <v>0</v>
      </c>
      <c r="AI28" s="8"/>
      <c r="AJ28" s="8"/>
      <c r="AK28" s="8"/>
      <c r="AL28" s="8"/>
      <c r="AM28" s="147">
        <f t="shared" si="3"/>
        <v>0</v>
      </c>
    </row>
    <row r="29" spans="7:39" x14ac:dyDescent="0.15">
      <c r="G29" s="212" t="s">
        <v>56</v>
      </c>
      <c r="H29" s="142" t="s">
        <v>57</v>
      </c>
      <c r="I29" s="46">
        <f t="shared" si="0"/>
        <v>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45">
        <f t="shared" si="1"/>
        <v>0</v>
      </c>
      <c r="AD29" s="8"/>
      <c r="AE29" s="8"/>
      <c r="AF29" s="8"/>
      <c r="AG29" s="8"/>
      <c r="AH29" s="45">
        <f t="shared" si="2"/>
        <v>0</v>
      </c>
      <c r="AI29" s="8"/>
      <c r="AJ29" s="8"/>
      <c r="AK29" s="8"/>
      <c r="AL29" s="8"/>
      <c r="AM29" s="147">
        <f t="shared" si="3"/>
        <v>0</v>
      </c>
    </row>
    <row r="30" spans="7:39" ht="21" x14ac:dyDescent="0.15">
      <c r="G30" s="212" t="s">
        <v>58</v>
      </c>
      <c r="H30" s="144" t="s">
        <v>59</v>
      </c>
      <c r="I30" s="46">
        <f t="shared" si="0"/>
        <v>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45">
        <f t="shared" si="1"/>
        <v>0</v>
      </c>
      <c r="AD30" s="8"/>
      <c r="AE30" s="8"/>
      <c r="AF30" s="8"/>
      <c r="AG30" s="8"/>
      <c r="AH30" s="45">
        <f t="shared" si="2"/>
        <v>0</v>
      </c>
      <c r="AI30" s="8"/>
      <c r="AJ30" s="8"/>
      <c r="AK30" s="8"/>
      <c r="AL30" s="8"/>
      <c r="AM30" s="147">
        <f t="shared" si="3"/>
        <v>0</v>
      </c>
    </row>
    <row r="31" spans="7:39" x14ac:dyDescent="0.15">
      <c r="G31" s="211" t="s">
        <v>60</v>
      </c>
      <c r="H31" s="144" t="s">
        <v>61</v>
      </c>
      <c r="I31" s="46">
        <f t="shared" si="0"/>
        <v>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45">
        <f t="shared" si="1"/>
        <v>0</v>
      </c>
      <c r="AD31" s="8"/>
      <c r="AE31" s="8"/>
      <c r="AF31" s="8"/>
      <c r="AG31" s="8"/>
      <c r="AH31" s="45">
        <f t="shared" si="2"/>
        <v>0</v>
      </c>
      <c r="AI31" s="8"/>
      <c r="AJ31" s="8"/>
      <c r="AK31" s="8"/>
      <c r="AL31" s="8"/>
      <c r="AM31" s="147">
        <f t="shared" si="3"/>
        <v>0</v>
      </c>
    </row>
    <row r="32" spans="7:39" x14ac:dyDescent="0.15">
      <c r="G32" s="211" t="s">
        <v>62</v>
      </c>
      <c r="H32" s="142" t="s">
        <v>63</v>
      </c>
      <c r="I32" s="46">
        <f t="shared" si="0"/>
        <v>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45">
        <f t="shared" si="1"/>
        <v>0</v>
      </c>
      <c r="AD32" s="8"/>
      <c r="AE32" s="8"/>
      <c r="AF32" s="8"/>
      <c r="AG32" s="8"/>
      <c r="AH32" s="45">
        <f t="shared" si="2"/>
        <v>0</v>
      </c>
      <c r="AI32" s="8"/>
      <c r="AJ32" s="8"/>
      <c r="AK32" s="8"/>
      <c r="AL32" s="8"/>
      <c r="AM32" s="147">
        <f t="shared" si="3"/>
        <v>0</v>
      </c>
    </row>
    <row r="33" spans="7:39" x14ac:dyDescent="0.15">
      <c r="G33" s="211" t="s">
        <v>64</v>
      </c>
      <c r="H33" s="144" t="s">
        <v>65</v>
      </c>
      <c r="I33" s="46">
        <f t="shared" si="0"/>
        <v>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45">
        <f t="shared" si="1"/>
        <v>0</v>
      </c>
      <c r="AD33" s="8"/>
      <c r="AE33" s="8"/>
      <c r="AF33" s="8"/>
      <c r="AG33" s="8"/>
      <c r="AH33" s="45">
        <f t="shared" si="2"/>
        <v>0</v>
      </c>
      <c r="AI33" s="8"/>
      <c r="AJ33" s="8"/>
      <c r="AK33" s="8"/>
      <c r="AL33" s="8"/>
      <c r="AM33" s="147">
        <f t="shared" si="3"/>
        <v>0</v>
      </c>
    </row>
    <row r="34" spans="7:39" x14ac:dyDescent="0.15">
      <c r="G34" s="211" t="s">
        <v>66</v>
      </c>
      <c r="H34" s="144" t="s">
        <v>67</v>
      </c>
      <c r="I34" s="46">
        <f t="shared" si="0"/>
        <v>0</v>
      </c>
      <c r="J34" s="46">
        <f t="shared" ref="J34:L34" si="24">SUM(J35:J38)</f>
        <v>0</v>
      </c>
      <c r="K34" s="46">
        <f t="shared" si="24"/>
        <v>0</v>
      </c>
      <c r="L34" s="46">
        <f t="shared" si="24"/>
        <v>0</v>
      </c>
      <c r="M34" s="46">
        <f>SUM(M35:M38)</f>
        <v>0</v>
      </c>
      <c r="N34" s="46">
        <f t="shared" ref="N34:AB34" si="25">SUM(N35:N38)</f>
        <v>0</v>
      </c>
      <c r="O34" s="46">
        <f t="shared" si="25"/>
        <v>0</v>
      </c>
      <c r="P34" s="46">
        <f t="shared" si="25"/>
        <v>0</v>
      </c>
      <c r="Q34" s="46">
        <f t="shared" si="25"/>
        <v>0</v>
      </c>
      <c r="R34" s="46">
        <f t="shared" si="25"/>
        <v>0</v>
      </c>
      <c r="S34" s="46">
        <f t="shared" si="25"/>
        <v>0</v>
      </c>
      <c r="T34" s="46">
        <f t="shared" si="25"/>
        <v>0</v>
      </c>
      <c r="U34" s="46">
        <f t="shared" si="25"/>
        <v>0</v>
      </c>
      <c r="V34" s="46">
        <f t="shared" si="25"/>
        <v>0</v>
      </c>
      <c r="W34" s="46">
        <f t="shared" si="25"/>
        <v>0</v>
      </c>
      <c r="X34" s="46">
        <f t="shared" si="25"/>
        <v>0</v>
      </c>
      <c r="Y34" s="46">
        <f t="shared" si="25"/>
        <v>0</v>
      </c>
      <c r="Z34" s="46">
        <f t="shared" si="25"/>
        <v>0</v>
      </c>
      <c r="AA34" s="46">
        <f t="shared" si="25"/>
        <v>0</v>
      </c>
      <c r="AB34" s="46">
        <f t="shared" si="25"/>
        <v>0</v>
      </c>
      <c r="AC34" s="45">
        <f t="shared" si="1"/>
        <v>0</v>
      </c>
      <c r="AD34" s="46">
        <f t="shared" ref="AD34" si="26">SUM(AD35:AD38)</f>
        <v>0</v>
      </c>
      <c r="AE34" s="46">
        <f t="shared" ref="AE34" si="27">SUM(AE35:AE38)</f>
        <v>0</v>
      </c>
      <c r="AF34" s="46">
        <f t="shared" ref="AF34" si="28">SUM(AF35:AF38)</f>
        <v>0</v>
      </c>
      <c r="AG34" s="46">
        <f t="shared" ref="AG34" si="29">SUM(AG35:AG38)</f>
        <v>0</v>
      </c>
      <c r="AH34" s="45">
        <f t="shared" si="2"/>
        <v>0</v>
      </c>
      <c r="AI34" s="46">
        <f t="shared" ref="AI34" si="30">SUM(AI35:AI38)</f>
        <v>0</v>
      </c>
      <c r="AJ34" s="46">
        <f t="shared" ref="AJ34" si="31">SUM(AJ35:AJ38)</f>
        <v>0</v>
      </c>
      <c r="AK34" s="46">
        <f t="shared" ref="AK34" si="32">SUM(AK35:AK38)</f>
        <v>0</v>
      </c>
      <c r="AL34" s="46">
        <f t="shared" ref="AL34" si="33">SUM(AL35:AL38)</f>
        <v>0</v>
      </c>
      <c r="AM34" s="147">
        <f t="shared" si="3"/>
        <v>0</v>
      </c>
    </row>
    <row r="35" spans="7:39" ht="21" x14ac:dyDescent="0.15">
      <c r="G35" s="212" t="s">
        <v>68</v>
      </c>
      <c r="H35" s="142" t="s">
        <v>69</v>
      </c>
      <c r="I35" s="46">
        <f t="shared" si="0"/>
        <v>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45">
        <f t="shared" si="1"/>
        <v>0</v>
      </c>
      <c r="AD35" s="8"/>
      <c r="AE35" s="8"/>
      <c r="AF35" s="8"/>
      <c r="AG35" s="8"/>
      <c r="AH35" s="45">
        <f t="shared" si="2"/>
        <v>0</v>
      </c>
      <c r="AI35" s="8"/>
      <c r="AJ35" s="8"/>
      <c r="AK35" s="8"/>
      <c r="AL35" s="8"/>
      <c r="AM35" s="147">
        <f t="shared" si="3"/>
        <v>0</v>
      </c>
    </row>
    <row r="36" spans="7:39" x14ac:dyDescent="0.15">
      <c r="G36" s="212" t="s">
        <v>70</v>
      </c>
      <c r="H36" s="144" t="s">
        <v>71</v>
      </c>
      <c r="I36" s="46">
        <f t="shared" si="0"/>
        <v>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45">
        <f t="shared" si="1"/>
        <v>0</v>
      </c>
      <c r="AD36" s="8"/>
      <c r="AE36" s="8"/>
      <c r="AF36" s="8"/>
      <c r="AG36" s="8"/>
      <c r="AH36" s="45">
        <f t="shared" si="2"/>
        <v>0</v>
      </c>
      <c r="AI36" s="8"/>
      <c r="AJ36" s="8"/>
      <c r="AK36" s="8"/>
      <c r="AL36" s="8"/>
      <c r="AM36" s="147">
        <f t="shared" si="3"/>
        <v>0</v>
      </c>
    </row>
    <row r="37" spans="7:39" x14ac:dyDescent="0.15">
      <c r="G37" s="212" t="s">
        <v>72</v>
      </c>
      <c r="H37" s="144" t="s">
        <v>73</v>
      </c>
      <c r="I37" s="46">
        <f t="shared" si="0"/>
        <v>0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45">
        <f t="shared" si="1"/>
        <v>0</v>
      </c>
      <c r="AD37" s="8"/>
      <c r="AE37" s="8"/>
      <c r="AF37" s="8"/>
      <c r="AG37" s="8"/>
      <c r="AH37" s="45">
        <f t="shared" si="2"/>
        <v>0</v>
      </c>
      <c r="AI37" s="8"/>
      <c r="AJ37" s="8"/>
      <c r="AK37" s="8"/>
      <c r="AL37" s="8"/>
      <c r="AM37" s="147">
        <f t="shared" si="3"/>
        <v>0</v>
      </c>
    </row>
    <row r="38" spans="7:39" ht="21" x14ac:dyDescent="0.15">
      <c r="G38" s="212" t="s">
        <v>74</v>
      </c>
      <c r="H38" s="142" t="s">
        <v>75</v>
      </c>
      <c r="I38" s="46">
        <f t="shared" si="0"/>
        <v>0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45">
        <f t="shared" si="1"/>
        <v>0</v>
      </c>
      <c r="AD38" s="8"/>
      <c r="AE38" s="8"/>
      <c r="AF38" s="8"/>
      <c r="AG38" s="8"/>
      <c r="AH38" s="45">
        <f t="shared" si="2"/>
        <v>0</v>
      </c>
      <c r="AI38" s="8"/>
      <c r="AJ38" s="8"/>
      <c r="AK38" s="8"/>
      <c r="AL38" s="8"/>
      <c r="AM38" s="147">
        <f t="shared" si="3"/>
        <v>0</v>
      </c>
    </row>
    <row r="39" spans="7:39" x14ac:dyDescent="0.15">
      <c r="G39" s="211" t="s">
        <v>76</v>
      </c>
      <c r="H39" s="144" t="s">
        <v>77</v>
      </c>
      <c r="I39" s="46">
        <f t="shared" si="0"/>
        <v>0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45">
        <f t="shared" si="1"/>
        <v>0</v>
      </c>
      <c r="AD39" s="8"/>
      <c r="AE39" s="8"/>
      <c r="AF39" s="8"/>
      <c r="AG39" s="8"/>
      <c r="AH39" s="45">
        <f t="shared" si="2"/>
        <v>0</v>
      </c>
      <c r="AI39" s="8"/>
      <c r="AJ39" s="8"/>
      <c r="AK39" s="8"/>
      <c r="AL39" s="8"/>
      <c r="AM39" s="147">
        <f t="shared" si="3"/>
        <v>0</v>
      </c>
    </row>
    <row r="40" spans="7:39" x14ac:dyDescent="0.15">
      <c r="G40" s="211" t="s">
        <v>78</v>
      </c>
      <c r="H40" s="144" t="s">
        <v>79</v>
      </c>
      <c r="I40" s="46">
        <f t="shared" si="0"/>
        <v>0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45">
        <f t="shared" si="1"/>
        <v>0</v>
      </c>
      <c r="AD40" s="8"/>
      <c r="AE40" s="8"/>
      <c r="AF40" s="8"/>
      <c r="AG40" s="8"/>
      <c r="AH40" s="45">
        <f t="shared" si="2"/>
        <v>0</v>
      </c>
      <c r="AI40" s="8"/>
      <c r="AJ40" s="8"/>
      <c r="AK40" s="8"/>
      <c r="AL40" s="8"/>
      <c r="AM40" s="147">
        <f t="shared" si="3"/>
        <v>0</v>
      </c>
    </row>
    <row r="41" spans="7:39" x14ac:dyDescent="0.15">
      <c r="G41" s="211" t="s">
        <v>80</v>
      </c>
      <c r="H41" s="142" t="s">
        <v>81</v>
      </c>
      <c r="I41" s="46">
        <f t="shared" si="0"/>
        <v>0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45">
        <f t="shared" si="1"/>
        <v>0</v>
      </c>
      <c r="AD41" s="8"/>
      <c r="AE41" s="8"/>
      <c r="AF41" s="8"/>
      <c r="AG41" s="8"/>
      <c r="AH41" s="45">
        <f t="shared" si="2"/>
        <v>0</v>
      </c>
      <c r="AI41" s="8"/>
      <c r="AJ41" s="8"/>
      <c r="AK41" s="8"/>
      <c r="AL41" s="8"/>
      <c r="AM41" s="147">
        <f t="shared" si="3"/>
        <v>0</v>
      </c>
    </row>
    <row r="42" spans="7:39" x14ac:dyDescent="0.15">
      <c r="G42" s="211" t="s">
        <v>82</v>
      </c>
      <c r="H42" s="144" t="s">
        <v>83</v>
      </c>
      <c r="I42" s="46">
        <f t="shared" si="0"/>
        <v>0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45">
        <f t="shared" si="1"/>
        <v>0</v>
      </c>
      <c r="AD42" s="8"/>
      <c r="AE42" s="8"/>
      <c r="AF42" s="8"/>
      <c r="AG42" s="8"/>
      <c r="AH42" s="45">
        <f t="shared" si="2"/>
        <v>0</v>
      </c>
      <c r="AI42" s="8"/>
      <c r="AJ42" s="8"/>
      <c r="AK42" s="8"/>
      <c r="AL42" s="8"/>
      <c r="AM42" s="147">
        <f t="shared" si="3"/>
        <v>0</v>
      </c>
    </row>
    <row r="43" spans="7:39" x14ac:dyDescent="0.15">
      <c r="G43" s="211" t="s">
        <v>84</v>
      </c>
      <c r="H43" s="144" t="s">
        <v>85</v>
      </c>
      <c r="I43" s="46">
        <f t="shared" si="0"/>
        <v>0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45">
        <f t="shared" si="1"/>
        <v>0</v>
      </c>
      <c r="AD43" s="8"/>
      <c r="AE43" s="8"/>
      <c r="AF43" s="8"/>
      <c r="AG43" s="8"/>
      <c r="AH43" s="45">
        <f t="shared" si="2"/>
        <v>0</v>
      </c>
      <c r="AI43" s="8"/>
      <c r="AJ43" s="8"/>
      <c r="AK43" s="8"/>
      <c r="AL43" s="8"/>
      <c r="AM43" s="147">
        <f t="shared" si="3"/>
        <v>0</v>
      </c>
    </row>
    <row r="44" spans="7:39" x14ac:dyDescent="0.15">
      <c r="G44" s="211" t="s">
        <v>86</v>
      </c>
      <c r="H44" s="142" t="s">
        <v>87</v>
      </c>
      <c r="I44" s="46">
        <f t="shared" si="0"/>
        <v>0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45">
        <f t="shared" si="1"/>
        <v>0</v>
      </c>
      <c r="AD44" s="6"/>
      <c r="AE44" s="6"/>
      <c r="AF44" s="6"/>
      <c r="AG44" s="6"/>
      <c r="AH44" s="45">
        <f t="shared" si="2"/>
        <v>0</v>
      </c>
      <c r="AI44" s="6"/>
      <c r="AJ44" s="6"/>
      <c r="AK44" s="6"/>
      <c r="AL44" s="6"/>
      <c r="AM44" s="147">
        <f t="shared" si="3"/>
        <v>0</v>
      </c>
    </row>
    <row r="45" spans="7:39" x14ac:dyDescent="0.15">
      <c r="G45" s="211" t="s">
        <v>88</v>
      </c>
      <c r="H45" s="144" t="s">
        <v>89</v>
      </c>
      <c r="I45" s="46">
        <f t="shared" si="0"/>
        <v>0</v>
      </c>
      <c r="J45" s="46">
        <f t="shared" ref="J45:L45" si="34">SUM(J46:J51)</f>
        <v>0</v>
      </c>
      <c r="K45" s="46">
        <f t="shared" si="34"/>
        <v>0</v>
      </c>
      <c r="L45" s="46">
        <f t="shared" si="34"/>
        <v>0</v>
      </c>
      <c r="M45" s="46">
        <f>SUM(M46:M51)</f>
        <v>0</v>
      </c>
      <c r="N45" s="46">
        <f t="shared" ref="N45:AB45" si="35">SUM(N46:N51)</f>
        <v>0</v>
      </c>
      <c r="O45" s="46">
        <f t="shared" si="35"/>
        <v>0</v>
      </c>
      <c r="P45" s="46">
        <f t="shared" si="35"/>
        <v>0</v>
      </c>
      <c r="Q45" s="46">
        <f t="shared" si="35"/>
        <v>0</v>
      </c>
      <c r="R45" s="46">
        <f t="shared" si="35"/>
        <v>0</v>
      </c>
      <c r="S45" s="46">
        <f t="shared" si="35"/>
        <v>0</v>
      </c>
      <c r="T45" s="46">
        <f t="shared" si="35"/>
        <v>0</v>
      </c>
      <c r="U45" s="46">
        <f t="shared" si="35"/>
        <v>0</v>
      </c>
      <c r="V45" s="46">
        <f t="shared" si="35"/>
        <v>0</v>
      </c>
      <c r="W45" s="46">
        <f t="shared" si="35"/>
        <v>0</v>
      </c>
      <c r="X45" s="46">
        <f t="shared" si="35"/>
        <v>0</v>
      </c>
      <c r="Y45" s="46">
        <f t="shared" si="35"/>
        <v>0</v>
      </c>
      <c r="Z45" s="46">
        <f t="shared" si="35"/>
        <v>0</v>
      </c>
      <c r="AA45" s="46">
        <f t="shared" si="35"/>
        <v>0</v>
      </c>
      <c r="AB45" s="46">
        <f t="shared" si="35"/>
        <v>0</v>
      </c>
      <c r="AC45" s="45">
        <f t="shared" si="1"/>
        <v>0</v>
      </c>
      <c r="AD45" s="46">
        <f t="shared" ref="AD45" si="36">SUM(AD46:AD51)</f>
        <v>0</v>
      </c>
      <c r="AE45" s="46">
        <f t="shared" ref="AE45" si="37">SUM(AE46:AE51)</f>
        <v>0</v>
      </c>
      <c r="AF45" s="46">
        <f t="shared" ref="AF45" si="38">SUM(AF46:AF51)</f>
        <v>0</v>
      </c>
      <c r="AG45" s="46">
        <f t="shared" ref="AG45" si="39">SUM(AG46:AG51)</f>
        <v>0</v>
      </c>
      <c r="AH45" s="45">
        <f t="shared" si="2"/>
        <v>0</v>
      </c>
      <c r="AI45" s="46">
        <f t="shared" ref="AI45" si="40">SUM(AI46:AI51)</f>
        <v>0</v>
      </c>
      <c r="AJ45" s="46">
        <f t="shared" ref="AJ45" si="41">SUM(AJ46:AJ51)</f>
        <v>0</v>
      </c>
      <c r="AK45" s="46">
        <f t="shared" ref="AK45" si="42">SUM(AK46:AK51)</f>
        <v>0</v>
      </c>
      <c r="AL45" s="46">
        <f t="shared" ref="AL45" si="43">SUM(AL46:AL51)</f>
        <v>0</v>
      </c>
      <c r="AM45" s="147">
        <f t="shared" si="3"/>
        <v>0</v>
      </c>
    </row>
    <row r="46" spans="7:39" ht="21" x14ac:dyDescent="0.15">
      <c r="G46" s="212" t="s">
        <v>90</v>
      </c>
      <c r="H46" s="144" t="s">
        <v>91</v>
      </c>
      <c r="I46" s="46">
        <f t="shared" si="0"/>
        <v>0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45">
        <f t="shared" si="1"/>
        <v>0</v>
      </c>
      <c r="AD46" s="8"/>
      <c r="AE46" s="8"/>
      <c r="AF46" s="8"/>
      <c r="AG46" s="8"/>
      <c r="AH46" s="45">
        <f t="shared" si="2"/>
        <v>0</v>
      </c>
      <c r="AI46" s="8"/>
      <c r="AJ46" s="8"/>
      <c r="AK46" s="8"/>
      <c r="AL46" s="8"/>
      <c r="AM46" s="147">
        <f t="shared" si="3"/>
        <v>0</v>
      </c>
    </row>
    <row r="47" spans="7:39" x14ac:dyDescent="0.15">
      <c r="G47" s="212" t="s">
        <v>92</v>
      </c>
      <c r="H47" s="142" t="s">
        <v>93</v>
      </c>
      <c r="I47" s="46">
        <f t="shared" si="0"/>
        <v>0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45">
        <f t="shared" si="1"/>
        <v>0</v>
      </c>
      <c r="AD47" s="8"/>
      <c r="AE47" s="8"/>
      <c r="AF47" s="8"/>
      <c r="AG47" s="8"/>
      <c r="AH47" s="45">
        <f t="shared" si="2"/>
        <v>0</v>
      </c>
      <c r="AI47" s="8"/>
      <c r="AJ47" s="8"/>
      <c r="AK47" s="8"/>
      <c r="AL47" s="8"/>
      <c r="AM47" s="147">
        <f t="shared" si="3"/>
        <v>0</v>
      </c>
    </row>
    <row r="48" spans="7:39" x14ac:dyDescent="0.15">
      <c r="G48" s="212" t="s">
        <v>94</v>
      </c>
      <c r="H48" s="144" t="s">
        <v>95</v>
      </c>
      <c r="I48" s="46">
        <f t="shared" si="0"/>
        <v>0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45">
        <f t="shared" si="1"/>
        <v>0</v>
      </c>
      <c r="AD48" s="8"/>
      <c r="AE48" s="8"/>
      <c r="AF48" s="8"/>
      <c r="AG48" s="8"/>
      <c r="AH48" s="45">
        <f t="shared" si="2"/>
        <v>0</v>
      </c>
      <c r="AI48" s="8"/>
      <c r="AJ48" s="8"/>
      <c r="AK48" s="8"/>
      <c r="AL48" s="8"/>
      <c r="AM48" s="147">
        <f t="shared" si="3"/>
        <v>0</v>
      </c>
    </row>
    <row r="49" spans="7:39" x14ac:dyDescent="0.15">
      <c r="G49" s="212" t="s">
        <v>96</v>
      </c>
      <c r="H49" s="144" t="s">
        <v>97</v>
      </c>
      <c r="I49" s="46">
        <f t="shared" si="0"/>
        <v>0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45">
        <f t="shared" si="1"/>
        <v>0</v>
      </c>
      <c r="AD49" s="8"/>
      <c r="AE49" s="8"/>
      <c r="AF49" s="8"/>
      <c r="AG49" s="8"/>
      <c r="AH49" s="45">
        <f t="shared" si="2"/>
        <v>0</v>
      </c>
      <c r="AI49" s="8"/>
      <c r="AJ49" s="8"/>
      <c r="AK49" s="8"/>
      <c r="AL49" s="8"/>
      <c r="AM49" s="147">
        <f t="shared" si="3"/>
        <v>0</v>
      </c>
    </row>
    <row r="50" spans="7:39" x14ac:dyDescent="0.15">
      <c r="G50" s="212" t="s">
        <v>98</v>
      </c>
      <c r="H50" s="142" t="s">
        <v>99</v>
      </c>
      <c r="I50" s="46">
        <f t="shared" si="0"/>
        <v>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45">
        <f t="shared" si="1"/>
        <v>0</v>
      </c>
      <c r="AD50" s="6"/>
      <c r="AE50" s="6"/>
      <c r="AF50" s="6"/>
      <c r="AG50" s="6"/>
      <c r="AH50" s="45">
        <f t="shared" si="2"/>
        <v>0</v>
      </c>
      <c r="AI50" s="6"/>
      <c r="AJ50" s="6"/>
      <c r="AK50" s="6"/>
      <c r="AL50" s="6"/>
      <c r="AM50" s="147">
        <f t="shared" si="3"/>
        <v>0</v>
      </c>
    </row>
    <row r="51" spans="7:39" x14ac:dyDescent="0.15">
      <c r="G51" s="212" t="s">
        <v>100</v>
      </c>
      <c r="H51" s="144" t="s">
        <v>101</v>
      </c>
      <c r="I51" s="46">
        <f t="shared" si="0"/>
        <v>0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45">
        <f t="shared" si="1"/>
        <v>0</v>
      </c>
      <c r="AD51" s="6"/>
      <c r="AE51" s="6"/>
      <c r="AF51" s="6"/>
      <c r="AG51" s="6"/>
      <c r="AH51" s="45">
        <f t="shared" si="2"/>
        <v>0</v>
      </c>
      <c r="AI51" s="6"/>
      <c r="AJ51" s="6"/>
      <c r="AK51" s="6"/>
      <c r="AL51" s="6"/>
      <c r="AM51" s="147">
        <f t="shared" si="3"/>
        <v>0</v>
      </c>
    </row>
    <row r="52" spans="7:39" x14ac:dyDescent="0.15">
      <c r="G52" s="211" t="s">
        <v>102</v>
      </c>
      <c r="H52" s="144" t="s">
        <v>638</v>
      </c>
      <c r="I52" s="46">
        <f t="shared" si="0"/>
        <v>0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45">
        <f t="shared" si="1"/>
        <v>0</v>
      </c>
      <c r="AD52" s="6"/>
      <c r="AE52" s="6"/>
      <c r="AF52" s="6"/>
      <c r="AG52" s="6"/>
      <c r="AH52" s="45">
        <f t="shared" si="2"/>
        <v>0</v>
      </c>
      <c r="AI52" s="6"/>
      <c r="AJ52" s="6"/>
      <c r="AK52" s="6"/>
      <c r="AL52" s="6"/>
      <c r="AM52" s="147">
        <f t="shared" si="3"/>
        <v>0</v>
      </c>
    </row>
    <row r="53" spans="7:39" x14ac:dyDescent="0.15">
      <c r="G53" s="211" t="s">
        <v>103</v>
      </c>
      <c r="H53" s="142" t="s">
        <v>104</v>
      </c>
      <c r="I53" s="46">
        <f t="shared" si="0"/>
        <v>0</v>
      </c>
      <c r="J53" s="46">
        <f t="shared" ref="J53:L53" si="44">SUM(J54:J55)</f>
        <v>0</v>
      </c>
      <c r="K53" s="46">
        <f t="shared" si="44"/>
        <v>0</v>
      </c>
      <c r="L53" s="46">
        <f t="shared" si="44"/>
        <v>0</v>
      </c>
      <c r="M53" s="46">
        <f>SUM(M54:M55)</f>
        <v>0</v>
      </c>
      <c r="N53" s="46">
        <f t="shared" ref="N53:AB53" si="45">SUM(N54:N55)</f>
        <v>0</v>
      </c>
      <c r="O53" s="46">
        <f t="shared" si="45"/>
        <v>0</v>
      </c>
      <c r="P53" s="46">
        <f t="shared" si="45"/>
        <v>0</v>
      </c>
      <c r="Q53" s="46">
        <f t="shared" si="45"/>
        <v>0</v>
      </c>
      <c r="R53" s="46">
        <f t="shared" si="45"/>
        <v>0</v>
      </c>
      <c r="S53" s="46">
        <f t="shared" si="45"/>
        <v>0</v>
      </c>
      <c r="T53" s="46">
        <f t="shared" si="45"/>
        <v>0</v>
      </c>
      <c r="U53" s="46">
        <f t="shared" si="45"/>
        <v>0</v>
      </c>
      <c r="V53" s="46">
        <f t="shared" si="45"/>
        <v>0</v>
      </c>
      <c r="W53" s="46">
        <f t="shared" si="45"/>
        <v>0</v>
      </c>
      <c r="X53" s="46">
        <f t="shared" si="45"/>
        <v>0</v>
      </c>
      <c r="Y53" s="46">
        <f t="shared" si="45"/>
        <v>0</v>
      </c>
      <c r="Z53" s="46">
        <f t="shared" si="45"/>
        <v>0</v>
      </c>
      <c r="AA53" s="46">
        <f t="shared" si="45"/>
        <v>0</v>
      </c>
      <c r="AB53" s="46">
        <f t="shared" si="45"/>
        <v>0</v>
      </c>
      <c r="AC53" s="45">
        <f t="shared" si="1"/>
        <v>0</v>
      </c>
      <c r="AD53" s="46">
        <f t="shared" ref="AD53" si="46">SUM(AD54:AD55)</f>
        <v>0</v>
      </c>
      <c r="AE53" s="46">
        <f t="shared" ref="AE53" si="47">SUM(AE54:AE55)</f>
        <v>0</v>
      </c>
      <c r="AF53" s="46">
        <f t="shared" ref="AF53" si="48">SUM(AF54:AF55)</f>
        <v>0</v>
      </c>
      <c r="AG53" s="46">
        <f t="shared" ref="AG53" si="49">SUM(AG54:AG55)</f>
        <v>0</v>
      </c>
      <c r="AH53" s="45">
        <f t="shared" si="2"/>
        <v>0</v>
      </c>
      <c r="AI53" s="46">
        <f t="shared" ref="AI53" si="50">SUM(AI54:AI55)</f>
        <v>0</v>
      </c>
      <c r="AJ53" s="46">
        <f t="shared" ref="AJ53" si="51">SUM(AJ54:AJ55)</f>
        <v>0</v>
      </c>
      <c r="AK53" s="46">
        <f t="shared" ref="AK53" si="52">SUM(AK54:AK55)</f>
        <v>0</v>
      </c>
      <c r="AL53" s="46">
        <f t="shared" ref="AL53" si="53">SUM(AL54:AL55)</f>
        <v>0</v>
      </c>
      <c r="AM53" s="147">
        <f t="shared" si="3"/>
        <v>0</v>
      </c>
    </row>
    <row r="54" spans="7:39" ht="21" x14ac:dyDescent="0.15">
      <c r="G54" s="212" t="s">
        <v>866</v>
      </c>
      <c r="H54" s="144" t="s">
        <v>105</v>
      </c>
      <c r="I54" s="46">
        <f t="shared" si="0"/>
        <v>0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45">
        <f t="shared" si="1"/>
        <v>0</v>
      </c>
      <c r="AD54" s="6"/>
      <c r="AE54" s="6"/>
      <c r="AF54" s="6"/>
      <c r="AG54" s="6"/>
      <c r="AH54" s="45">
        <f t="shared" si="2"/>
        <v>0</v>
      </c>
      <c r="AI54" s="6"/>
      <c r="AJ54" s="6"/>
      <c r="AK54" s="6"/>
      <c r="AL54" s="6"/>
      <c r="AM54" s="147">
        <f t="shared" si="3"/>
        <v>0</v>
      </c>
    </row>
    <row r="55" spans="7:39" ht="21" x14ac:dyDescent="0.15">
      <c r="G55" s="212" t="s">
        <v>106</v>
      </c>
      <c r="H55" s="144" t="s">
        <v>107</v>
      </c>
      <c r="I55" s="46">
        <f t="shared" si="0"/>
        <v>0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45">
        <f t="shared" si="1"/>
        <v>0</v>
      </c>
      <c r="AD55" s="6"/>
      <c r="AE55" s="6"/>
      <c r="AF55" s="6"/>
      <c r="AG55" s="6"/>
      <c r="AH55" s="45">
        <f t="shared" si="2"/>
        <v>0</v>
      </c>
      <c r="AI55" s="6"/>
      <c r="AJ55" s="6"/>
      <c r="AK55" s="6"/>
      <c r="AL55" s="6"/>
      <c r="AM55" s="147">
        <f t="shared" si="3"/>
        <v>0</v>
      </c>
    </row>
    <row r="56" spans="7:39" x14ac:dyDescent="0.15">
      <c r="G56" s="211" t="s">
        <v>108</v>
      </c>
      <c r="H56" s="142" t="s">
        <v>109</v>
      </c>
      <c r="I56" s="46">
        <f t="shared" si="0"/>
        <v>0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45">
        <f t="shared" si="1"/>
        <v>0</v>
      </c>
      <c r="AD56" s="6"/>
      <c r="AE56" s="6"/>
      <c r="AF56" s="6"/>
      <c r="AG56" s="6"/>
      <c r="AH56" s="45">
        <f t="shared" si="2"/>
        <v>0</v>
      </c>
      <c r="AI56" s="6"/>
      <c r="AJ56" s="6"/>
      <c r="AK56" s="6"/>
      <c r="AL56" s="6"/>
      <c r="AM56" s="147">
        <f t="shared" si="3"/>
        <v>0</v>
      </c>
    </row>
    <row r="57" spans="7:39" x14ac:dyDescent="0.15">
      <c r="G57" s="211" t="s">
        <v>110</v>
      </c>
      <c r="H57" s="144" t="s">
        <v>111</v>
      </c>
      <c r="I57" s="46">
        <f t="shared" si="0"/>
        <v>0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45">
        <f t="shared" si="1"/>
        <v>0</v>
      </c>
      <c r="AD57" s="8"/>
      <c r="AE57" s="8"/>
      <c r="AF57" s="8"/>
      <c r="AG57" s="8"/>
      <c r="AH57" s="45">
        <f t="shared" si="2"/>
        <v>0</v>
      </c>
      <c r="AI57" s="8"/>
      <c r="AJ57" s="8"/>
      <c r="AK57" s="8"/>
      <c r="AL57" s="8"/>
      <c r="AM57" s="147">
        <f t="shared" si="3"/>
        <v>0</v>
      </c>
    </row>
    <row r="58" spans="7:39" x14ac:dyDescent="0.15">
      <c r="G58" s="211" t="s">
        <v>112</v>
      </c>
      <c r="H58" s="144" t="s">
        <v>113</v>
      </c>
      <c r="I58" s="46">
        <f t="shared" si="0"/>
        <v>0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45">
        <f t="shared" si="1"/>
        <v>0</v>
      </c>
      <c r="AD58" s="6"/>
      <c r="AE58" s="6"/>
      <c r="AF58" s="6"/>
      <c r="AG58" s="6"/>
      <c r="AH58" s="45">
        <f t="shared" si="2"/>
        <v>0</v>
      </c>
      <c r="AI58" s="6"/>
      <c r="AJ58" s="6"/>
      <c r="AK58" s="6"/>
      <c r="AL58" s="6"/>
      <c r="AM58" s="147">
        <f t="shared" si="3"/>
        <v>0</v>
      </c>
    </row>
    <row r="59" spans="7:39" x14ac:dyDescent="0.15">
      <c r="G59" s="211" t="s">
        <v>114</v>
      </c>
      <c r="H59" s="142" t="s">
        <v>115</v>
      </c>
      <c r="I59" s="46">
        <f t="shared" si="0"/>
        <v>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45">
        <f t="shared" si="1"/>
        <v>0</v>
      </c>
      <c r="AD59" s="6"/>
      <c r="AE59" s="6"/>
      <c r="AF59" s="6"/>
      <c r="AG59" s="6"/>
      <c r="AH59" s="45">
        <f t="shared" si="2"/>
        <v>0</v>
      </c>
      <c r="AI59" s="6"/>
      <c r="AJ59" s="6"/>
      <c r="AK59" s="6"/>
      <c r="AL59" s="6"/>
      <c r="AM59" s="147">
        <f t="shared" si="3"/>
        <v>0</v>
      </c>
    </row>
    <row r="60" spans="7:39" x14ac:dyDescent="0.15">
      <c r="G60" s="211" t="s">
        <v>116</v>
      </c>
      <c r="H60" s="144" t="s">
        <v>117</v>
      </c>
      <c r="I60" s="46">
        <f t="shared" si="0"/>
        <v>0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45">
        <f t="shared" si="1"/>
        <v>0</v>
      </c>
      <c r="AD60" s="6"/>
      <c r="AE60" s="6"/>
      <c r="AF60" s="6"/>
      <c r="AG60" s="6"/>
      <c r="AH60" s="45">
        <f t="shared" si="2"/>
        <v>0</v>
      </c>
      <c r="AI60" s="6"/>
      <c r="AJ60" s="6"/>
      <c r="AK60" s="6"/>
      <c r="AL60" s="6"/>
      <c r="AM60" s="147">
        <f t="shared" si="3"/>
        <v>0</v>
      </c>
    </row>
    <row r="61" spans="7:39" x14ac:dyDescent="0.15">
      <c r="G61" s="211" t="s">
        <v>118</v>
      </c>
      <c r="H61" s="144" t="s">
        <v>119</v>
      </c>
      <c r="I61" s="46">
        <f t="shared" si="0"/>
        <v>0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45">
        <f t="shared" si="1"/>
        <v>0</v>
      </c>
      <c r="AD61" s="6"/>
      <c r="AE61" s="6"/>
      <c r="AF61" s="6"/>
      <c r="AG61" s="6"/>
      <c r="AH61" s="45">
        <f t="shared" si="2"/>
        <v>0</v>
      </c>
      <c r="AI61" s="6"/>
      <c r="AJ61" s="6"/>
      <c r="AK61" s="6"/>
      <c r="AL61" s="6"/>
      <c r="AM61" s="147">
        <f t="shared" si="3"/>
        <v>0</v>
      </c>
    </row>
    <row r="62" spans="7:39" x14ac:dyDescent="0.15">
      <c r="G62" s="211" t="s">
        <v>120</v>
      </c>
      <c r="H62" s="142" t="s">
        <v>121</v>
      </c>
      <c r="I62" s="46">
        <f t="shared" si="0"/>
        <v>0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45">
        <f t="shared" si="1"/>
        <v>0</v>
      </c>
      <c r="AD62" s="6"/>
      <c r="AE62" s="6"/>
      <c r="AF62" s="6"/>
      <c r="AG62" s="6"/>
      <c r="AH62" s="45">
        <f t="shared" si="2"/>
        <v>0</v>
      </c>
      <c r="AI62" s="6"/>
      <c r="AJ62" s="6"/>
      <c r="AK62" s="6"/>
      <c r="AL62" s="6"/>
      <c r="AM62" s="147">
        <f t="shared" si="3"/>
        <v>0</v>
      </c>
    </row>
    <row r="63" spans="7:39" x14ac:dyDescent="0.15">
      <c r="G63" s="211" t="s">
        <v>122</v>
      </c>
      <c r="H63" s="144" t="s">
        <v>123</v>
      </c>
      <c r="I63" s="46">
        <f t="shared" si="0"/>
        <v>0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45">
        <f t="shared" si="1"/>
        <v>0</v>
      </c>
      <c r="AD63" s="6"/>
      <c r="AE63" s="6"/>
      <c r="AF63" s="6"/>
      <c r="AG63" s="6"/>
      <c r="AH63" s="45">
        <f t="shared" si="2"/>
        <v>0</v>
      </c>
      <c r="AI63" s="6"/>
      <c r="AJ63" s="6"/>
      <c r="AK63" s="6"/>
      <c r="AL63" s="6"/>
      <c r="AM63" s="147">
        <f t="shared" si="3"/>
        <v>0</v>
      </c>
    </row>
    <row r="64" spans="7:39" x14ac:dyDescent="0.15">
      <c r="G64" s="211" t="s">
        <v>124</v>
      </c>
      <c r="H64" s="144" t="s">
        <v>125</v>
      </c>
      <c r="I64" s="46">
        <f t="shared" si="0"/>
        <v>0</v>
      </c>
      <c r="J64" s="46">
        <f t="shared" ref="J64:L64" si="54">SUM(J65:J67)</f>
        <v>0</v>
      </c>
      <c r="K64" s="46">
        <f t="shared" si="54"/>
        <v>0</v>
      </c>
      <c r="L64" s="46">
        <f t="shared" si="54"/>
        <v>0</v>
      </c>
      <c r="M64" s="46">
        <f>SUM(M65:M67)</f>
        <v>0</v>
      </c>
      <c r="N64" s="46">
        <f t="shared" ref="N64:AB64" si="55">SUM(N65:N67)</f>
        <v>0</v>
      </c>
      <c r="O64" s="46">
        <f t="shared" si="55"/>
        <v>0</v>
      </c>
      <c r="P64" s="46">
        <f t="shared" si="55"/>
        <v>0</v>
      </c>
      <c r="Q64" s="46">
        <f t="shared" si="55"/>
        <v>0</v>
      </c>
      <c r="R64" s="46">
        <f t="shared" si="55"/>
        <v>0</v>
      </c>
      <c r="S64" s="46">
        <f t="shared" si="55"/>
        <v>0</v>
      </c>
      <c r="T64" s="46">
        <f t="shared" si="55"/>
        <v>0</v>
      </c>
      <c r="U64" s="46">
        <f t="shared" si="55"/>
        <v>0</v>
      </c>
      <c r="V64" s="46">
        <f t="shared" si="55"/>
        <v>0</v>
      </c>
      <c r="W64" s="46">
        <f t="shared" si="55"/>
        <v>0</v>
      </c>
      <c r="X64" s="46">
        <f t="shared" si="55"/>
        <v>0</v>
      </c>
      <c r="Y64" s="46">
        <f t="shared" si="55"/>
        <v>0</v>
      </c>
      <c r="Z64" s="46">
        <f t="shared" si="55"/>
        <v>0</v>
      </c>
      <c r="AA64" s="46">
        <f t="shared" si="55"/>
        <v>0</v>
      </c>
      <c r="AB64" s="46">
        <f t="shared" si="55"/>
        <v>0</v>
      </c>
      <c r="AC64" s="45">
        <f t="shared" si="1"/>
        <v>0</v>
      </c>
      <c r="AD64" s="46">
        <f t="shared" ref="AD64" si="56">SUM(AD65:AD67)</f>
        <v>0</v>
      </c>
      <c r="AE64" s="46">
        <f t="shared" ref="AE64" si="57">SUM(AE65:AE67)</f>
        <v>0</v>
      </c>
      <c r="AF64" s="46">
        <f t="shared" ref="AF64" si="58">SUM(AF65:AF67)</f>
        <v>0</v>
      </c>
      <c r="AG64" s="46">
        <f t="shared" ref="AG64" si="59">SUM(AG65:AG67)</f>
        <v>0</v>
      </c>
      <c r="AH64" s="45">
        <f t="shared" si="2"/>
        <v>0</v>
      </c>
      <c r="AI64" s="46">
        <f t="shared" ref="AI64" si="60">SUM(AI65:AI67)</f>
        <v>0</v>
      </c>
      <c r="AJ64" s="46">
        <f t="shared" ref="AJ64" si="61">SUM(AJ65:AJ67)</f>
        <v>0</v>
      </c>
      <c r="AK64" s="46">
        <f t="shared" ref="AK64" si="62">SUM(AK65:AK67)</f>
        <v>0</v>
      </c>
      <c r="AL64" s="46">
        <f t="shared" ref="AL64" si="63">SUM(AL65:AL67)</f>
        <v>0</v>
      </c>
      <c r="AM64" s="147">
        <f t="shared" si="3"/>
        <v>0</v>
      </c>
    </row>
    <row r="65" spans="7:39" ht="21" x14ac:dyDescent="0.15">
      <c r="G65" s="212" t="s">
        <v>867</v>
      </c>
      <c r="H65" s="142" t="s">
        <v>126</v>
      </c>
      <c r="I65" s="46">
        <f t="shared" si="0"/>
        <v>0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45">
        <f t="shared" si="1"/>
        <v>0</v>
      </c>
      <c r="AD65" s="6"/>
      <c r="AE65" s="6"/>
      <c r="AF65" s="6"/>
      <c r="AG65" s="6"/>
      <c r="AH65" s="45">
        <f t="shared" si="2"/>
        <v>0</v>
      </c>
      <c r="AI65" s="6"/>
      <c r="AJ65" s="6"/>
      <c r="AK65" s="6"/>
      <c r="AL65" s="6"/>
      <c r="AM65" s="147">
        <f t="shared" si="3"/>
        <v>0</v>
      </c>
    </row>
    <row r="66" spans="7:39" x14ac:dyDescent="0.15">
      <c r="G66" s="212" t="s">
        <v>127</v>
      </c>
      <c r="H66" s="144" t="s">
        <v>128</v>
      </c>
      <c r="I66" s="46">
        <f t="shared" si="0"/>
        <v>0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45">
        <f t="shared" si="1"/>
        <v>0</v>
      </c>
      <c r="AD66" s="6"/>
      <c r="AE66" s="6"/>
      <c r="AF66" s="6"/>
      <c r="AG66" s="6"/>
      <c r="AH66" s="45">
        <f t="shared" si="2"/>
        <v>0</v>
      </c>
      <c r="AI66" s="6"/>
      <c r="AJ66" s="6"/>
      <c r="AK66" s="6"/>
      <c r="AL66" s="6"/>
      <c r="AM66" s="147">
        <f t="shared" si="3"/>
        <v>0</v>
      </c>
    </row>
    <row r="67" spans="7:39" x14ac:dyDescent="0.15">
      <c r="G67" s="212" t="s">
        <v>129</v>
      </c>
      <c r="H67" s="144" t="s">
        <v>130</v>
      </c>
      <c r="I67" s="46">
        <f t="shared" si="0"/>
        <v>0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45">
        <f t="shared" si="1"/>
        <v>0</v>
      </c>
      <c r="AD67" s="6"/>
      <c r="AE67" s="6"/>
      <c r="AF67" s="6"/>
      <c r="AG67" s="6"/>
      <c r="AH67" s="45">
        <f t="shared" si="2"/>
        <v>0</v>
      </c>
      <c r="AI67" s="6"/>
      <c r="AJ67" s="6"/>
      <c r="AK67" s="6"/>
      <c r="AL67" s="6"/>
      <c r="AM67" s="147">
        <f t="shared" si="3"/>
        <v>0</v>
      </c>
    </row>
    <row r="68" spans="7:39" x14ac:dyDescent="0.15">
      <c r="G68" s="211" t="s">
        <v>131</v>
      </c>
      <c r="H68" s="142" t="s">
        <v>132</v>
      </c>
      <c r="I68" s="46">
        <f t="shared" si="0"/>
        <v>0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45">
        <f t="shared" si="1"/>
        <v>0</v>
      </c>
      <c r="AD68" s="6"/>
      <c r="AE68" s="6"/>
      <c r="AF68" s="6"/>
      <c r="AG68" s="6"/>
      <c r="AH68" s="45">
        <f t="shared" si="2"/>
        <v>0</v>
      </c>
      <c r="AI68" s="6"/>
      <c r="AJ68" s="6"/>
      <c r="AK68" s="6"/>
      <c r="AL68" s="6"/>
      <c r="AM68" s="147">
        <f t="shared" si="3"/>
        <v>0</v>
      </c>
    </row>
    <row r="69" spans="7:39" x14ac:dyDescent="0.15">
      <c r="G69" s="211" t="s">
        <v>133</v>
      </c>
      <c r="H69" s="144" t="s">
        <v>134</v>
      </c>
      <c r="I69" s="46">
        <f t="shared" si="0"/>
        <v>0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45">
        <f t="shared" si="1"/>
        <v>0</v>
      </c>
      <c r="AD69" s="6"/>
      <c r="AE69" s="6"/>
      <c r="AF69" s="6"/>
      <c r="AG69" s="6"/>
      <c r="AH69" s="45">
        <f t="shared" si="2"/>
        <v>0</v>
      </c>
      <c r="AI69" s="6"/>
      <c r="AJ69" s="6"/>
      <c r="AK69" s="6"/>
      <c r="AL69" s="6"/>
      <c r="AM69" s="147">
        <f t="shared" si="3"/>
        <v>0</v>
      </c>
    </row>
    <row r="70" spans="7:39" x14ac:dyDescent="0.15">
      <c r="G70" s="211" t="s">
        <v>135</v>
      </c>
      <c r="H70" s="144" t="s">
        <v>136</v>
      </c>
      <c r="I70" s="46">
        <f t="shared" si="0"/>
        <v>0</v>
      </c>
      <c r="J70" s="46">
        <f t="shared" ref="J70:L70" si="64">SUM(J71:J72)</f>
        <v>0</v>
      </c>
      <c r="K70" s="46">
        <f t="shared" si="64"/>
        <v>0</v>
      </c>
      <c r="L70" s="46">
        <f t="shared" si="64"/>
        <v>0</v>
      </c>
      <c r="M70" s="46">
        <f>SUM(M71:M72)</f>
        <v>0</v>
      </c>
      <c r="N70" s="46">
        <f t="shared" ref="N70:AB70" si="65">SUM(N71:N72)</f>
        <v>0</v>
      </c>
      <c r="O70" s="46">
        <f t="shared" si="65"/>
        <v>0</v>
      </c>
      <c r="P70" s="46">
        <f t="shared" si="65"/>
        <v>0</v>
      </c>
      <c r="Q70" s="46">
        <f t="shared" si="65"/>
        <v>0</v>
      </c>
      <c r="R70" s="46">
        <f t="shared" si="65"/>
        <v>0</v>
      </c>
      <c r="S70" s="46">
        <f t="shared" si="65"/>
        <v>0</v>
      </c>
      <c r="T70" s="46">
        <f t="shared" si="65"/>
        <v>0</v>
      </c>
      <c r="U70" s="46">
        <f t="shared" si="65"/>
        <v>0</v>
      </c>
      <c r="V70" s="46">
        <f t="shared" si="65"/>
        <v>0</v>
      </c>
      <c r="W70" s="46">
        <f t="shared" si="65"/>
        <v>0</v>
      </c>
      <c r="X70" s="46">
        <f t="shared" si="65"/>
        <v>0</v>
      </c>
      <c r="Y70" s="46">
        <f t="shared" si="65"/>
        <v>0</v>
      </c>
      <c r="Z70" s="46">
        <f t="shared" si="65"/>
        <v>0</v>
      </c>
      <c r="AA70" s="46">
        <f t="shared" si="65"/>
        <v>0</v>
      </c>
      <c r="AB70" s="46">
        <f t="shared" si="65"/>
        <v>0</v>
      </c>
      <c r="AC70" s="45">
        <f t="shared" si="1"/>
        <v>0</v>
      </c>
      <c r="AD70" s="46">
        <f t="shared" ref="AD70" si="66">SUM(AD71:AD72)</f>
        <v>0</v>
      </c>
      <c r="AE70" s="46">
        <f t="shared" ref="AE70" si="67">SUM(AE71:AE72)</f>
        <v>0</v>
      </c>
      <c r="AF70" s="46">
        <f t="shared" ref="AF70" si="68">SUM(AF71:AF72)</f>
        <v>0</v>
      </c>
      <c r="AG70" s="46">
        <f t="shared" ref="AG70" si="69">SUM(AG71:AG72)</f>
        <v>0</v>
      </c>
      <c r="AH70" s="45">
        <f t="shared" si="2"/>
        <v>0</v>
      </c>
      <c r="AI70" s="46">
        <f t="shared" ref="AI70" si="70">SUM(AI71:AI72)</f>
        <v>0</v>
      </c>
      <c r="AJ70" s="46">
        <f t="shared" ref="AJ70" si="71">SUM(AJ71:AJ72)</f>
        <v>0</v>
      </c>
      <c r="AK70" s="46">
        <f t="shared" ref="AK70" si="72">SUM(AK71:AK72)</f>
        <v>0</v>
      </c>
      <c r="AL70" s="46">
        <f t="shared" ref="AL70" si="73">SUM(AL71:AL72)</f>
        <v>0</v>
      </c>
      <c r="AM70" s="147">
        <f t="shared" si="3"/>
        <v>0</v>
      </c>
    </row>
    <row r="71" spans="7:39" ht="21" x14ac:dyDescent="0.15">
      <c r="G71" s="212" t="s">
        <v>868</v>
      </c>
      <c r="H71" s="142" t="s">
        <v>137</v>
      </c>
      <c r="I71" s="46">
        <f t="shared" si="0"/>
        <v>0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45">
        <f t="shared" si="1"/>
        <v>0</v>
      </c>
      <c r="AD71" s="6"/>
      <c r="AE71" s="6"/>
      <c r="AF71" s="6"/>
      <c r="AG71" s="6"/>
      <c r="AH71" s="45">
        <f t="shared" si="2"/>
        <v>0</v>
      </c>
      <c r="AI71" s="6"/>
      <c r="AJ71" s="6"/>
      <c r="AK71" s="6"/>
      <c r="AL71" s="6"/>
      <c r="AM71" s="147">
        <f t="shared" si="3"/>
        <v>0</v>
      </c>
    </row>
    <row r="72" spans="7:39" x14ac:dyDescent="0.15">
      <c r="G72" s="212" t="s">
        <v>138</v>
      </c>
      <c r="H72" s="144" t="s">
        <v>139</v>
      </c>
      <c r="I72" s="46">
        <f t="shared" si="0"/>
        <v>0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45">
        <f t="shared" si="1"/>
        <v>0</v>
      </c>
      <c r="AD72" s="6"/>
      <c r="AE72" s="6"/>
      <c r="AF72" s="6"/>
      <c r="AG72" s="6"/>
      <c r="AH72" s="45">
        <f t="shared" si="2"/>
        <v>0</v>
      </c>
      <c r="AI72" s="6"/>
      <c r="AJ72" s="6"/>
      <c r="AK72" s="6"/>
      <c r="AL72" s="6"/>
      <c r="AM72" s="147">
        <f t="shared" si="3"/>
        <v>0</v>
      </c>
    </row>
    <row r="73" spans="7:39" x14ac:dyDescent="0.15">
      <c r="G73" s="211" t="s">
        <v>140</v>
      </c>
      <c r="H73" s="144" t="s">
        <v>141</v>
      </c>
      <c r="I73" s="46">
        <f t="shared" si="0"/>
        <v>0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45">
        <f t="shared" si="1"/>
        <v>0</v>
      </c>
      <c r="AD73" s="6"/>
      <c r="AE73" s="6"/>
      <c r="AF73" s="6"/>
      <c r="AG73" s="6"/>
      <c r="AH73" s="45">
        <f t="shared" si="2"/>
        <v>0</v>
      </c>
      <c r="AI73" s="6"/>
      <c r="AJ73" s="6"/>
      <c r="AK73" s="6"/>
      <c r="AL73" s="6"/>
      <c r="AM73" s="147">
        <f t="shared" si="3"/>
        <v>0</v>
      </c>
    </row>
    <row r="74" spans="7:39" x14ac:dyDescent="0.15">
      <c r="G74" s="211" t="s">
        <v>142</v>
      </c>
      <c r="H74" s="142" t="s">
        <v>143</v>
      </c>
      <c r="I74" s="46">
        <f t="shared" si="0"/>
        <v>0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45">
        <f t="shared" si="1"/>
        <v>0</v>
      </c>
      <c r="AD74" s="6"/>
      <c r="AE74" s="6"/>
      <c r="AF74" s="6"/>
      <c r="AG74" s="6"/>
      <c r="AH74" s="45">
        <f t="shared" si="2"/>
        <v>0</v>
      </c>
      <c r="AI74" s="6"/>
      <c r="AJ74" s="6"/>
      <c r="AK74" s="6"/>
      <c r="AL74" s="6"/>
      <c r="AM74" s="147">
        <f t="shared" si="3"/>
        <v>0</v>
      </c>
    </row>
    <row r="75" spans="7:39" x14ac:dyDescent="0.15">
      <c r="G75" s="211" t="s">
        <v>144</v>
      </c>
      <c r="H75" s="144" t="s">
        <v>145</v>
      </c>
      <c r="I75" s="46">
        <f t="shared" si="0"/>
        <v>0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45">
        <f t="shared" si="1"/>
        <v>0</v>
      </c>
      <c r="AD75" s="6"/>
      <c r="AE75" s="6"/>
      <c r="AF75" s="6"/>
      <c r="AG75" s="6"/>
      <c r="AH75" s="45">
        <f t="shared" si="2"/>
        <v>0</v>
      </c>
      <c r="AI75" s="6"/>
      <c r="AJ75" s="6"/>
      <c r="AK75" s="6"/>
      <c r="AL75" s="6"/>
      <c r="AM75" s="147">
        <f t="shared" si="3"/>
        <v>0</v>
      </c>
    </row>
    <row r="76" spans="7:39" ht="21" x14ac:dyDescent="0.15">
      <c r="G76" s="211" t="s">
        <v>146</v>
      </c>
      <c r="H76" s="144" t="s">
        <v>147</v>
      </c>
      <c r="I76" s="46">
        <f t="shared" ref="I76:I140" si="74">SUM(J76:AB76)</f>
        <v>0</v>
      </c>
      <c r="J76" s="48">
        <f t="shared" ref="J76:L76" si="75">SUM(J77:J80)</f>
        <v>0</v>
      </c>
      <c r="K76" s="48">
        <f t="shared" si="75"/>
        <v>0</v>
      </c>
      <c r="L76" s="48">
        <f t="shared" si="75"/>
        <v>0</v>
      </c>
      <c r="M76" s="48">
        <f>SUM(M77:M80)</f>
        <v>0</v>
      </c>
      <c r="N76" s="48">
        <f t="shared" ref="N76:AB76" si="76">SUM(N77:N80)</f>
        <v>0</v>
      </c>
      <c r="O76" s="48">
        <f t="shared" si="76"/>
        <v>0</v>
      </c>
      <c r="P76" s="48">
        <f t="shared" si="76"/>
        <v>0</v>
      </c>
      <c r="Q76" s="48">
        <f t="shared" si="76"/>
        <v>0</v>
      </c>
      <c r="R76" s="48">
        <f t="shared" si="76"/>
        <v>0</v>
      </c>
      <c r="S76" s="48">
        <f t="shared" si="76"/>
        <v>0</v>
      </c>
      <c r="T76" s="48">
        <f t="shared" si="76"/>
        <v>0</v>
      </c>
      <c r="U76" s="48">
        <f t="shared" si="76"/>
        <v>0</v>
      </c>
      <c r="V76" s="48">
        <f t="shared" si="76"/>
        <v>0</v>
      </c>
      <c r="W76" s="48">
        <f t="shared" si="76"/>
        <v>0</v>
      </c>
      <c r="X76" s="48">
        <f t="shared" si="76"/>
        <v>0</v>
      </c>
      <c r="Y76" s="48">
        <f t="shared" si="76"/>
        <v>0</v>
      </c>
      <c r="Z76" s="48">
        <f t="shared" si="76"/>
        <v>0</v>
      </c>
      <c r="AA76" s="48">
        <f t="shared" si="76"/>
        <v>0</v>
      </c>
      <c r="AB76" s="48">
        <f t="shared" si="76"/>
        <v>0</v>
      </c>
      <c r="AC76" s="45">
        <f t="shared" ref="AC76:AC140" si="77">SUM(AD76:AG76)</f>
        <v>0</v>
      </c>
      <c r="AD76" s="48">
        <f t="shared" ref="AD76" si="78">SUM(AD77:AD80)</f>
        <v>0</v>
      </c>
      <c r="AE76" s="48">
        <f t="shared" ref="AE76" si="79">SUM(AE77:AE80)</f>
        <v>0</v>
      </c>
      <c r="AF76" s="48">
        <f t="shared" ref="AF76" si="80">SUM(AF77:AF80)</f>
        <v>0</v>
      </c>
      <c r="AG76" s="48">
        <f t="shared" ref="AG76" si="81">SUM(AG77:AG80)</f>
        <v>0</v>
      </c>
      <c r="AH76" s="45">
        <f t="shared" ref="AH76:AH140" si="82">SUM(AI76:AL76)</f>
        <v>0</v>
      </c>
      <c r="AI76" s="48">
        <f t="shared" ref="AI76" si="83">SUM(AI77:AI80)</f>
        <v>0</v>
      </c>
      <c r="AJ76" s="48">
        <f t="shared" ref="AJ76" si="84">SUM(AJ77:AJ80)</f>
        <v>0</v>
      </c>
      <c r="AK76" s="48">
        <f t="shared" ref="AK76" si="85">SUM(AK77:AK80)</f>
        <v>0</v>
      </c>
      <c r="AL76" s="48">
        <f t="shared" ref="AL76" si="86">SUM(AL77:AL80)</f>
        <v>0</v>
      </c>
      <c r="AM76" s="147">
        <f t="shared" ref="AM76:AM140" si="87">SUM(J76:AL76)</f>
        <v>0</v>
      </c>
    </row>
    <row r="77" spans="7:39" ht="21" x14ac:dyDescent="0.15">
      <c r="G77" s="212" t="s">
        <v>148</v>
      </c>
      <c r="H77" s="142" t="s">
        <v>149</v>
      </c>
      <c r="I77" s="46">
        <f t="shared" si="74"/>
        <v>0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45">
        <f t="shared" si="77"/>
        <v>0</v>
      </c>
      <c r="AD77" s="6"/>
      <c r="AE77" s="6"/>
      <c r="AF77" s="6"/>
      <c r="AG77" s="6"/>
      <c r="AH77" s="45">
        <f t="shared" si="82"/>
        <v>0</v>
      </c>
      <c r="AI77" s="6"/>
      <c r="AJ77" s="6"/>
      <c r="AK77" s="6"/>
      <c r="AL77" s="6"/>
      <c r="AM77" s="147">
        <f t="shared" si="87"/>
        <v>0</v>
      </c>
    </row>
    <row r="78" spans="7:39" x14ac:dyDescent="0.15">
      <c r="G78" s="212" t="s">
        <v>150</v>
      </c>
      <c r="H78" s="144" t="s">
        <v>151</v>
      </c>
      <c r="I78" s="46">
        <f t="shared" si="74"/>
        <v>0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45">
        <f t="shared" si="77"/>
        <v>0</v>
      </c>
      <c r="AD78" s="6"/>
      <c r="AE78" s="6"/>
      <c r="AF78" s="6"/>
      <c r="AG78" s="6"/>
      <c r="AH78" s="45">
        <f t="shared" si="82"/>
        <v>0</v>
      </c>
      <c r="AI78" s="6"/>
      <c r="AJ78" s="6"/>
      <c r="AK78" s="6"/>
      <c r="AL78" s="6"/>
      <c r="AM78" s="147">
        <f t="shared" si="87"/>
        <v>0</v>
      </c>
    </row>
    <row r="79" spans="7:39" x14ac:dyDescent="0.15">
      <c r="G79" s="212" t="s">
        <v>152</v>
      </c>
      <c r="H79" s="144" t="s">
        <v>153</v>
      </c>
      <c r="I79" s="46">
        <f t="shared" si="74"/>
        <v>0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45">
        <f t="shared" si="77"/>
        <v>0</v>
      </c>
      <c r="AD79" s="6"/>
      <c r="AE79" s="6"/>
      <c r="AF79" s="6"/>
      <c r="AG79" s="6"/>
      <c r="AH79" s="45">
        <f t="shared" si="82"/>
        <v>0</v>
      </c>
      <c r="AI79" s="6"/>
      <c r="AJ79" s="6"/>
      <c r="AK79" s="6"/>
      <c r="AL79" s="6"/>
      <c r="AM79" s="147">
        <f t="shared" si="87"/>
        <v>0</v>
      </c>
    </row>
    <row r="80" spans="7:39" x14ac:dyDescent="0.15">
      <c r="G80" s="212" t="s">
        <v>154</v>
      </c>
      <c r="H80" s="142" t="s">
        <v>155</v>
      </c>
      <c r="I80" s="46">
        <f t="shared" si="74"/>
        <v>0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45">
        <f t="shared" si="77"/>
        <v>0</v>
      </c>
      <c r="AD80" s="6"/>
      <c r="AE80" s="6"/>
      <c r="AF80" s="6"/>
      <c r="AG80" s="6"/>
      <c r="AH80" s="45">
        <f t="shared" si="82"/>
        <v>0</v>
      </c>
      <c r="AI80" s="6"/>
      <c r="AJ80" s="6"/>
      <c r="AK80" s="6"/>
      <c r="AL80" s="6"/>
      <c r="AM80" s="147">
        <f t="shared" si="87"/>
        <v>0</v>
      </c>
    </row>
    <row r="81" spans="7:39" x14ac:dyDescent="0.15">
      <c r="G81" s="211" t="s">
        <v>156</v>
      </c>
      <c r="H81" s="144" t="s">
        <v>157</v>
      </c>
      <c r="I81" s="46">
        <f t="shared" si="74"/>
        <v>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45">
        <f t="shared" si="77"/>
        <v>0</v>
      </c>
      <c r="AD81" s="6"/>
      <c r="AE81" s="6"/>
      <c r="AF81" s="6"/>
      <c r="AG81" s="6"/>
      <c r="AH81" s="45">
        <f t="shared" si="82"/>
        <v>0</v>
      </c>
      <c r="AI81" s="6"/>
      <c r="AJ81" s="6"/>
      <c r="AK81" s="6"/>
      <c r="AL81" s="6"/>
      <c r="AM81" s="147">
        <f t="shared" si="87"/>
        <v>0</v>
      </c>
    </row>
    <row r="82" spans="7:39" x14ac:dyDescent="0.15">
      <c r="G82" s="211" t="s">
        <v>158</v>
      </c>
      <c r="H82" s="144" t="s">
        <v>159</v>
      </c>
      <c r="I82" s="46">
        <f t="shared" si="74"/>
        <v>0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45">
        <f t="shared" si="77"/>
        <v>0</v>
      </c>
      <c r="AD82" s="6"/>
      <c r="AE82" s="6"/>
      <c r="AF82" s="6"/>
      <c r="AG82" s="6"/>
      <c r="AH82" s="45">
        <f t="shared" si="82"/>
        <v>0</v>
      </c>
      <c r="AI82" s="6"/>
      <c r="AJ82" s="6"/>
      <c r="AK82" s="6"/>
      <c r="AL82" s="6"/>
      <c r="AM82" s="147">
        <f t="shared" si="87"/>
        <v>0</v>
      </c>
    </row>
    <row r="83" spans="7:39" x14ac:dyDescent="0.15">
      <c r="G83" s="211" t="s">
        <v>160</v>
      </c>
      <c r="H83" s="142" t="s">
        <v>161</v>
      </c>
      <c r="I83" s="46">
        <f t="shared" si="74"/>
        <v>0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45">
        <f t="shared" si="77"/>
        <v>0</v>
      </c>
      <c r="AD83" s="6"/>
      <c r="AE83" s="6"/>
      <c r="AF83" s="6"/>
      <c r="AG83" s="6"/>
      <c r="AH83" s="45">
        <f t="shared" si="82"/>
        <v>0</v>
      </c>
      <c r="AI83" s="6"/>
      <c r="AJ83" s="6"/>
      <c r="AK83" s="6"/>
      <c r="AL83" s="6"/>
      <c r="AM83" s="147">
        <f t="shared" si="87"/>
        <v>0</v>
      </c>
    </row>
    <row r="84" spans="7:39" x14ac:dyDescent="0.15">
      <c r="G84" s="211" t="s">
        <v>162</v>
      </c>
      <c r="H84" s="144" t="s">
        <v>163</v>
      </c>
      <c r="I84" s="46">
        <f t="shared" si="74"/>
        <v>0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45">
        <f t="shared" si="77"/>
        <v>0</v>
      </c>
      <c r="AD84" s="6"/>
      <c r="AE84" s="6"/>
      <c r="AF84" s="6"/>
      <c r="AG84" s="6"/>
      <c r="AH84" s="45">
        <f t="shared" si="82"/>
        <v>0</v>
      </c>
      <c r="AI84" s="6"/>
      <c r="AJ84" s="6"/>
      <c r="AK84" s="6"/>
      <c r="AL84" s="6"/>
      <c r="AM84" s="147">
        <f t="shared" si="87"/>
        <v>0</v>
      </c>
    </row>
    <row r="85" spans="7:39" x14ac:dyDescent="0.15">
      <c r="G85" s="211" t="s">
        <v>164</v>
      </c>
      <c r="H85" s="144" t="s">
        <v>165</v>
      </c>
      <c r="I85" s="46">
        <f t="shared" si="74"/>
        <v>0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45">
        <f t="shared" si="77"/>
        <v>0</v>
      </c>
      <c r="AD85" s="6"/>
      <c r="AE85" s="6"/>
      <c r="AF85" s="6"/>
      <c r="AG85" s="6"/>
      <c r="AH85" s="45">
        <f t="shared" si="82"/>
        <v>0</v>
      </c>
      <c r="AI85" s="6"/>
      <c r="AJ85" s="6"/>
      <c r="AK85" s="6"/>
      <c r="AL85" s="6"/>
      <c r="AM85" s="147">
        <f t="shared" si="87"/>
        <v>0</v>
      </c>
    </row>
    <row r="86" spans="7:39" x14ac:dyDescent="0.15">
      <c r="G86" s="211" t="s">
        <v>166</v>
      </c>
      <c r="H86" s="142" t="s">
        <v>167</v>
      </c>
      <c r="I86" s="46">
        <f t="shared" si="74"/>
        <v>0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45">
        <f t="shared" si="77"/>
        <v>0</v>
      </c>
      <c r="AD86" s="6"/>
      <c r="AE86" s="6"/>
      <c r="AF86" s="6"/>
      <c r="AG86" s="6"/>
      <c r="AH86" s="45">
        <f t="shared" si="82"/>
        <v>0</v>
      </c>
      <c r="AI86" s="6"/>
      <c r="AJ86" s="6"/>
      <c r="AK86" s="6"/>
      <c r="AL86" s="6"/>
      <c r="AM86" s="147">
        <f t="shared" si="87"/>
        <v>0</v>
      </c>
    </row>
    <row r="87" spans="7:39" x14ac:dyDescent="0.15">
      <c r="G87" s="211" t="s">
        <v>168</v>
      </c>
      <c r="H87" s="144" t="s">
        <v>169</v>
      </c>
      <c r="I87" s="46">
        <f t="shared" si="74"/>
        <v>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45">
        <f t="shared" si="77"/>
        <v>0</v>
      </c>
      <c r="AD87" s="6"/>
      <c r="AE87" s="6"/>
      <c r="AF87" s="6"/>
      <c r="AG87" s="6"/>
      <c r="AH87" s="45">
        <f t="shared" si="82"/>
        <v>0</v>
      </c>
      <c r="AI87" s="6"/>
      <c r="AJ87" s="6"/>
      <c r="AK87" s="6"/>
      <c r="AL87" s="6"/>
      <c r="AM87" s="147">
        <f t="shared" si="87"/>
        <v>0</v>
      </c>
    </row>
    <row r="88" spans="7:39" x14ac:dyDescent="0.15">
      <c r="G88" s="211" t="s">
        <v>170</v>
      </c>
      <c r="H88" s="144" t="s">
        <v>171</v>
      </c>
      <c r="I88" s="46">
        <f t="shared" si="74"/>
        <v>0</v>
      </c>
      <c r="J88" s="46">
        <f t="shared" ref="J88:L88" si="88">SUM(J89:J90)</f>
        <v>0</v>
      </c>
      <c r="K88" s="46">
        <f t="shared" si="88"/>
        <v>0</v>
      </c>
      <c r="L88" s="46">
        <f t="shared" si="88"/>
        <v>0</v>
      </c>
      <c r="M88" s="46">
        <f>SUM(M89:M90)</f>
        <v>0</v>
      </c>
      <c r="N88" s="46">
        <f t="shared" ref="N88:AB88" si="89">SUM(N89:N90)</f>
        <v>0</v>
      </c>
      <c r="O88" s="46">
        <f t="shared" si="89"/>
        <v>0</v>
      </c>
      <c r="P88" s="46">
        <f t="shared" si="89"/>
        <v>0</v>
      </c>
      <c r="Q88" s="46">
        <f t="shared" si="89"/>
        <v>0</v>
      </c>
      <c r="R88" s="46">
        <f t="shared" si="89"/>
        <v>0</v>
      </c>
      <c r="S88" s="46">
        <f t="shared" si="89"/>
        <v>0</v>
      </c>
      <c r="T88" s="46">
        <f t="shared" si="89"/>
        <v>0</v>
      </c>
      <c r="U88" s="46">
        <f t="shared" si="89"/>
        <v>0</v>
      </c>
      <c r="V88" s="46">
        <f t="shared" si="89"/>
        <v>0</v>
      </c>
      <c r="W88" s="46">
        <f t="shared" si="89"/>
        <v>0</v>
      </c>
      <c r="X88" s="46">
        <f t="shared" si="89"/>
        <v>0</v>
      </c>
      <c r="Y88" s="46">
        <f t="shared" si="89"/>
        <v>0</v>
      </c>
      <c r="Z88" s="46">
        <f t="shared" si="89"/>
        <v>0</v>
      </c>
      <c r="AA88" s="46">
        <f t="shared" si="89"/>
        <v>0</v>
      </c>
      <c r="AB88" s="46">
        <f t="shared" si="89"/>
        <v>0</v>
      </c>
      <c r="AC88" s="45">
        <f t="shared" si="77"/>
        <v>0</v>
      </c>
      <c r="AD88" s="46">
        <f t="shared" ref="AD88" si="90">SUM(AD89:AD90)</f>
        <v>0</v>
      </c>
      <c r="AE88" s="46">
        <f t="shared" ref="AE88" si="91">SUM(AE89:AE90)</f>
        <v>0</v>
      </c>
      <c r="AF88" s="46">
        <f t="shared" ref="AF88" si="92">SUM(AF89:AF90)</f>
        <v>0</v>
      </c>
      <c r="AG88" s="46">
        <f t="shared" ref="AG88" si="93">SUM(AG89:AG90)</f>
        <v>0</v>
      </c>
      <c r="AH88" s="45">
        <f t="shared" si="82"/>
        <v>0</v>
      </c>
      <c r="AI88" s="46">
        <f t="shared" ref="AI88" si="94">SUM(AI89:AI90)</f>
        <v>0</v>
      </c>
      <c r="AJ88" s="46">
        <f t="shared" ref="AJ88" si="95">SUM(AJ89:AJ90)</f>
        <v>0</v>
      </c>
      <c r="AK88" s="46">
        <f t="shared" ref="AK88" si="96">SUM(AK89:AK90)</f>
        <v>0</v>
      </c>
      <c r="AL88" s="46">
        <f t="shared" ref="AL88" si="97">SUM(AL89:AL90)</f>
        <v>0</v>
      </c>
      <c r="AM88" s="147">
        <f t="shared" si="87"/>
        <v>0</v>
      </c>
    </row>
    <row r="89" spans="7:39" ht="21" x14ac:dyDescent="0.15">
      <c r="G89" s="212" t="s">
        <v>172</v>
      </c>
      <c r="H89" s="142" t="s">
        <v>173</v>
      </c>
      <c r="I89" s="46">
        <f t="shared" si="74"/>
        <v>0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45">
        <f t="shared" si="77"/>
        <v>0</v>
      </c>
      <c r="AD89" s="6"/>
      <c r="AE89" s="6"/>
      <c r="AF89" s="6"/>
      <c r="AG89" s="6"/>
      <c r="AH89" s="45">
        <f t="shared" si="82"/>
        <v>0</v>
      </c>
      <c r="AI89" s="6"/>
      <c r="AJ89" s="6"/>
      <c r="AK89" s="6"/>
      <c r="AL89" s="6"/>
      <c r="AM89" s="147">
        <f t="shared" si="87"/>
        <v>0</v>
      </c>
    </row>
    <row r="90" spans="7:39" ht="21" x14ac:dyDescent="0.15">
      <c r="G90" s="212" t="s">
        <v>174</v>
      </c>
      <c r="H90" s="144" t="s">
        <v>175</v>
      </c>
      <c r="I90" s="46">
        <f t="shared" si="74"/>
        <v>0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45">
        <f t="shared" si="77"/>
        <v>0</v>
      </c>
      <c r="AD90" s="6"/>
      <c r="AE90" s="6"/>
      <c r="AF90" s="6"/>
      <c r="AG90" s="6"/>
      <c r="AH90" s="45">
        <f t="shared" si="82"/>
        <v>0</v>
      </c>
      <c r="AI90" s="6"/>
      <c r="AJ90" s="6"/>
      <c r="AK90" s="6"/>
      <c r="AL90" s="6"/>
      <c r="AM90" s="147">
        <f t="shared" si="87"/>
        <v>0</v>
      </c>
    </row>
    <row r="91" spans="7:39" x14ac:dyDescent="0.15">
      <c r="G91" s="211" t="s">
        <v>176</v>
      </c>
      <c r="H91" s="144" t="s">
        <v>177</v>
      </c>
      <c r="I91" s="46">
        <f t="shared" si="74"/>
        <v>0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45">
        <f t="shared" si="77"/>
        <v>0</v>
      </c>
      <c r="AD91" s="6"/>
      <c r="AE91" s="6"/>
      <c r="AF91" s="6"/>
      <c r="AG91" s="6"/>
      <c r="AH91" s="45">
        <f t="shared" si="82"/>
        <v>0</v>
      </c>
      <c r="AI91" s="6"/>
      <c r="AJ91" s="6"/>
      <c r="AK91" s="6"/>
      <c r="AL91" s="6"/>
      <c r="AM91" s="147">
        <f t="shared" si="87"/>
        <v>0</v>
      </c>
    </row>
    <row r="92" spans="7:39" x14ac:dyDescent="0.15">
      <c r="G92" s="211" t="s">
        <v>178</v>
      </c>
      <c r="H92" s="142" t="s">
        <v>179</v>
      </c>
      <c r="I92" s="46">
        <f t="shared" si="74"/>
        <v>0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45">
        <f t="shared" si="77"/>
        <v>0</v>
      </c>
      <c r="AD92" s="6"/>
      <c r="AE92" s="6"/>
      <c r="AF92" s="6"/>
      <c r="AG92" s="6"/>
      <c r="AH92" s="45">
        <f t="shared" si="82"/>
        <v>0</v>
      </c>
      <c r="AI92" s="6"/>
      <c r="AJ92" s="6"/>
      <c r="AK92" s="6"/>
      <c r="AL92" s="6"/>
      <c r="AM92" s="147">
        <f t="shared" si="87"/>
        <v>0</v>
      </c>
    </row>
    <row r="93" spans="7:39" x14ac:dyDescent="0.15">
      <c r="G93" s="211" t="s">
        <v>180</v>
      </c>
      <c r="H93" s="144" t="s">
        <v>181</v>
      </c>
      <c r="I93" s="46">
        <f t="shared" si="74"/>
        <v>0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45">
        <f t="shared" si="77"/>
        <v>0</v>
      </c>
      <c r="AD93" s="6"/>
      <c r="AE93" s="6"/>
      <c r="AF93" s="6"/>
      <c r="AG93" s="6"/>
      <c r="AH93" s="45">
        <f t="shared" si="82"/>
        <v>0</v>
      </c>
      <c r="AI93" s="6"/>
      <c r="AJ93" s="6"/>
      <c r="AK93" s="6"/>
      <c r="AL93" s="6"/>
      <c r="AM93" s="147">
        <f t="shared" si="87"/>
        <v>0</v>
      </c>
    </row>
    <row r="94" spans="7:39" x14ac:dyDescent="0.15">
      <c r="G94" s="211" t="s">
        <v>182</v>
      </c>
      <c r="H94" s="144" t="s">
        <v>183</v>
      </c>
      <c r="I94" s="46">
        <f t="shared" si="74"/>
        <v>0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45">
        <f t="shared" si="77"/>
        <v>0</v>
      </c>
      <c r="AD94" s="6"/>
      <c r="AE94" s="6"/>
      <c r="AF94" s="6"/>
      <c r="AG94" s="6"/>
      <c r="AH94" s="45">
        <f t="shared" si="82"/>
        <v>0</v>
      </c>
      <c r="AI94" s="6"/>
      <c r="AJ94" s="6"/>
      <c r="AK94" s="6"/>
      <c r="AL94" s="6"/>
      <c r="AM94" s="147">
        <f t="shared" si="87"/>
        <v>0</v>
      </c>
    </row>
    <row r="95" spans="7:39" x14ac:dyDescent="0.15">
      <c r="G95" s="211" t="s">
        <v>184</v>
      </c>
      <c r="H95" s="142" t="s">
        <v>185</v>
      </c>
      <c r="I95" s="46">
        <f t="shared" si="74"/>
        <v>0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45">
        <f t="shared" si="77"/>
        <v>0</v>
      </c>
      <c r="AD95" s="6"/>
      <c r="AE95" s="6"/>
      <c r="AF95" s="6"/>
      <c r="AG95" s="6"/>
      <c r="AH95" s="45">
        <f t="shared" si="82"/>
        <v>0</v>
      </c>
      <c r="AI95" s="6"/>
      <c r="AJ95" s="6"/>
      <c r="AK95" s="6"/>
      <c r="AL95" s="6"/>
      <c r="AM95" s="147">
        <f t="shared" si="87"/>
        <v>0</v>
      </c>
    </row>
    <row r="96" spans="7:39" x14ac:dyDescent="0.15">
      <c r="G96" s="211" t="s">
        <v>186</v>
      </c>
      <c r="H96" s="144" t="s">
        <v>187</v>
      </c>
      <c r="I96" s="46">
        <f t="shared" si="74"/>
        <v>0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45">
        <f t="shared" si="77"/>
        <v>0</v>
      </c>
      <c r="AD96" s="6"/>
      <c r="AE96" s="6"/>
      <c r="AF96" s="6"/>
      <c r="AG96" s="6"/>
      <c r="AH96" s="45">
        <f t="shared" si="82"/>
        <v>0</v>
      </c>
      <c r="AI96" s="6"/>
      <c r="AJ96" s="6"/>
      <c r="AK96" s="6"/>
      <c r="AL96" s="6"/>
      <c r="AM96" s="147">
        <f t="shared" si="87"/>
        <v>0</v>
      </c>
    </row>
    <row r="97" spans="7:39" x14ac:dyDescent="0.15">
      <c r="G97" s="211" t="s">
        <v>188</v>
      </c>
      <c r="H97" s="144" t="s">
        <v>189</v>
      </c>
      <c r="I97" s="46">
        <f t="shared" si="74"/>
        <v>0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45">
        <f t="shared" si="77"/>
        <v>0</v>
      </c>
      <c r="AD97" s="6"/>
      <c r="AE97" s="6"/>
      <c r="AF97" s="6"/>
      <c r="AG97" s="6"/>
      <c r="AH97" s="45">
        <f t="shared" si="82"/>
        <v>0</v>
      </c>
      <c r="AI97" s="6"/>
      <c r="AJ97" s="6"/>
      <c r="AK97" s="6"/>
      <c r="AL97" s="6"/>
      <c r="AM97" s="147">
        <f t="shared" si="87"/>
        <v>0</v>
      </c>
    </row>
    <row r="98" spans="7:39" x14ac:dyDescent="0.15">
      <c r="G98" s="211" t="s">
        <v>190</v>
      </c>
      <c r="H98" s="142" t="s">
        <v>191</v>
      </c>
      <c r="I98" s="46">
        <f t="shared" si="74"/>
        <v>0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45">
        <f t="shared" si="77"/>
        <v>0</v>
      </c>
      <c r="AD98" s="6"/>
      <c r="AE98" s="6"/>
      <c r="AF98" s="6"/>
      <c r="AG98" s="6"/>
      <c r="AH98" s="45">
        <f t="shared" si="82"/>
        <v>0</v>
      </c>
      <c r="AI98" s="6"/>
      <c r="AJ98" s="6"/>
      <c r="AK98" s="6"/>
      <c r="AL98" s="6"/>
      <c r="AM98" s="147">
        <f t="shared" si="87"/>
        <v>0</v>
      </c>
    </row>
    <row r="99" spans="7:39" x14ac:dyDescent="0.15">
      <c r="G99" s="211" t="s">
        <v>192</v>
      </c>
      <c r="H99" s="144" t="s">
        <v>193</v>
      </c>
      <c r="I99" s="46">
        <f t="shared" si="74"/>
        <v>0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45">
        <f t="shared" si="77"/>
        <v>0</v>
      </c>
      <c r="AD99" s="6"/>
      <c r="AE99" s="6"/>
      <c r="AF99" s="6"/>
      <c r="AG99" s="6"/>
      <c r="AH99" s="45">
        <f t="shared" si="82"/>
        <v>0</v>
      </c>
      <c r="AI99" s="6"/>
      <c r="AJ99" s="6"/>
      <c r="AK99" s="6"/>
      <c r="AL99" s="6"/>
      <c r="AM99" s="147">
        <f t="shared" si="87"/>
        <v>0</v>
      </c>
    </row>
    <row r="100" spans="7:39" x14ac:dyDescent="0.15">
      <c r="G100" s="211" t="s">
        <v>194</v>
      </c>
      <c r="H100" s="144" t="s">
        <v>195</v>
      </c>
      <c r="I100" s="46">
        <f t="shared" si="74"/>
        <v>0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45">
        <f t="shared" si="77"/>
        <v>0</v>
      </c>
      <c r="AD100" s="6"/>
      <c r="AE100" s="6"/>
      <c r="AF100" s="6"/>
      <c r="AG100" s="6"/>
      <c r="AH100" s="45">
        <f t="shared" si="82"/>
        <v>0</v>
      </c>
      <c r="AI100" s="6"/>
      <c r="AJ100" s="6"/>
      <c r="AK100" s="6"/>
      <c r="AL100" s="6"/>
      <c r="AM100" s="147">
        <f t="shared" si="87"/>
        <v>0</v>
      </c>
    </row>
    <row r="101" spans="7:39" x14ac:dyDescent="0.15">
      <c r="G101" s="211" t="s">
        <v>196</v>
      </c>
      <c r="H101" s="142" t="s">
        <v>197</v>
      </c>
      <c r="I101" s="46">
        <f t="shared" si="74"/>
        <v>0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45">
        <f t="shared" si="77"/>
        <v>0</v>
      </c>
      <c r="AD101" s="6"/>
      <c r="AE101" s="6"/>
      <c r="AF101" s="6"/>
      <c r="AG101" s="6"/>
      <c r="AH101" s="45">
        <f t="shared" si="82"/>
        <v>0</v>
      </c>
      <c r="AI101" s="6"/>
      <c r="AJ101" s="6"/>
      <c r="AK101" s="6"/>
      <c r="AL101" s="6"/>
      <c r="AM101" s="147">
        <f t="shared" si="87"/>
        <v>0</v>
      </c>
    </row>
    <row r="102" spans="7:39" x14ac:dyDescent="0.15">
      <c r="G102" s="211" t="s">
        <v>198</v>
      </c>
      <c r="H102" s="144" t="s">
        <v>199</v>
      </c>
      <c r="I102" s="46">
        <f t="shared" si="74"/>
        <v>0</v>
      </c>
      <c r="J102" s="46">
        <f t="shared" ref="J102:L102" si="98">SUM(J103:J104)</f>
        <v>0</v>
      </c>
      <c r="K102" s="46">
        <f t="shared" si="98"/>
        <v>0</v>
      </c>
      <c r="L102" s="46">
        <f t="shared" si="98"/>
        <v>0</v>
      </c>
      <c r="M102" s="46">
        <f>SUM(M103:M104)</f>
        <v>0</v>
      </c>
      <c r="N102" s="46">
        <f t="shared" ref="N102:AB102" si="99">SUM(N103:N104)</f>
        <v>0</v>
      </c>
      <c r="O102" s="46">
        <f t="shared" si="99"/>
        <v>0</v>
      </c>
      <c r="P102" s="46">
        <f t="shared" si="99"/>
        <v>0</v>
      </c>
      <c r="Q102" s="46">
        <f t="shared" si="99"/>
        <v>0</v>
      </c>
      <c r="R102" s="46">
        <f t="shared" si="99"/>
        <v>0</v>
      </c>
      <c r="S102" s="46">
        <f t="shared" si="99"/>
        <v>0</v>
      </c>
      <c r="T102" s="46">
        <f t="shared" si="99"/>
        <v>0</v>
      </c>
      <c r="U102" s="46">
        <f t="shared" si="99"/>
        <v>0</v>
      </c>
      <c r="V102" s="46">
        <f t="shared" si="99"/>
        <v>0</v>
      </c>
      <c r="W102" s="46">
        <f t="shared" si="99"/>
        <v>0</v>
      </c>
      <c r="X102" s="46">
        <f t="shared" si="99"/>
        <v>0</v>
      </c>
      <c r="Y102" s="46">
        <f t="shared" si="99"/>
        <v>0</v>
      </c>
      <c r="Z102" s="46">
        <f t="shared" si="99"/>
        <v>0</v>
      </c>
      <c r="AA102" s="46">
        <f t="shared" si="99"/>
        <v>0</v>
      </c>
      <c r="AB102" s="46">
        <f t="shared" si="99"/>
        <v>0</v>
      </c>
      <c r="AC102" s="45">
        <f t="shared" si="77"/>
        <v>0</v>
      </c>
      <c r="AD102" s="46">
        <f t="shared" ref="AD102" si="100">SUM(AD103:AD104)</f>
        <v>0</v>
      </c>
      <c r="AE102" s="46">
        <f t="shared" ref="AE102" si="101">SUM(AE103:AE104)</f>
        <v>0</v>
      </c>
      <c r="AF102" s="46">
        <f t="shared" ref="AF102" si="102">SUM(AF103:AF104)</f>
        <v>0</v>
      </c>
      <c r="AG102" s="46">
        <f t="shared" ref="AG102" si="103">SUM(AG103:AG104)</f>
        <v>0</v>
      </c>
      <c r="AH102" s="45">
        <f t="shared" si="82"/>
        <v>0</v>
      </c>
      <c r="AI102" s="46">
        <f t="shared" ref="AI102" si="104">SUM(AI103:AI104)</f>
        <v>0</v>
      </c>
      <c r="AJ102" s="46">
        <f t="shared" ref="AJ102" si="105">SUM(AJ103:AJ104)</f>
        <v>0</v>
      </c>
      <c r="AK102" s="46">
        <f t="shared" ref="AK102" si="106">SUM(AK103:AK104)</f>
        <v>0</v>
      </c>
      <c r="AL102" s="46">
        <f t="shared" ref="AL102" si="107">SUM(AL103:AL104)</f>
        <v>0</v>
      </c>
      <c r="AM102" s="147">
        <f t="shared" si="87"/>
        <v>0</v>
      </c>
    </row>
    <row r="103" spans="7:39" ht="21" x14ac:dyDescent="0.15">
      <c r="G103" s="212" t="s">
        <v>869</v>
      </c>
      <c r="H103" s="144" t="s">
        <v>200</v>
      </c>
      <c r="I103" s="46">
        <f t="shared" si="74"/>
        <v>0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45">
        <f t="shared" si="77"/>
        <v>0</v>
      </c>
      <c r="AD103" s="6"/>
      <c r="AE103" s="6"/>
      <c r="AF103" s="6"/>
      <c r="AG103" s="6"/>
      <c r="AH103" s="45">
        <f t="shared" si="82"/>
        <v>0</v>
      </c>
      <c r="AI103" s="6"/>
      <c r="AJ103" s="6"/>
      <c r="AK103" s="6"/>
      <c r="AL103" s="6"/>
      <c r="AM103" s="147">
        <f t="shared" si="87"/>
        <v>0</v>
      </c>
    </row>
    <row r="104" spans="7:39" x14ac:dyDescent="0.15">
      <c r="G104" s="212" t="s">
        <v>863</v>
      </c>
      <c r="H104" s="142" t="s">
        <v>201</v>
      </c>
      <c r="I104" s="46">
        <f t="shared" si="74"/>
        <v>0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45">
        <f t="shared" si="77"/>
        <v>0</v>
      </c>
      <c r="AD104" s="6"/>
      <c r="AE104" s="6"/>
      <c r="AF104" s="6"/>
      <c r="AG104" s="6"/>
      <c r="AH104" s="45">
        <f t="shared" si="82"/>
        <v>0</v>
      </c>
      <c r="AI104" s="6"/>
      <c r="AJ104" s="6"/>
      <c r="AK104" s="6"/>
      <c r="AL104" s="6"/>
      <c r="AM104" s="147">
        <f t="shared" si="87"/>
        <v>0</v>
      </c>
    </row>
    <row r="105" spans="7:39" x14ac:dyDescent="0.15">
      <c r="G105" s="211" t="s">
        <v>202</v>
      </c>
      <c r="H105" s="144" t="s">
        <v>203</v>
      </c>
      <c r="I105" s="46">
        <f t="shared" si="74"/>
        <v>0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45">
        <f t="shared" si="77"/>
        <v>0</v>
      </c>
      <c r="AD105" s="6"/>
      <c r="AE105" s="6"/>
      <c r="AF105" s="6"/>
      <c r="AG105" s="6"/>
      <c r="AH105" s="45">
        <f t="shared" si="82"/>
        <v>0</v>
      </c>
      <c r="AI105" s="6"/>
      <c r="AJ105" s="6"/>
      <c r="AK105" s="6"/>
      <c r="AL105" s="6"/>
      <c r="AM105" s="147">
        <f t="shared" si="87"/>
        <v>0</v>
      </c>
    </row>
    <row r="106" spans="7:39" x14ac:dyDescent="0.15">
      <c r="G106" s="211" t="s">
        <v>204</v>
      </c>
      <c r="H106" s="144" t="s">
        <v>205</v>
      </c>
      <c r="I106" s="46">
        <f t="shared" si="74"/>
        <v>0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45">
        <f t="shared" si="77"/>
        <v>0</v>
      </c>
      <c r="AD106" s="6"/>
      <c r="AE106" s="6"/>
      <c r="AF106" s="6"/>
      <c r="AG106" s="6"/>
      <c r="AH106" s="45">
        <f t="shared" si="82"/>
        <v>0</v>
      </c>
      <c r="AI106" s="6"/>
      <c r="AJ106" s="6"/>
      <c r="AK106" s="6"/>
      <c r="AL106" s="6"/>
      <c r="AM106" s="147">
        <f t="shared" si="87"/>
        <v>0</v>
      </c>
    </row>
    <row r="107" spans="7:39" x14ac:dyDescent="0.15">
      <c r="G107" s="211" t="s">
        <v>206</v>
      </c>
      <c r="H107" s="142" t="s">
        <v>207</v>
      </c>
      <c r="I107" s="46">
        <f t="shared" si="74"/>
        <v>0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45">
        <f t="shared" si="77"/>
        <v>0</v>
      </c>
      <c r="AD107" s="6"/>
      <c r="AE107" s="6"/>
      <c r="AF107" s="6"/>
      <c r="AG107" s="6"/>
      <c r="AH107" s="45">
        <f t="shared" si="82"/>
        <v>0</v>
      </c>
      <c r="AI107" s="190"/>
      <c r="AJ107" s="190"/>
      <c r="AK107" s="190"/>
      <c r="AL107" s="190"/>
      <c r="AM107" s="147">
        <f t="shared" si="87"/>
        <v>0</v>
      </c>
    </row>
    <row r="108" spans="7:39" x14ac:dyDescent="0.15">
      <c r="G108" s="211" t="s">
        <v>208</v>
      </c>
      <c r="H108" s="144" t="s">
        <v>209</v>
      </c>
      <c r="I108" s="46">
        <f t="shared" si="74"/>
        <v>0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45">
        <f t="shared" si="77"/>
        <v>0</v>
      </c>
      <c r="AD108" s="6"/>
      <c r="AE108" s="6"/>
      <c r="AF108" s="6"/>
      <c r="AG108" s="6"/>
      <c r="AH108" s="45">
        <f t="shared" si="82"/>
        <v>0</v>
      </c>
      <c r="AI108" s="6"/>
      <c r="AJ108" s="6"/>
      <c r="AK108" s="6"/>
      <c r="AL108" s="6"/>
      <c r="AM108" s="147">
        <f t="shared" si="87"/>
        <v>0</v>
      </c>
    </row>
    <row r="109" spans="7:39" x14ac:dyDescent="0.15">
      <c r="G109" s="211" t="s">
        <v>210</v>
      </c>
      <c r="H109" s="144" t="s">
        <v>211</v>
      </c>
      <c r="I109" s="46">
        <f t="shared" si="74"/>
        <v>0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45">
        <f t="shared" si="77"/>
        <v>0</v>
      </c>
      <c r="AD109" s="6"/>
      <c r="AE109" s="6"/>
      <c r="AF109" s="6"/>
      <c r="AG109" s="6"/>
      <c r="AH109" s="45">
        <f t="shared" si="82"/>
        <v>0</v>
      </c>
      <c r="AI109" s="6"/>
      <c r="AJ109" s="6"/>
      <c r="AK109" s="6"/>
      <c r="AL109" s="6"/>
      <c r="AM109" s="147">
        <f t="shared" si="87"/>
        <v>0</v>
      </c>
    </row>
    <row r="110" spans="7:39" x14ac:dyDescent="0.15">
      <c r="G110" s="211" t="s">
        <v>212</v>
      </c>
      <c r="H110" s="142" t="s">
        <v>213</v>
      </c>
      <c r="I110" s="46">
        <f t="shared" si="74"/>
        <v>0</v>
      </c>
      <c r="J110" s="48">
        <f t="shared" ref="J110:L110" si="108">SUM(J111:J117)</f>
        <v>0</v>
      </c>
      <c r="K110" s="48">
        <f t="shared" si="108"/>
        <v>0</v>
      </c>
      <c r="L110" s="48">
        <f t="shared" si="108"/>
        <v>0</v>
      </c>
      <c r="M110" s="48">
        <f>SUM(M111:M117)</f>
        <v>0</v>
      </c>
      <c r="N110" s="48">
        <f t="shared" ref="N110:AB110" si="109">SUM(N111:N117)</f>
        <v>0</v>
      </c>
      <c r="O110" s="48">
        <f t="shared" si="109"/>
        <v>0</v>
      </c>
      <c r="P110" s="48">
        <f t="shared" si="109"/>
        <v>0</v>
      </c>
      <c r="Q110" s="48">
        <f t="shared" si="109"/>
        <v>0</v>
      </c>
      <c r="R110" s="48">
        <f t="shared" si="109"/>
        <v>0</v>
      </c>
      <c r="S110" s="48">
        <f t="shared" si="109"/>
        <v>0</v>
      </c>
      <c r="T110" s="48">
        <f t="shared" si="109"/>
        <v>0</v>
      </c>
      <c r="U110" s="48">
        <f t="shared" si="109"/>
        <v>0</v>
      </c>
      <c r="V110" s="48">
        <f t="shared" si="109"/>
        <v>0</v>
      </c>
      <c r="W110" s="48">
        <f t="shared" si="109"/>
        <v>0</v>
      </c>
      <c r="X110" s="48">
        <f t="shared" si="109"/>
        <v>0</v>
      </c>
      <c r="Y110" s="48">
        <f t="shared" si="109"/>
        <v>0</v>
      </c>
      <c r="Z110" s="48">
        <f t="shared" si="109"/>
        <v>0</v>
      </c>
      <c r="AA110" s="48">
        <f t="shared" si="109"/>
        <v>0</v>
      </c>
      <c r="AB110" s="48">
        <f t="shared" si="109"/>
        <v>0</v>
      </c>
      <c r="AC110" s="45">
        <f t="shared" si="77"/>
        <v>0</v>
      </c>
      <c r="AD110" s="48">
        <f t="shared" ref="AD110" si="110">SUM(AD111:AD117)</f>
        <v>0</v>
      </c>
      <c r="AE110" s="48">
        <f t="shared" ref="AE110" si="111">SUM(AE111:AE117)</f>
        <v>0</v>
      </c>
      <c r="AF110" s="48">
        <f t="shared" ref="AF110" si="112">SUM(AF111:AF117)</f>
        <v>0</v>
      </c>
      <c r="AG110" s="48">
        <f t="shared" ref="AG110" si="113">SUM(AG111:AG117)</f>
        <v>0</v>
      </c>
      <c r="AH110" s="45">
        <f t="shared" si="82"/>
        <v>0</v>
      </c>
      <c r="AI110" s="48">
        <f t="shared" ref="AI110" si="114">SUM(AI111:AI117)</f>
        <v>0</v>
      </c>
      <c r="AJ110" s="48">
        <f t="shared" ref="AJ110" si="115">SUM(AJ111:AJ117)</f>
        <v>0</v>
      </c>
      <c r="AK110" s="48">
        <f t="shared" ref="AK110" si="116">SUM(AK111:AK117)</f>
        <v>0</v>
      </c>
      <c r="AL110" s="48">
        <f t="shared" ref="AL110" si="117">SUM(AL111:AL117)</f>
        <v>0</v>
      </c>
      <c r="AM110" s="147">
        <f t="shared" si="87"/>
        <v>0</v>
      </c>
    </row>
    <row r="111" spans="7:39" ht="21" x14ac:dyDescent="0.15">
      <c r="G111" s="212" t="s">
        <v>214</v>
      </c>
      <c r="H111" s="144" t="s">
        <v>215</v>
      </c>
      <c r="I111" s="46">
        <f t="shared" si="74"/>
        <v>0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45">
        <f t="shared" si="77"/>
        <v>0</v>
      </c>
      <c r="AD111" s="6"/>
      <c r="AE111" s="6"/>
      <c r="AF111" s="6"/>
      <c r="AG111" s="6"/>
      <c r="AH111" s="45">
        <f t="shared" si="82"/>
        <v>0</v>
      </c>
      <c r="AI111" s="6"/>
      <c r="AJ111" s="6"/>
      <c r="AK111" s="6"/>
      <c r="AL111" s="6"/>
      <c r="AM111" s="147">
        <f t="shared" si="87"/>
        <v>0</v>
      </c>
    </row>
    <row r="112" spans="7:39" x14ac:dyDescent="0.15">
      <c r="G112" s="212" t="s">
        <v>216</v>
      </c>
      <c r="H112" s="144" t="s">
        <v>217</v>
      </c>
      <c r="I112" s="46">
        <f t="shared" si="74"/>
        <v>0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45">
        <f t="shared" si="77"/>
        <v>0</v>
      </c>
      <c r="AD112" s="6"/>
      <c r="AE112" s="6"/>
      <c r="AF112" s="6"/>
      <c r="AG112" s="6"/>
      <c r="AH112" s="45">
        <f t="shared" si="82"/>
        <v>0</v>
      </c>
      <c r="AI112" s="6"/>
      <c r="AJ112" s="6"/>
      <c r="AK112" s="6"/>
      <c r="AL112" s="6"/>
      <c r="AM112" s="147">
        <f t="shared" si="87"/>
        <v>0</v>
      </c>
    </row>
    <row r="113" spans="7:39" x14ac:dyDescent="0.15">
      <c r="G113" s="212" t="s">
        <v>218</v>
      </c>
      <c r="H113" s="142" t="s">
        <v>219</v>
      </c>
      <c r="I113" s="46">
        <f t="shared" si="74"/>
        <v>0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45">
        <f t="shared" si="77"/>
        <v>0</v>
      </c>
      <c r="AD113" s="6"/>
      <c r="AE113" s="6"/>
      <c r="AF113" s="6"/>
      <c r="AG113" s="6"/>
      <c r="AH113" s="45">
        <f t="shared" si="82"/>
        <v>0</v>
      </c>
      <c r="AI113" s="6"/>
      <c r="AJ113" s="6"/>
      <c r="AK113" s="6"/>
      <c r="AL113" s="6"/>
      <c r="AM113" s="147">
        <f t="shared" si="87"/>
        <v>0</v>
      </c>
    </row>
    <row r="114" spans="7:39" x14ac:dyDescent="0.15">
      <c r="G114" s="212" t="s">
        <v>220</v>
      </c>
      <c r="H114" s="144" t="s">
        <v>221</v>
      </c>
      <c r="I114" s="46">
        <f t="shared" si="74"/>
        <v>0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45">
        <f t="shared" si="77"/>
        <v>0</v>
      </c>
      <c r="AD114" s="6"/>
      <c r="AE114" s="6"/>
      <c r="AF114" s="6"/>
      <c r="AG114" s="6"/>
      <c r="AH114" s="45">
        <f t="shared" si="82"/>
        <v>0</v>
      </c>
      <c r="AI114" s="6"/>
      <c r="AJ114" s="6"/>
      <c r="AK114" s="6"/>
      <c r="AL114" s="6"/>
      <c r="AM114" s="147">
        <f t="shared" si="87"/>
        <v>0</v>
      </c>
    </row>
    <row r="115" spans="7:39" x14ac:dyDescent="0.15">
      <c r="G115" s="212" t="s">
        <v>222</v>
      </c>
      <c r="H115" s="144" t="s">
        <v>223</v>
      </c>
      <c r="I115" s="46">
        <f t="shared" si="74"/>
        <v>0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45">
        <f t="shared" si="77"/>
        <v>0</v>
      </c>
      <c r="AD115" s="6"/>
      <c r="AE115" s="6"/>
      <c r="AF115" s="6"/>
      <c r="AG115" s="6"/>
      <c r="AH115" s="45">
        <f t="shared" si="82"/>
        <v>0</v>
      </c>
      <c r="AI115" s="6"/>
      <c r="AJ115" s="6"/>
      <c r="AK115" s="6"/>
      <c r="AL115" s="6"/>
      <c r="AM115" s="147">
        <f t="shared" si="87"/>
        <v>0</v>
      </c>
    </row>
    <row r="116" spans="7:39" x14ac:dyDescent="0.15">
      <c r="G116" s="212" t="s">
        <v>154</v>
      </c>
      <c r="H116" s="142" t="s">
        <v>224</v>
      </c>
      <c r="I116" s="46">
        <f t="shared" si="74"/>
        <v>0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45">
        <f t="shared" si="77"/>
        <v>0</v>
      </c>
      <c r="AD116" s="6"/>
      <c r="AE116" s="6"/>
      <c r="AF116" s="6"/>
      <c r="AG116" s="6"/>
      <c r="AH116" s="45">
        <f t="shared" si="82"/>
        <v>0</v>
      </c>
      <c r="AI116" s="6"/>
      <c r="AJ116" s="6"/>
      <c r="AK116" s="6"/>
      <c r="AL116" s="6"/>
      <c r="AM116" s="147">
        <f t="shared" si="87"/>
        <v>0</v>
      </c>
    </row>
    <row r="117" spans="7:39" x14ac:dyDescent="0.15">
      <c r="G117" s="212" t="s">
        <v>225</v>
      </c>
      <c r="H117" s="144" t="s">
        <v>226</v>
      </c>
      <c r="I117" s="46">
        <f t="shared" si="74"/>
        <v>0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45">
        <f t="shared" si="77"/>
        <v>0</v>
      </c>
      <c r="AD117" s="89"/>
      <c r="AE117" s="89"/>
      <c r="AF117" s="89"/>
      <c r="AG117" s="89"/>
      <c r="AH117" s="45">
        <f t="shared" si="82"/>
        <v>0</v>
      </c>
      <c r="AI117" s="89"/>
      <c r="AJ117" s="89"/>
      <c r="AK117" s="89"/>
      <c r="AL117" s="89"/>
      <c r="AM117" s="147">
        <f t="shared" si="87"/>
        <v>0</v>
      </c>
    </row>
    <row r="118" spans="7:39" x14ac:dyDescent="0.15">
      <c r="G118" s="211" t="s">
        <v>227</v>
      </c>
      <c r="H118" s="144" t="s">
        <v>228</v>
      </c>
      <c r="I118" s="46">
        <f t="shared" si="74"/>
        <v>0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45">
        <f t="shared" si="77"/>
        <v>0</v>
      </c>
      <c r="AD118" s="6"/>
      <c r="AE118" s="6"/>
      <c r="AF118" s="6"/>
      <c r="AG118" s="6"/>
      <c r="AH118" s="45">
        <f t="shared" si="82"/>
        <v>0</v>
      </c>
      <c r="AI118" s="6"/>
      <c r="AJ118" s="6"/>
      <c r="AK118" s="6"/>
      <c r="AL118" s="6"/>
      <c r="AM118" s="147">
        <f t="shared" si="87"/>
        <v>0</v>
      </c>
    </row>
    <row r="119" spans="7:39" x14ac:dyDescent="0.15">
      <c r="G119" s="211" t="s">
        <v>229</v>
      </c>
      <c r="H119" s="142" t="s">
        <v>230</v>
      </c>
      <c r="I119" s="46">
        <f t="shared" si="74"/>
        <v>0</v>
      </c>
      <c r="J119" s="46">
        <f t="shared" ref="J119:L119" si="118">SUM(J120:J123)</f>
        <v>0</v>
      </c>
      <c r="K119" s="46">
        <f t="shared" si="118"/>
        <v>0</v>
      </c>
      <c r="L119" s="46">
        <f t="shared" si="118"/>
        <v>0</v>
      </c>
      <c r="M119" s="46">
        <f>SUM(M120:M123)</f>
        <v>0</v>
      </c>
      <c r="N119" s="46">
        <f t="shared" ref="N119:AB119" si="119">SUM(N120:N123)</f>
        <v>0</v>
      </c>
      <c r="O119" s="46">
        <f t="shared" si="119"/>
        <v>0</v>
      </c>
      <c r="P119" s="46">
        <f t="shared" si="119"/>
        <v>0</v>
      </c>
      <c r="Q119" s="46">
        <f t="shared" si="119"/>
        <v>0</v>
      </c>
      <c r="R119" s="46">
        <f t="shared" si="119"/>
        <v>0</v>
      </c>
      <c r="S119" s="46">
        <f t="shared" si="119"/>
        <v>0</v>
      </c>
      <c r="T119" s="46">
        <f t="shared" si="119"/>
        <v>0</v>
      </c>
      <c r="U119" s="46">
        <f t="shared" si="119"/>
        <v>0</v>
      </c>
      <c r="V119" s="46">
        <f t="shared" si="119"/>
        <v>0</v>
      </c>
      <c r="W119" s="46">
        <f t="shared" si="119"/>
        <v>0</v>
      </c>
      <c r="X119" s="46">
        <f t="shared" si="119"/>
        <v>0</v>
      </c>
      <c r="Y119" s="46">
        <f t="shared" si="119"/>
        <v>0</v>
      </c>
      <c r="Z119" s="46">
        <f t="shared" si="119"/>
        <v>0</v>
      </c>
      <c r="AA119" s="46">
        <f t="shared" si="119"/>
        <v>0</v>
      </c>
      <c r="AB119" s="46">
        <f t="shared" si="119"/>
        <v>0</v>
      </c>
      <c r="AC119" s="45">
        <f t="shared" si="77"/>
        <v>0</v>
      </c>
      <c r="AD119" s="46">
        <f t="shared" ref="AD119" si="120">SUM(AD120:AD123)</f>
        <v>0</v>
      </c>
      <c r="AE119" s="46">
        <f t="shared" ref="AE119" si="121">SUM(AE120:AE123)</f>
        <v>0</v>
      </c>
      <c r="AF119" s="46">
        <f t="shared" ref="AF119" si="122">SUM(AF120:AF123)</f>
        <v>0</v>
      </c>
      <c r="AG119" s="46">
        <f t="shared" ref="AG119" si="123">SUM(AG120:AG123)</f>
        <v>0</v>
      </c>
      <c r="AH119" s="45">
        <f t="shared" si="82"/>
        <v>0</v>
      </c>
      <c r="AI119" s="46">
        <f t="shared" ref="AI119" si="124">SUM(AI120:AI123)</f>
        <v>0</v>
      </c>
      <c r="AJ119" s="46">
        <f t="shared" ref="AJ119" si="125">SUM(AJ120:AJ123)</f>
        <v>0</v>
      </c>
      <c r="AK119" s="46">
        <f t="shared" ref="AK119" si="126">SUM(AK120:AK123)</f>
        <v>0</v>
      </c>
      <c r="AL119" s="46">
        <f t="shared" ref="AL119" si="127">SUM(AL120:AL123)</f>
        <v>0</v>
      </c>
      <c r="AM119" s="147">
        <f t="shared" si="87"/>
        <v>0</v>
      </c>
    </row>
    <row r="120" spans="7:39" ht="21" x14ac:dyDescent="0.15">
      <c r="G120" s="212" t="s">
        <v>870</v>
      </c>
      <c r="H120" s="144" t="s">
        <v>231</v>
      </c>
      <c r="I120" s="46">
        <f t="shared" si="74"/>
        <v>0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45">
        <f t="shared" si="77"/>
        <v>0</v>
      </c>
      <c r="AD120" s="6"/>
      <c r="AE120" s="6"/>
      <c r="AF120" s="6"/>
      <c r="AG120" s="6"/>
      <c r="AH120" s="45">
        <f t="shared" si="82"/>
        <v>0</v>
      </c>
      <c r="AI120" s="6"/>
      <c r="AJ120" s="6"/>
      <c r="AK120" s="6"/>
      <c r="AL120" s="6"/>
      <c r="AM120" s="147">
        <f t="shared" si="87"/>
        <v>0</v>
      </c>
    </row>
    <row r="121" spans="7:39" x14ac:dyDescent="0.15">
      <c r="G121" s="212" t="s">
        <v>232</v>
      </c>
      <c r="H121" s="144" t="s">
        <v>233</v>
      </c>
      <c r="I121" s="46">
        <f t="shared" si="74"/>
        <v>0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45">
        <f t="shared" si="77"/>
        <v>0</v>
      </c>
      <c r="AD121" s="6"/>
      <c r="AE121" s="6"/>
      <c r="AF121" s="6"/>
      <c r="AG121" s="6"/>
      <c r="AH121" s="45">
        <f t="shared" si="82"/>
        <v>0</v>
      </c>
      <c r="AI121" s="6"/>
      <c r="AJ121" s="6"/>
      <c r="AK121" s="6"/>
      <c r="AL121" s="6"/>
      <c r="AM121" s="147">
        <f t="shared" si="87"/>
        <v>0</v>
      </c>
    </row>
    <row r="122" spans="7:39" x14ac:dyDescent="0.15">
      <c r="G122" s="212" t="s">
        <v>234</v>
      </c>
      <c r="H122" s="142" t="s">
        <v>235</v>
      </c>
      <c r="I122" s="46">
        <f t="shared" si="74"/>
        <v>0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45">
        <f t="shared" si="77"/>
        <v>0</v>
      </c>
      <c r="AD122" s="6"/>
      <c r="AE122" s="6"/>
      <c r="AF122" s="6"/>
      <c r="AG122" s="6"/>
      <c r="AH122" s="45">
        <f t="shared" si="82"/>
        <v>0</v>
      </c>
      <c r="AI122" s="6"/>
      <c r="AJ122" s="6"/>
      <c r="AK122" s="6"/>
      <c r="AL122" s="6"/>
      <c r="AM122" s="147">
        <f t="shared" si="87"/>
        <v>0</v>
      </c>
    </row>
    <row r="123" spans="7:39" ht="21" x14ac:dyDescent="0.15">
      <c r="G123" s="212" t="s">
        <v>236</v>
      </c>
      <c r="H123" s="144" t="s">
        <v>237</v>
      </c>
      <c r="I123" s="46">
        <f t="shared" si="74"/>
        <v>0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45">
        <f t="shared" si="77"/>
        <v>0</v>
      </c>
      <c r="AD123" s="6"/>
      <c r="AE123" s="6"/>
      <c r="AF123" s="6"/>
      <c r="AG123" s="6"/>
      <c r="AH123" s="45">
        <f t="shared" si="82"/>
        <v>0</v>
      </c>
      <c r="AI123" s="6"/>
      <c r="AJ123" s="6"/>
      <c r="AK123" s="6"/>
      <c r="AL123" s="6"/>
      <c r="AM123" s="147">
        <f t="shared" si="87"/>
        <v>0</v>
      </c>
    </row>
    <row r="124" spans="7:39" x14ac:dyDescent="0.15">
      <c r="G124" s="211" t="s">
        <v>238</v>
      </c>
      <c r="H124" s="144" t="s">
        <v>239</v>
      </c>
      <c r="I124" s="46">
        <f t="shared" si="74"/>
        <v>0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45">
        <f t="shared" si="77"/>
        <v>0</v>
      </c>
      <c r="AD124" s="6"/>
      <c r="AE124" s="6"/>
      <c r="AF124" s="6"/>
      <c r="AG124" s="6"/>
      <c r="AH124" s="45">
        <f t="shared" si="82"/>
        <v>0</v>
      </c>
      <c r="AI124" s="6"/>
      <c r="AJ124" s="6"/>
      <c r="AK124" s="6"/>
      <c r="AL124" s="6"/>
      <c r="AM124" s="147">
        <f t="shared" si="87"/>
        <v>0</v>
      </c>
    </row>
    <row r="125" spans="7:39" x14ac:dyDescent="0.15">
      <c r="G125" s="211" t="s">
        <v>240</v>
      </c>
      <c r="H125" s="142" t="s">
        <v>241</v>
      </c>
      <c r="I125" s="46">
        <f t="shared" si="74"/>
        <v>0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45">
        <f t="shared" si="77"/>
        <v>0</v>
      </c>
      <c r="AD125" s="6"/>
      <c r="AE125" s="6"/>
      <c r="AF125" s="6"/>
      <c r="AG125" s="6"/>
      <c r="AH125" s="45">
        <f t="shared" si="82"/>
        <v>0</v>
      </c>
      <c r="AI125" s="6"/>
      <c r="AJ125" s="6"/>
      <c r="AK125" s="6"/>
      <c r="AL125" s="6"/>
      <c r="AM125" s="147">
        <f t="shared" si="87"/>
        <v>0</v>
      </c>
    </row>
    <row r="126" spans="7:39" x14ac:dyDescent="0.15">
      <c r="G126" s="211" t="s">
        <v>242</v>
      </c>
      <c r="H126" s="144" t="s">
        <v>243</v>
      </c>
      <c r="I126" s="46">
        <f t="shared" si="74"/>
        <v>0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45">
        <f t="shared" si="77"/>
        <v>0</v>
      </c>
      <c r="AD126" s="6"/>
      <c r="AE126" s="6"/>
      <c r="AF126" s="6"/>
      <c r="AG126" s="6"/>
      <c r="AH126" s="45">
        <f t="shared" si="82"/>
        <v>0</v>
      </c>
      <c r="AI126" s="6"/>
      <c r="AJ126" s="6"/>
      <c r="AK126" s="6"/>
      <c r="AL126" s="6"/>
      <c r="AM126" s="147">
        <f t="shared" si="87"/>
        <v>0</v>
      </c>
    </row>
    <row r="127" spans="7:39" x14ac:dyDescent="0.15">
      <c r="G127" s="211" t="s">
        <v>244</v>
      </c>
      <c r="H127" s="144" t="s">
        <v>245</v>
      </c>
      <c r="I127" s="46">
        <f t="shared" si="74"/>
        <v>0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45">
        <f t="shared" si="77"/>
        <v>0</v>
      </c>
      <c r="AD127" s="6"/>
      <c r="AE127" s="6"/>
      <c r="AF127" s="6"/>
      <c r="AG127" s="6"/>
      <c r="AH127" s="45">
        <f t="shared" si="82"/>
        <v>0</v>
      </c>
      <c r="AI127" s="6"/>
      <c r="AJ127" s="6"/>
      <c r="AK127" s="6"/>
      <c r="AL127" s="6"/>
      <c r="AM127" s="147">
        <f t="shared" si="87"/>
        <v>0</v>
      </c>
    </row>
    <row r="128" spans="7:39" x14ac:dyDescent="0.15">
      <c r="G128" s="211" t="s">
        <v>246</v>
      </c>
      <c r="H128" s="142" t="s">
        <v>247</v>
      </c>
      <c r="I128" s="46">
        <f t="shared" si="74"/>
        <v>0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45">
        <f t="shared" si="77"/>
        <v>0</v>
      </c>
      <c r="AD128" s="6"/>
      <c r="AE128" s="6"/>
      <c r="AF128" s="6"/>
      <c r="AG128" s="6"/>
      <c r="AH128" s="45">
        <f t="shared" si="82"/>
        <v>0</v>
      </c>
      <c r="AI128" s="6"/>
      <c r="AJ128" s="6"/>
      <c r="AK128" s="6"/>
      <c r="AL128" s="6"/>
      <c r="AM128" s="147">
        <f t="shared" si="87"/>
        <v>0</v>
      </c>
    </row>
    <row r="129" spans="7:39" x14ac:dyDescent="0.15">
      <c r="G129" s="211" t="s">
        <v>248</v>
      </c>
      <c r="H129" s="144" t="s">
        <v>249</v>
      </c>
      <c r="I129" s="46">
        <f t="shared" si="74"/>
        <v>0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45">
        <f t="shared" si="77"/>
        <v>0</v>
      </c>
      <c r="AD129" s="6"/>
      <c r="AE129" s="6"/>
      <c r="AF129" s="6"/>
      <c r="AG129" s="6"/>
      <c r="AH129" s="45">
        <f t="shared" si="82"/>
        <v>0</v>
      </c>
      <c r="AI129" s="6"/>
      <c r="AJ129" s="6"/>
      <c r="AK129" s="6"/>
      <c r="AL129" s="6"/>
      <c r="AM129" s="147">
        <f t="shared" si="87"/>
        <v>0</v>
      </c>
    </row>
    <row r="130" spans="7:39" ht="15" customHeight="1" x14ac:dyDescent="0.15">
      <c r="G130" s="211" t="s">
        <v>895</v>
      </c>
      <c r="H130" s="144" t="s">
        <v>251</v>
      </c>
      <c r="I130" s="46">
        <f t="shared" ref="I130" si="128">SUM(J130:AB130)</f>
        <v>0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45">
        <f t="shared" ref="AC130" si="129">SUM(AD130:AG130)</f>
        <v>0</v>
      </c>
      <c r="AD130" s="6"/>
      <c r="AE130" s="6"/>
      <c r="AF130" s="6"/>
      <c r="AG130" s="6"/>
      <c r="AH130" s="45">
        <f t="shared" ref="AH130" si="130">SUM(AI130:AL130)</f>
        <v>0</v>
      </c>
      <c r="AI130" s="6"/>
      <c r="AJ130" s="6"/>
      <c r="AK130" s="6"/>
      <c r="AL130" s="6"/>
      <c r="AM130" s="147">
        <f t="shared" ref="AM130" si="131">SUM(J130:AL130)</f>
        <v>0</v>
      </c>
    </row>
    <row r="131" spans="7:39" ht="15" customHeight="1" x14ac:dyDescent="0.15">
      <c r="G131" s="211" t="s">
        <v>250</v>
      </c>
      <c r="H131" s="142" t="s">
        <v>253</v>
      </c>
      <c r="I131" s="46">
        <f t="shared" si="74"/>
        <v>0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45">
        <f t="shared" si="77"/>
        <v>0</v>
      </c>
      <c r="AD131" s="6"/>
      <c r="AE131" s="6"/>
      <c r="AF131" s="6"/>
      <c r="AG131" s="6"/>
      <c r="AH131" s="45">
        <f t="shared" si="82"/>
        <v>0</v>
      </c>
      <c r="AI131" s="6"/>
      <c r="AJ131" s="6"/>
      <c r="AK131" s="6"/>
      <c r="AL131" s="6"/>
      <c r="AM131" s="147">
        <f t="shared" si="87"/>
        <v>0</v>
      </c>
    </row>
    <row r="132" spans="7:39" x14ac:dyDescent="0.15">
      <c r="G132" s="211" t="s">
        <v>252</v>
      </c>
      <c r="H132" s="144" t="s">
        <v>255</v>
      </c>
      <c r="I132" s="46">
        <f t="shared" si="74"/>
        <v>0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45">
        <f t="shared" si="77"/>
        <v>0</v>
      </c>
      <c r="AD132" s="6"/>
      <c r="AE132" s="6"/>
      <c r="AF132" s="6"/>
      <c r="AG132" s="6"/>
      <c r="AH132" s="45">
        <f t="shared" si="82"/>
        <v>0</v>
      </c>
      <c r="AI132" s="6"/>
      <c r="AJ132" s="6"/>
      <c r="AK132" s="6"/>
      <c r="AL132" s="6"/>
      <c r="AM132" s="147">
        <f t="shared" si="87"/>
        <v>0</v>
      </c>
    </row>
    <row r="133" spans="7:39" x14ac:dyDescent="0.15">
      <c r="G133" s="211" t="s">
        <v>254</v>
      </c>
      <c r="H133" s="144" t="s">
        <v>257</v>
      </c>
      <c r="I133" s="46">
        <f t="shared" si="74"/>
        <v>0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45">
        <f t="shared" si="77"/>
        <v>0</v>
      </c>
      <c r="AD133" s="6"/>
      <c r="AE133" s="6"/>
      <c r="AF133" s="6"/>
      <c r="AG133" s="6"/>
      <c r="AH133" s="45">
        <f t="shared" si="82"/>
        <v>0</v>
      </c>
      <c r="AI133" s="6"/>
      <c r="AJ133" s="6"/>
      <c r="AK133" s="6"/>
      <c r="AL133" s="6"/>
      <c r="AM133" s="147">
        <f t="shared" si="87"/>
        <v>0</v>
      </c>
    </row>
    <row r="134" spans="7:39" ht="21" x14ac:dyDescent="0.15">
      <c r="G134" s="213" t="s">
        <v>256</v>
      </c>
      <c r="H134" s="142" t="s">
        <v>259</v>
      </c>
      <c r="I134" s="46">
        <f t="shared" si="74"/>
        <v>0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45">
        <f t="shared" si="77"/>
        <v>0</v>
      </c>
      <c r="AD134" s="6"/>
      <c r="AE134" s="6"/>
      <c r="AF134" s="6"/>
      <c r="AG134" s="6"/>
      <c r="AH134" s="45">
        <f t="shared" si="82"/>
        <v>0</v>
      </c>
      <c r="AI134" s="6"/>
      <c r="AJ134" s="6"/>
      <c r="AK134" s="6"/>
      <c r="AL134" s="6"/>
      <c r="AM134" s="147">
        <f t="shared" si="87"/>
        <v>0</v>
      </c>
    </row>
    <row r="135" spans="7:39" x14ac:dyDescent="0.15">
      <c r="G135" s="213" t="s">
        <v>258</v>
      </c>
      <c r="H135" s="144" t="s">
        <v>261</v>
      </c>
      <c r="I135" s="46">
        <f t="shared" si="74"/>
        <v>0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45">
        <f t="shared" si="77"/>
        <v>0</v>
      </c>
      <c r="AD135" s="6"/>
      <c r="AE135" s="6"/>
      <c r="AF135" s="6"/>
      <c r="AG135" s="6"/>
      <c r="AH135" s="45">
        <f t="shared" si="82"/>
        <v>0</v>
      </c>
      <c r="AI135" s="6"/>
      <c r="AJ135" s="6"/>
      <c r="AK135" s="6"/>
      <c r="AL135" s="6"/>
      <c r="AM135" s="147">
        <f t="shared" si="87"/>
        <v>0</v>
      </c>
    </row>
    <row r="136" spans="7:39" x14ac:dyDescent="0.15">
      <c r="G136" s="213" t="s">
        <v>260</v>
      </c>
      <c r="H136" s="144" t="s">
        <v>263</v>
      </c>
      <c r="I136" s="46">
        <f t="shared" si="74"/>
        <v>0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45">
        <f t="shared" si="77"/>
        <v>0</v>
      </c>
      <c r="AD136" s="6"/>
      <c r="AE136" s="6"/>
      <c r="AF136" s="6"/>
      <c r="AG136" s="6"/>
      <c r="AH136" s="45">
        <f t="shared" si="82"/>
        <v>0</v>
      </c>
      <c r="AI136" s="6"/>
      <c r="AJ136" s="6"/>
      <c r="AK136" s="6"/>
      <c r="AL136" s="6"/>
      <c r="AM136" s="147">
        <f t="shared" si="87"/>
        <v>0</v>
      </c>
    </row>
    <row r="137" spans="7:39" x14ac:dyDescent="0.15">
      <c r="G137" s="211" t="s">
        <v>262</v>
      </c>
      <c r="H137" s="142" t="s">
        <v>265</v>
      </c>
      <c r="I137" s="46">
        <f t="shared" si="74"/>
        <v>0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45">
        <f t="shared" si="77"/>
        <v>0</v>
      </c>
      <c r="AD137" s="6"/>
      <c r="AE137" s="6"/>
      <c r="AF137" s="6"/>
      <c r="AG137" s="6"/>
      <c r="AH137" s="45">
        <f t="shared" si="82"/>
        <v>0</v>
      </c>
      <c r="AI137" s="6"/>
      <c r="AJ137" s="6"/>
      <c r="AK137" s="6"/>
      <c r="AL137" s="6"/>
      <c r="AM137" s="147">
        <f t="shared" si="87"/>
        <v>0</v>
      </c>
    </row>
    <row r="138" spans="7:39" x14ac:dyDescent="0.15">
      <c r="G138" s="211" t="s">
        <v>264</v>
      </c>
      <c r="H138" s="144" t="s">
        <v>267</v>
      </c>
      <c r="I138" s="46">
        <f t="shared" si="74"/>
        <v>0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45">
        <f t="shared" si="77"/>
        <v>0</v>
      </c>
      <c r="AD138" s="6"/>
      <c r="AE138" s="6"/>
      <c r="AF138" s="6"/>
      <c r="AG138" s="6"/>
      <c r="AH138" s="45">
        <f t="shared" si="82"/>
        <v>0</v>
      </c>
      <c r="AI138" s="6"/>
      <c r="AJ138" s="6"/>
      <c r="AK138" s="6"/>
      <c r="AL138" s="6"/>
      <c r="AM138" s="147">
        <f t="shared" si="87"/>
        <v>0</v>
      </c>
    </row>
    <row r="139" spans="7:39" x14ac:dyDescent="0.15">
      <c r="G139" s="211" t="s">
        <v>266</v>
      </c>
      <c r="H139" s="144" t="s">
        <v>269</v>
      </c>
      <c r="I139" s="46">
        <f t="shared" si="74"/>
        <v>0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45">
        <f t="shared" si="77"/>
        <v>0</v>
      </c>
      <c r="AD139" s="6"/>
      <c r="AE139" s="6"/>
      <c r="AF139" s="6"/>
      <c r="AG139" s="6"/>
      <c r="AH139" s="45">
        <f t="shared" si="82"/>
        <v>0</v>
      </c>
      <c r="AI139" s="6"/>
      <c r="AJ139" s="6"/>
      <c r="AK139" s="6"/>
      <c r="AL139" s="6"/>
      <c r="AM139" s="147">
        <f t="shared" si="87"/>
        <v>0</v>
      </c>
    </row>
    <row r="140" spans="7:39" x14ac:dyDescent="0.15">
      <c r="G140" s="211" t="s">
        <v>268</v>
      </c>
      <c r="H140" s="142" t="s">
        <v>271</v>
      </c>
      <c r="I140" s="46">
        <f t="shared" si="74"/>
        <v>0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45">
        <f t="shared" si="77"/>
        <v>0</v>
      </c>
      <c r="AD140" s="6"/>
      <c r="AE140" s="6"/>
      <c r="AF140" s="6"/>
      <c r="AG140" s="6"/>
      <c r="AH140" s="45">
        <f t="shared" si="82"/>
        <v>0</v>
      </c>
      <c r="AI140" s="6"/>
      <c r="AJ140" s="6"/>
      <c r="AK140" s="6"/>
      <c r="AL140" s="6"/>
      <c r="AM140" s="147">
        <f t="shared" si="87"/>
        <v>0</v>
      </c>
    </row>
    <row r="141" spans="7:39" x14ac:dyDescent="0.15">
      <c r="G141" s="211" t="s">
        <v>270</v>
      </c>
      <c r="H141" s="144" t="s">
        <v>273</v>
      </c>
      <c r="I141" s="46">
        <f t="shared" ref="I141:I204" si="132">SUM(J141:AB141)</f>
        <v>0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45">
        <f t="shared" ref="AC141:AC204" si="133">SUM(AD141:AG141)</f>
        <v>0</v>
      </c>
      <c r="AD141" s="6"/>
      <c r="AE141" s="6"/>
      <c r="AF141" s="6"/>
      <c r="AG141" s="6"/>
      <c r="AH141" s="45">
        <f t="shared" ref="AH141:AH204" si="134">SUM(AI141:AL141)</f>
        <v>0</v>
      </c>
      <c r="AI141" s="6"/>
      <c r="AJ141" s="6"/>
      <c r="AK141" s="6"/>
      <c r="AL141" s="6"/>
      <c r="AM141" s="147">
        <f t="shared" ref="AM141:AM204" si="135">SUM(J141:AL141)</f>
        <v>0</v>
      </c>
    </row>
    <row r="142" spans="7:39" x14ac:dyDescent="0.15">
      <c r="G142" s="211" t="s">
        <v>272</v>
      </c>
      <c r="H142" s="144" t="s">
        <v>275</v>
      </c>
      <c r="I142" s="46">
        <f t="shared" si="132"/>
        <v>0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45">
        <f t="shared" si="133"/>
        <v>0</v>
      </c>
      <c r="AD142" s="6"/>
      <c r="AE142" s="6"/>
      <c r="AF142" s="6"/>
      <c r="AG142" s="6"/>
      <c r="AH142" s="45">
        <f t="shared" si="134"/>
        <v>0</v>
      </c>
      <c r="AI142" s="6"/>
      <c r="AJ142" s="6"/>
      <c r="AK142" s="6"/>
      <c r="AL142" s="6"/>
      <c r="AM142" s="147">
        <f t="shared" si="135"/>
        <v>0</v>
      </c>
    </row>
    <row r="143" spans="7:39" x14ac:dyDescent="0.15">
      <c r="G143" s="211" t="s">
        <v>274</v>
      </c>
      <c r="H143" s="142" t="s">
        <v>277</v>
      </c>
      <c r="I143" s="46">
        <f t="shared" si="132"/>
        <v>0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45">
        <f t="shared" si="133"/>
        <v>0</v>
      </c>
      <c r="AD143" s="6"/>
      <c r="AE143" s="6"/>
      <c r="AF143" s="6"/>
      <c r="AG143" s="6"/>
      <c r="AH143" s="45">
        <f t="shared" si="134"/>
        <v>0</v>
      </c>
      <c r="AI143" s="6"/>
      <c r="AJ143" s="6"/>
      <c r="AK143" s="6"/>
      <c r="AL143" s="6"/>
      <c r="AM143" s="147">
        <f t="shared" si="135"/>
        <v>0</v>
      </c>
    </row>
    <row r="144" spans="7:39" x14ac:dyDescent="0.15">
      <c r="G144" s="211" t="s">
        <v>276</v>
      </c>
      <c r="H144" s="144" t="s">
        <v>279</v>
      </c>
      <c r="I144" s="46">
        <f t="shared" si="132"/>
        <v>0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45">
        <f t="shared" si="133"/>
        <v>0</v>
      </c>
      <c r="AD144" s="6"/>
      <c r="AE144" s="6"/>
      <c r="AF144" s="6"/>
      <c r="AG144" s="6"/>
      <c r="AH144" s="45">
        <f t="shared" si="134"/>
        <v>0</v>
      </c>
      <c r="AI144" s="6"/>
      <c r="AJ144" s="6"/>
      <c r="AK144" s="6"/>
      <c r="AL144" s="6"/>
      <c r="AM144" s="147">
        <f t="shared" si="135"/>
        <v>0</v>
      </c>
    </row>
    <row r="145" spans="7:39" x14ac:dyDescent="0.15">
      <c r="G145" s="211" t="s">
        <v>278</v>
      </c>
      <c r="H145" s="144" t="s">
        <v>281</v>
      </c>
      <c r="I145" s="46">
        <f t="shared" si="132"/>
        <v>0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45">
        <f t="shared" si="133"/>
        <v>0</v>
      </c>
      <c r="AD145" s="6"/>
      <c r="AE145" s="6"/>
      <c r="AF145" s="6"/>
      <c r="AG145" s="6"/>
      <c r="AH145" s="45">
        <f t="shared" si="134"/>
        <v>0</v>
      </c>
      <c r="AI145" s="6"/>
      <c r="AJ145" s="6"/>
      <c r="AK145" s="6"/>
      <c r="AL145" s="6"/>
      <c r="AM145" s="147">
        <f t="shared" si="135"/>
        <v>0</v>
      </c>
    </row>
    <row r="146" spans="7:39" x14ac:dyDescent="0.15">
      <c r="G146" s="211" t="s">
        <v>280</v>
      </c>
      <c r="H146" s="142" t="s">
        <v>283</v>
      </c>
      <c r="I146" s="46">
        <f t="shared" si="132"/>
        <v>0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45">
        <f t="shared" si="133"/>
        <v>0</v>
      </c>
      <c r="AD146" s="6"/>
      <c r="AE146" s="6"/>
      <c r="AF146" s="6"/>
      <c r="AG146" s="6"/>
      <c r="AH146" s="45">
        <f t="shared" si="134"/>
        <v>0</v>
      </c>
      <c r="AI146" s="6"/>
      <c r="AJ146" s="6"/>
      <c r="AK146" s="6"/>
      <c r="AL146" s="6"/>
      <c r="AM146" s="147">
        <f t="shared" si="135"/>
        <v>0</v>
      </c>
    </row>
    <row r="147" spans="7:39" x14ac:dyDescent="0.15">
      <c r="G147" s="211" t="s">
        <v>282</v>
      </c>
      <c r="H147" s="144" t="s">
        <v>285</v>
      </c>
      <c r="I147" s="46">
        <f t="shared" si="132"/>
        <v>0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45">
        <f t="shared" si="133"/>
        <v>0</v>
      </c>
      <c r="AD147" s="6"/>
      <c r="AE147" s="6"/>
      <c r="AF147" s="6"/>
      <c r="AG147" s="6"/>
      <c r="AH147" s="45">
        <f t="shared" si="134"/>
        <v>0</v>
      </c>
      <c r="AI147" s="6"/>
      <c r="AJ147" s="6"/>
      <c r="AK147" s="6"/>
      <c r="AL147" s="6"/>
      <c r="AM147" s="147">
        <f t="shared" si="135"/>
        <v>0</v>
      </c>
    </row>
    <row r="148" spans="7:39" x14ac:dyDescent="0.15">
      <c r="G148" s="211" t="s">
        <v>284</v>
      </c>
      <c r="H148" s="144" t="s">
        <v>287</v>
      </c>
      <c r="I148" s="46">
        <f t="shared" si="132"/>
        <v>0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45">
        <f t="shared" si="133"/>
        <v>0</v>
      </c>
      <c r="AD148" s="6"/>
      <c r="AE148" s="6"/>
      <c r="AF148" s="6"/>
      <c r="AG148" s="6"/>
      <c r="AH148" s="45">
        <f t="shared" si="134"/>
        <v>0</v>
      </c>
      <c r="AI148" s="6"/>
      <c r="AJ148" s="6"/>
      <c r="AK148" s="6"/>
      <c r="AL148" s="6"/>
      <c r="AM148" s="147">
        <f t="shared" si="135"/>
        <v>0</v>
      </c>
    </row>
    <row r="149" spans="7:39" x14ac:dyDescent="0.15">
      <c r="G149" s="211" t="s">
        <v>286</v>
      </c>
      <c r="H149" s="142" t="s">
        <v>289</v>
      </c>
      <c r="I149" s="46">
        <f t="shared" si="132"/>
        <v>0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45">
        <f t="shared" si="133"/>
        <v>0</v>
      </c>
      <c r="AD149" s="6"/>
      <c r="AE149" s="6"/>
      <c r="AF149" s="6"/>
      <c r="AG149" s="6"/>
      <c r="AH149" s="45">
        <f t="shared" si="134"/>
        <v>0</v>
      </c>
      <c r="AI149" s="6"/>
      <c r="AJ149" s="6"/>
      <c r="AK149" s="6"/>
      <c r="AL149" s="6"/>
      <c r="AM149" s="147">
        <f t="shared" si="135"/>
        <v>0</v>
      </c>
    </row>
    <row r="150" spans="7:39" x14ac:dyDescent="0.15">
      <c r="G150" s="211" t="s">
        <v>288</v>
      </c>
      <c r="H150" s="144" t="s">
        <v>291</v>
      </c>
      <c r="I150" s="46">
        <f t="shared" si="132"/>
        <v>0</v>
      </c>
      <c r="J150" s="48">
        <f t="shared" ref="J150:L150" si="136">SUM(J151:J152)</f>
        <v>0</v>
      </c>
      <c r="K150" s="48">
        <f t="shared" si="136"/>
        <v>0</v>
      </c>
      <c r="L150" s="48">
        <f t="shared" si="136"/>
        <v>0</v>
      </c>
      <c r="M150" s="48">
        <f>SUM(M151:M152)</f>
        <v>0</v>
      </c>
      <c r="N150" s="48">
        <f t="shared" ref="N150:AB150" si="137">SUM(N151:N152)</f>
        <v>0</v>
      </c>
      <c r="O150" s="48">
        <f t="shared" si="137"/>
        <v>0</v>
      </c>
      <c r="P150" s="48">
        <f t="shared" si="137"/>
        <v>0</v>
      </c>
      <c r="Q150" s="48">
        <f t="shared" si="137"/>
        <v>0</v>
      </c>
      <c r="R150" s="48">
        <f t="shared" si="137"/>
        <v>0</v>
      </c>
      <c r="S150" s="48">
        <f t="shared" si="137"/>
        <v>0</v>
      </c>
      <c r="T150" s="48">
        <f t="shared" si="137"/>
        <v>0</v>
      </c>
      <c r="U150" s="48">
        <f t="shared" si="137"/>
        <v>0</v>
      </c>
      <c r="V150" s="48">
        <f t="shared" si="137"/>
        <v>0</v>
      </c>
      <c r="W150" s="48">
        <f t="shared" si="137"/>
        <v>0</v>
      </c>
      <c r="X150" s="48">
        <f t="shared" si="137"/>
        <v>0</v>
      </c>
      <c r="Y150" s="48">
        <f t="shared" si="137"/>
        <v>0</v>
      </c>
      <c r="Z150" s="48">
        <f t="shared" si="137"/>
        <v>0</v>
      </c>
      <c r="AA150" s="48">
        <f t="shared" si="137"/>
        <v>0</v>
      </c>
      <c r="AB150" s="48">
        <f t="shared" si="137"/>
        <v>0</v>
      </c>
      <c r="AC150" s="45">
        <f t="shared" si="133"/>
        <v>0</v>
      </c>
      <c r="AD150" s="48">
        <f t="shared" ref="AD150" si="138">SUM(AD151:AD152)</f>
        <v>0</v>
      </c>
      <c r="AE150" s="48">
        <f t="shared" ref="AE150" si="139">SUM(AE151:AE152)</f>
        <v>0</v>
      </c>
      <c r="AF150" s="48">
        <f t="shared" ref="AF150" si="140">SUM(AF151:AF152)</f>
        <v>0</v>
      </c>
      <c r="AG150" s="48">
        <f t="shared" ref="AG150" si="141">SUM(AG151:AG152)</f>
        <v>0</v>
      </c>
      <c r="AH150" s="45">
        <f t="shared" si="134"/>
        <v>0</v>
      </c>
      <c r="AI150" s="48">
        <f t="shared" ref="AI150" si="142">SUM(AI151:AI152)</f>
        <v>0</v>
      </c>
      <c r="AJ150" s="48">
        <f t="shared" ref="AJ150" si="143">SUM(AJ151:AJ152)</f>
        <v>0</v>
      </c>
      <c r="AK150" s="48">
        <f t="shared" ref="AK150" si="144">SUM(AK151:AK152)</f>
        <v>0</v>
      </c>
      <c r="AL150" s="48">
        <f t="shared" ref="AL150" si="145">SUM(AL151:AL152)</f>
        <v>0</v>
      </c>
      <c r="AM150" s="147">
        <f t="shared" si="135"/>
        <v>0</v>
      </c>
    </row>
    <row r="151" spans="7:39" ht="21" x14ac:dyDescent="0.15">
      <c r="G151" s="212" t="s">
        <v>290</v>
      </c>
      <c r="H151" s="144" t="s">
        <v>293</v>
      </c>
      <c r="I151" s="46">
        <f t="shared" si="132"/>
        <v>0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45">
        <f t="shared" si="133"/>
        <v>0</v>
      </c>
      <c r="AD151" s="6"/>
      <c r="AE151" s="6"/>
      <c r="AF151" s="6"/>
      <c r="AG151" s="6"/>
      <c r="AH151" s="45">
        <f t="shared" si="134"/>
        <v>0</v>
      </c>
      <c r="AI151" s="6"/>
      <c r="AJ151" s="6"/>
      <c r="AK151" s="6"/>
      <c r="AL151" s="6"/>
      <c r="AM151" s="147">
        <f t="shared" si="135"/>
        <v>0</v>
      </c>
    </row>
    <row r="152" spans="7:39" ht="21" x14ac:dyDescent="0.15">
      <c r="G152" s="212" t="s">
        <v>292</v>
      </c>
      <c r="H152" s="142" t="s">
        <v>295</v>
      </c>
      <c r="I152" s="46">
        <f t="shared" si="132"/>
        <v>0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45">
        <f t="shared" si="133"/>
        <v>0</v>
      </c>
      <c r="AD152" s="6"/>
      <c r="AE152" s="6"/>
      <c r="AF152" s="6"/>
      <c r="AG152" s="6"/>
      <c r="AH152" s="45">
        <f t="shared" si="134"/>
        <v>0</v>
      </c>
      <c r="AI152" s="6"/>
      <c r="AJ152" s="6"/>
      <c r="AK152" s="6"/>
      <c r="AL152" s="6"/>
      <c r="AM152" s="147">
        <f t="shared" si="135"/>
        <v>0</v>
      </c>
    </row>
    <row r="153" spans="7:39" x14ac:dyDescent="0.15">
      <c r="G153" s="211" t="s">
        <v>294</v>
      </c>
      <c r="H153" s="144" t="s">
        <v>297</v>
      </c>
      <c r="I153" s="46">
        <f t="shared" si="132"/>
        <v>0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45">
        <f t="shared" si="133"/>
        <v>0</v>
      </c>
      <c r="AD153" s="6"/>
      <c r="AE153" s="6"/>
      <c r="AF153" s="6"/>
      <c r="AG153" s="6"/>
      <c r="AH153" s="45">
        <f t="shared" si="134"/>
        <v>0</v>
      </c>
      <c r="AI153" s="6"/>
      <c r="AJ153" s="6"/>
      <c r="AK153" s="6"/>
      <c r="AL153" s="6"/>
      <c r="AM153" s="147">
        <f t="shared" si="135"/>
        <v>0</v>
      </c>
    </row>
    <row r="154" spans="7:39" x14ac:dyDescent="0.15">
      <c r="G154" s="211" t="s">
        <v>296</v>
      </c>
      <c r="H154" s="144" t="s">
        <v>299</v>
      </c>
      <c r="I154" s="46">
        <f t="shared" si="132"/>
        <v>0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45">
        <f t="shared" si="133"/>
        <v>0</v>
      </c>
      <c r="AD154" s="6"/>
      <c r="AE154" s="6"/>
      <c r="AF154" s="6"/>
      <c r="AG154" s="6"/>
      <c r="AH154" s="45">
        <f t="shared" si="134"/>
        <v>0</v>
      </c>
      <c r="AI154" s="6"/>
      <c r="AJ154" s="6"/>
      <c r="AK154" s="6"/>
      <c r="AL154" s="6"/>
      <c r="AM154" s="147">
        <f t="shared" si="135"/>
        <v>0</v>
      </c>
    </row>
    <row r="155" spans="7:39" x14ac:dyDescent="0.15">
      <c r="G155" s="211" t="s">
        <v>298</v>
      </c>
      <c r="H155" s="142" t="s">
        <v>301</v>
      </c>
      <c r="I155" s="46">
        <f t="shared" si="132"/>
        <v>0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45">
        <f t="shared" si="133"/>
        <v>0</v>
      </c>
      <c r="AD155" s="6"/>
      <c r="AE155" s="6"/>
      <c r="AF155" s="6"/>
      <c r="AG155" s="6"/>
      <c r="AH155" s="45">
        <f t="shared" si="134"/>
        <v>0</v>
      </c>
      <c r="AI155" s="6"/>
      <c r="AJ155" s="6"/>
      <c r="AK155" s="6"/>
      <c r="AL155" s="6"/>
      <c r="AM155" s="147">
        <f t="shared" si="135"/>
        <v>0</v>
      </c>
    </row>
    <row r="156" spans="7:39" x14ac:dyDescent="0.15">
      <c r="G156" s="211" t="s">
        <v>300</v>
      </c>
      <c r="H156" s="144" t="s">
        <v>303</v>
      </c>
      <c r="I156" s="46">
        <f t="shared" si="132"/>
        <v>0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45">
        <f t="shared" si="133"/>
        <v>0</v>
      </c>
      <c r="AD156" s="6"/>
      <c r="AE156" s="6"/>
      <c r="AF156" s="6"/>
      <c r="AG156" s="6"/>
      <c r="AH156" s="45">
        <f t="shared" si="134"/>
        <v>0</v>
      </c>
      <c r="AI156" s="6"/>
      <c r="AJ156" s="6"/>
      <c r="AK156" s="6"/>
      <c r="AL156" s="6"/>
      <c r="AM156" s="147">
        <f t="shared" si="135"/>
        <v>0</v>
      </c>
    </row>
    <row r="157" spans="7:39" x14ac:dyDescent="0.15">
      <c r="G157" s="211" t="s">
        <v>302</v>
      </c>
      <c r="H157" s="144" t="s">
        <v>305</v>
      </c>
      <c r="I157" s="46">
        <f t="shared" si="132"/>
        <v>0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45">
        <f t="shared" si="133"/>
        <v>0</v>
      </c>
      <c r="AD157" s="6"/>
      <c r="AE157" s="6"/>
      <c r="AF157" s="6"/>
      <c r="AG157" s="6"/>
      <c r="AH157" s="45">
        <f t="shared" si="134"/>
        <v>0</v>
      </c>
      <c r="AI157" s="6"/>
      <c r="AJ157" s="6"/>
      <c r="AK157" s="6"/>
      <c r="AL157" s="6"/>
      <c r="AM157" s="147">
        <f t="shared" si="135"/>
        <v>0</v>
      </c>
    </row>
    <row r="158" spans="7:39" x14ac:dyDescent="0.15">
      <c r="G158" s="211" t="s">
        <v>304</v>
      </c>
      <c r="H158" s="142" t="s">
        <v>307</v>
      </c>
      <c r="I158" s="46">
        <f t="shared" si="132"/>
        <v>0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45">
        <f t="shared" si="133"/>
        <v>0</v>
      </c>
      <c r="AD158" s="6"/>
      <c r="AE158" s="6"/>
      <c r="AF158" s="6"/>
      <c r="AG158" s="6"/>
      <c r="AH158" s="45">
        <f t="shared" si="134"/>
        <v>0</v>
      </c>
      <c r="AI158" s="6"/>
      <c r="AJ158" s="6"/>
      <c r="AK158" s="6"/>
      <c r="AL158" s="6"/>
      <c r="AM158" s="147">
        <f t="shared" si="135"/>
        <v>0</v>
      </c>
    </row>
    <row r="159" spans="7:39" x14ac:dyDescent="0.15">
      <c r="G159" s="211" t="s">
        <v>306</v>
      </c>
      <c r="H159" s="144" t="s">
        <v>309</v>
      </c>
      <c r="I159" s="46">
        <f t="shared" si="132"/>
        <v>0</v>
      </c>
      <c r="J159" s="46">
        <f t="shared" ref="J159:L159" si="146">SUM(J160:J163)</f>
        <v>0</v>
      </c>
      <c r="K159" s="46">
        <f t="shared" si="146"/>
        <v>0</v>
      </c>
      <c r="L159" s="46">
        <f t="shared" si="146"/>
        <v>0</v>
      </c>
      <c r="M159" s="46">
        <f>SUM(M160:M163)</f>
        <v>0</v>
      </c>
      <c r="N159" s="46">
        <f t="shared" ref="N159:AB159" si="147">SUM(N160:N163)</f>
        <v>0</v>
      </c>
      <c r="O159" s="46">
        <f t="shared" si="147"/>
        <v>0</v>
      </c>
      <c r="P159" s="46">
        <f t="shared" si="147"/>
        <v>0</v>
      </c>
      <c r="Q159" s="46">
        <f t="shared" si="147"/>
        <v>0</v>
      </c>
      <c r="R159" s="46">
        <f t="shared" si="147"/>
        <v>0</v>
      </c>
      <c r="S159" s="46">
        <f t="shared" si="147"/>
        <v>0</v>
      </c>
      <c r="T159" s="46">
        <f t="shared" si="147"/>
        <v>0</v>
      </c>
      <c r="U159" s="46">
        <f t="shared" si="147"/>
        <v>0</v>
      </c>
      <c r="V159" s="46">
        <f t="shared" si="147"/>
        <v>0</v>
      </c>
      <c r="W159" s="46">
        <f t="shared" si="147"/>
        <v>0</v>
      </c>
      <c r="X159" s="46">
        <f t="shared" si="147"/>
        <v>0</v>
      </c>
      <c r="Y159" s="46">
        <f t="shared" si="147"/>
        <v>0</v>
      </c>
      <c r="Z159" s="46">
        <f t="shared" si="147"/>
        <v>0</v>
      </c>
      <c r="AA159" s="46">
        <f t="shared" si="147"/>
        <v>0</v>
      </c>
      <c r="AB159" s="46">
        <f t="shared" si="147"/>
        <v>0</v>
      </c>
      <c r="AC159" s="45">
        <f t="shared" si="133"/>
        <v>0</v>
      </c>
      <c r="AD159" s="46">
        <f t="shared" ref="AD159" si="148">SUM(AD160:AD163)</f>
        <v>0</v>
      </c>
      <c r="AE159" s="46">
        <f t="shared" ref="AE159" si="149">SUM(AE160:AE163)</f>
        <v>0</v>
      </c>
      <c r="AF159" s="46">
        <f t="shared" ref="AF159" si="150">SUM(AF160:AF163)</f>
        <v>0</v>
      </c>
      <c r="AG159" s="46">
        <f t="shared" ref="AG159" si="151">SUM(AG160:AG163)</f>
        <v>0</v>
      </c>
      <c r="AH159" s="45">
        <f t="shared" si="134"/>
        <v>0</v>
      </c>
      <c r="AI159" s="46">
        <f t="shared" ref="AI159" si="152">SUM(AI160:AI163)</f>
        <v>0</v>
      </c>
      <c r="AJ159" s="46">
        <f t="shared" ref="AJ159" si="153">SUM(AJ160:AJ163)</f>
        <v>0</v>
      </c>
      <c r="AK159" s="46">
        <f t="shared" ref="AK159" si="154">SUM(AK160:AK163)</f>
        <v>0</v>
      </c>
      <c r="AL159" s="46">
        <f t="shared" ref="AL159" si="155">SUM(AL160:AL163)</f>
        <v>0</v>
      </c>
      <c r="AM159" s="147">
        <f t="shared" si="135"/>
        <v>0</v>
      </c>
    </row>
    <row r="160" spans="7:39" ht="21" x14ac:dyDescent="0.15">
      <c r="G160" s="212" t="s">
        <v>308</v>
      </c>
      <c r="H160" s="144" t="s">
        <v>311</v>
      </c>
      <c r="I160" s="46">
        <f t="shared" si="132"/>
        <v>0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45">
        <f t="shared" si="133"/>
        <v>0</v>
      </c>
      <c r="AD160" s="6"/>
      <c r="AE160" s="6"/>
      <c r="AF160" s="6"/>
      <c r="AG160" s="6"/>
      <c r="AH160" s="45">
        <f t="shared" si="134"/>
        <v>0</v>
      </c>
      <c r="AI160" s="6"/>
      <c r="AJ160" s="6"/>
      <c r="AK160" s="6"/>
      <c r="AL160" s="6"/>
      <c r="AM160" s="147">
        <f t="shared" si="135"/>
        <v>0</v>
      </c>
    </row>
    <row r="161" spans="7:39" x14ac:dyDescent="0.15">
      <c r="G161" s="212" t="s">
        <v>310</v>
      </c>
      <c r="H161" s="142" t="s">
        <v>313</v>
      </c>
      <c r="I161" s="46">
        <f t="shared" si="132"/>
        <v>0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45">
        <f t="shared" si="133"/>
        <v>0</v>
      </c>
      <c r="AD161" s="6"/>
      <c r="AE161" s="6"/>
      <c r="AF161" s="6"/>
      <c r="AG161" s="6"/>
      <c r="AH161" s="45">
        <f t="shared" si="134"/>
        <v>0</v>
      </c>
      <c r="AI161" s="6"/>
      <c r="AJ161" s="6"/>
      <c r="AK161" s="6"/>
      <c r="AL161" s="6"/>
      <c r="AM161" s="147">
        <f t="shared" si="135"/>
        <v>0</v>
      </c>
    </row>
    <row r="162" spans="7:39" x14ac:dyDescent="0.15">
      <c r="G162" s="212" t="s">
        <v>312</v>
      </c>
      <c r="H162" s="144" t="s">
        <v>315</v>
      </c>
      <c r="I162" s="46">
        <f t="shared" si="132"/>
        <v>0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45">
        <f t="shared" si="133"/>
        <v>0</v>
      </c>
      <c r="AD162" s="6"/>
      <c r="AE162" s="6"/>
      <c r="AF162" s="6"/>
      <c r="AG162" s="6"/>
      <c r="AH162" s="45">
        <f t="shared" si="134"/>
        <v>0</v>
      </c>
      <c r="AI162" s="6"/>
      <c r="AJ162" s="6"/>
      <c r="AK162" s="6"/>
      <c r="AL162" s="6"/>
      <c r="AM162" s="147">
        <f t="shared" si="135"/>
        <v>0</v>
      </c>
    </row>
    <row r="163" spans="7:39" x14ac:dyDescent="0.15">
      <c r="G163" s="212" t="s">
        <v>314</v>
      </c>
      <c r="H163" s="144" t="s">
        <v>317</v>
      </c>
      <c r="I163" s="46">
        <f t="shared" si="132"/>
        <v>0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45">
        <f t="shared" si="133"/>
        <v>0</v>
      </c>
      <c r="AD163" s="6"/>
      <c r="AE163" s="6"/>
      <c r="AF163" s="6"/>
      <c r="AG163" s="6"/>
      <c r="AH163" s="45">
        <f t="shared" si="134"/>
        <v>0</v>
      </c>
      <c r="AI163" s="6"/>
      <c r="AJ163" s="6"/>
      <c r="AK163" s="6"/>
      <c r="AL163" s="6"/>
      <c r="AM163" s="147">
        <f t="shared" si="135"/>
        <v>0</v>
      </c>
    </row>
    <row r="164" spans="7:39" x14ac:dyDescent="0.15">
      <c r="G164" s="211" t="s">
        <v>316</v>
      </c>
      <c r="H164" s="142" t="s">
        <v>319</v>
      </c>
      <c r="I164" s="46">
        <f t="shared" si="132"/>
        <v>0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45">
        <f t="shared" si="133"/>
        <v>0</v>
      </c>
      <c r="AD164" s="6"/>
      <c r="AE164" s="6"/>
      <c r="AF164" s="6"/>
      <c r="AG164" s="6"/>
      <c r="AH164" s="45">
        <f t="shared" si="134"/>
        <v>0</v>
      </c>
      <c r="AI164" s="6"/>
      <c r="AJ164" s="6"/>
      <c r="AK164" s="6"/>
      <c r="AL164" s="6"/>
      <c r="AM164" s="147">
        <f t="shared" si="135"/>
        <v>0</v>
      </c>
    </row>
    <row r="165" spans="7:39" x14ac:dyDescent="0.15">
      <c r="G165" s="211" t="s">
        <v>318</v>
      </c>
      <c r="H165" s="144" t="s">
        <v>321</v>
      </c>
      <c r="I165" s="46">
        <f t="shared" si="132"/>
        <v>0</v>
      </c>
      <c r="J165" s="46">
        <f t="shared" ref="J165:L165" si="156">SUM(J166:J170)</f>
        <v>0</v>
      </c>
      <c r="K165" s="46">
        <f t="shared" si="156"/>
        <v>0</v>
      </c>
      <c r="L165" s="46">
        <f t="shared" si="156"/>
        <v>0</v>
      </c>
      <c r="M165" s="46">
        <f>SUM(M166:M170)</f>
        <v>0</v>
      </c>
      <c r="N165" s="46">
        <f t="shared" ref="N165:AB165" si="157">SUM(N166:N170)</f>
        <v>0</v>
      </c>
      <c r="O165" s="46">
        <f t="shared" si="157"/>
        <v>0</v>
      </c>
      <c r="P165" s="46">
        <f t="shared" si="157"/>
        <v>0</v>
      </c>
      <c r="Q165" s="46">
        <f t="shared" si="157"/>
        <v>0</v>
      </c>
      <c r="R165" s="46">
        <f t="shared" si="157"/>
        <v>0</v>
      </c>
      <c r="S165" s="46">
        <f t="shared" si="157"/>
        <v>0</v>
      </c>
      <c r="T165" s="46">
        <f t="shared" si="157"/>
        <v>0</v>
      </c>
      <c r="U165" s="46">
        <f t="shared" si="157"/>
        <v>0</v>
      </c>
      <c r="V165" s="46">
        <f t="shared" si="157"/>
        <v>0</v>
      </c>
      <c r="W165" s="46">
        <f t="shared" si="157"/>
        <v>0</v>
      </c>
      <c r="X165" s="46">
        <f t="shared" si="157"/>
        <v>0</v>
      </c>
      <c r="Y165" s="46">
        <f t="shared" si="157"/>
        <v>0</v>
      </c>
      <c r="Z165" s="46">
        <f t="shared" si="157"/>
        <v>0</v>
      </c>
      <c r="AA165" s="46">
        <f t="shared" si="157"/>
        <v>0</v>
      </c>
      <c r="AB165" s="46">
        <f t="shared" si="157"/>
        <v>0</v>
      </c>
      <c r="AC165" s="45">
        <f t="shared" si="133"/>
        <v>0</v>
      </c>
      <c r="AD165" s="46">
        <f t="shared" ref="AD165" si="158">SUM(AD166:AD170)</f>
        <v>0</v>
      </c>
      <c r="AE165" s="46">
        <f t="shared" ref="AE165" si="159">SUM(AE166:AE170)</f>
        <v>0</v>
      </c>
      <c r="AF165" s="46">
        <f t="shared" ref="AF165" si="160">SUM(AF166:AF170)</f>
        <v>0</v>
      </c>
      <c r="AG165" s="46">
        <f t="shared" ref="AG165" si="161">SUM(AG166:AG170)</f>
        <v>0</v>
      </c>
      <c r="AH165" s="45">
        <f t="shared" si="134"/>
        <v>0</v>
      </c>
      <c r="AI165" s="46">
        <f t="shared" ref="AI165" si="162">SUM(AI166:AI170)</f>
        <v>0</v>
      </c>
      <c r="AJ165" s="46">
        <f t="shared" ref="AJ165" si="163">SUM(AJ166:AJ170)</f>
        <v>0</v>
      </c>
      <c r="AK165" s="46">
        <f t="shared" ref="AK165" si="164">SUM(AK166:AK170)</f>
        <v>0</v>
      </c>
      <c r="AL165" s="46">
        <f t="shared" ref="AL165" si="165">SUM(AL166:AL170)</f>
        <v>0</v>
      </c>
      <c r="AM165" s="147">
        <f t="shared" si="135"/>
        <v>0</v>
      </c>
    </row>
    <row r="166" spans="7:39" ht="21" x14ac:dyDescent="0.15">
      <c r="G166" s="212" t="s">
        <v>320</v>
      </c>
      <c r="H166" s="144" t="s">
        <v>323</v>
      </c>
      <c r="I166" s="46">
        <f t="shared" si="132"/>
        <v>0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45">
        <f t="shared" si="133"/>
        <v>0</v>
      </c>
      <c r="AD166" s="6"/>
      <c r="AE166" s="6"/>
      <c r="AF166" s="6"/>
      <c r="AG166" s="6"/>
      <c r="AH166" s="45">
        <f t="shared" si="134"/>
        <v>0</v>
      </c>
      <c r="AI166" s="6"/>
      <c r="AJ166" s="6"/>
      <c r="AK166" s="6"/>
      <c r="AL166" s="6"/>
      <c r="AM166" s="147">
        <f t="shared" si="135"/>
        <v>0</v>
      </c>
    </row>
    <row r="167" spans="7:39" x14ac:dyDescent="0.15">
      <c r="G167" s="212" t="s">
        <v>322</v>
      </c>
      <c r="H167" s="142" t="s">
        <v>325</v>
      </c>
      <c r="I167" s="46">
        <f t="shared" si="132"/>
        <v>0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45">
        <f t="shared" si="133"/>
        <v>0</v>
      </c>
      <c r="AD167" s="6"/>
      <c r="AE167" s="6"/>
      <c r="AF167" s="6"/>
      <c r="AG167" s="6"/>
      <c r="AH167" s="45">
        <f t="shared" si="134"/>
        <v>0</v>
      </c>
      <c r="AI167" s="6"/>
      <c r="AJ167" s="6"/>
      <c r="AK167" s="6"/>
      <c r="AL167" s="6"/>
      <c r="AM167" s="147">
        <f t="shared" si="135"/>
        <v>0</v>
      </c>
    </row>
    <row r="168" spans="7:39" x14ac:dyDescent="0.15">
      <c r="G168" s="212" t="s">
        <v>324</v>
      </c>
      <c r="H168" s="144" t="s">
        <v>327</v>
      </c>
      <c r="I168" s="46">
        <f t="shared" si="132"/>
        <v>0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45">
        <f t="shared" si="133"/>
        <v>0</v>
      </c>
      <c r="AD168" s="6"/>
      <c r="AE168" s="6"/>
      <c r="AF168" s="6"/>
      <c r="AG168" s="6"/>
      <c r="AH168" s="45">
        <f t="shared" si="134"/>
        <v>0</v>
      </c>
      <c r="AI168" s="6"/>
      <c r="AJ168" s="6"/>
      <c r="AK168" s="6"/>
      <c r="AL168" s="6"/>
      <c r="AM168" s="147">
        <f t="shared" si="135"/>
        <v>0</v>
      </c>
    </row>
    <row r="169" spans="7:39" x14ac:dyDescent="0.15">
      <c r="G169" s="212" t="s">
        <v>326</v>
      </c>
      <c r="H169" s="144" t="s">
        <v>329</v>
      </c>
      <c r="I169" s="46">
        <f t="shared" si="132"/>
        <v>0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45">
        <f t="shared" si="133"/>
        <v>0</v>
      </c>
      <c r="AD169" s="6"/>
      <c r="AE169" s="6"/>
      <c r="AF169" s="6"/>
      <c r="AG169" s="6"/>
      <c r="AH169" s="45">
        <f t="shared" si="134"/>
        <v>0</v>
      </c>
      <c r="AI169" s="6"/>
      <c r="AJ169" s="6"/>
      <c r="AK169" s="6"/>
      <c r="AL169" s="6"/>
      <c r="AM169" s="147">
        <f t="shared" si="135"/>
        <v>0</v>
      </c>
    </row>
    <row r="170" spans="7:39" ht="21" x14ac:dyDescent="0.15">
      <c r="G170" s="212" t="s">
        <v>328</v>
      </c>
      <c r="H170" s="142" t="s">
        <v>331</v>
      </c>
      <c r="I170" s="46">
        <f t="shared" si="132"/>
        <v>0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45">
        <f t="shared" si="133"/>
        <v>0</v>
      </c>
      <c r="AD170" s="6"/>
      <c r="AE170" s="6"/>
      <c r="AF170" s="6"/>
      <c r="AG170" s="6"/>
      <c r="AH170" s="45">
        <f t="shared" si="134"/>
        <v>0</v>
      </c>
      <c r="AI170" s="6"/>
      <c r="AJ170" s="6"/>
      <c r="AK170" s="6"/>
      <c r="AL170" s="6"/>
      <c r="AM170" s="147">
        <f t="shared" si="135"/>
        <v>0</v>
      </c>
    </row>
    <row r="171" spans="7:39" x14ac:dyDescent="0.15">
      <c r="G171" s="211" t="s">
        <v>330</v>
      </c>
      <c r="H171" s="144" t="s">
        <v>333</v>
      </c>
      <c r="I171" s="46">
        <f t="shared" si="132"/>
        <v>0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45">
        <f t="shared" si="133"/>
        <v>0</v>
      </c>
      <c r="AD171" s="6"/>
      <c r="AE171" s="6"/>
      <c r="AF171" s="6"/>
      <c r="AG171" s="6"/>
      <c r="AH171" s="45">
        <f t="shared" si="134"/>
        <v>0</v>
      </c>
      <c r="AI171" s="6"/>
      <c r="AJ171" s="6"/>
      <c r="AK171" s="6"/>
      <c r="AL171" s="6"/>
      <c r="AM171" s="147">
        <f t="shared" si="135"/>
        <v>0</v>
      </c>
    </row>
    <row r="172" spans="7:39" x14ac:dyDescent="0.15">
      <c r="G172" s="211" t="s">
        <v>332</v>
      </c>
      <c r="H172" s="144" t="s">
        <v>335</v>
      </c>
      <c r="I172" s="46">
        <f t="shared" si="132"/>
        <v>0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45">
        <f t="shared" si="133"/>
        <v>0</v>
      </c>
      <c r="AD172" s="6"/>
      <c r="AE172" s="6"/>
      <c r="AF172" s="6"/>
      <c r="AG172" s="6"/>
      <c r="AH172" s="45">
        <f t="shared" si="134"/>
        <v>0</v>
      </c>
      <c r="AI172" s="6"/>
      <c r="AJ172" s="6"/>
      <c r="AK172" s="6"/>
      <c r="AL172" s="6"/>
      <c r="AM172" s="147">
        <f t="shared" si="135"/>
        <v>0</v>
      </c>
    </row>
    <row r="173" spans="7:39" x14ac:dyDescent="0.15">
      <c r="G173" s="211" t="s">
        <v>334</v>
      </c>
      <c r="H173" s="142" t="s">
        <v>337</v>
      </c>
      <c r="I173" s="46">
        <f t="shared" si="132"/>
        <v>0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45">
        <f t="shared" si="133"/>
        <v>0</v>
      </c>
      <c r="AD173" s="6"/>
      <c r="AE173" s="6"/>
      <c r="AF173" s="6"/>
      <c r="AG173" s="6"/>
      <c r="AH173" s="45">
        <f t="shared" si="134"/>
        <v>0</v>
      </c>
      <c r="AI173" s="6"/>
      <c r="AJ173" s="6"/>
      <c r="AK173" s="6"/>
      <c r="AL173" s="6"/>
      <c r="AM173" s="147">
        <f t="shared" si="135"/>
        <v>0</v>
      </c>
    </row>
    <row r="174" spans="7:39" x14ac:dyDescent="0.15">
      <c r="G174" s="211" t="s">
        <v>336</v>
      </c>
      <c r="H174" s="144" t="s">
        <v>339</v>
      </c>
      <c r="I174" s="46">
        <f t="shared" si="132"/>
        <v>0</v>
      </c>
      <c r="J174" s="46">
        <f t="shared" ref="J174:L174" si="166">SUM(J175:J179)</f>
        <v>0</v>
      </c>
      <c r="K174" s="46">
        <f t="shared" si="166"/>
        <v>0</v>
      </c>
      <c r="L174" s="46">
        <f t="shared" si="166"/>
        <v>0</v>
      </c>
      <c r="M174" s="46">
        <f>SUM(M175:M179)</f>
        <v>0</v>
      </c>
      <c r="N174" s="46">
        <f t="shared" ref="N174:AB174" si="167">SUM(N175:N179)</f>
        <v>0</v>
      </c>
      <c r="O174" s="46">
        <f t="shared" si="167"/>
        <v>0</v>
      </c>
      <c r="P174" s="46">
        <f t="shared" si="167"/>
        <v>0</v>
      </c>
      <c r="Q174" s="46">
        <f t="shared" si="167"/>
        <v>0</v>
      </c>
      <c r="R174" s="46">
        <f t="shared" si="167"/>
        <v>0</v>
      </c>
      <c r="S174" s="46">
        <f t="shared" si="167"/>
        <v>0</v>
      </c>
      <c r="T174" s="46">
        <f t="shared" si="167"/>
        <v>0</v>
      </c>
      <c r="U174" s="46">
        <f t="shared" si="167"/>
        <v>0</v>
      </c>
      <c r="V174" s="46">
        <f t="shared" si="167"/>
        <v>0</v>
      </c>
      <c r="W174" s="46">
        <f t="shared" si="167"/>
        <v>0</v>
      </c>
      <c r="X174" s="46">
        <f t="shared" si="167"/>
        <v>0</v>
      </c>
      <c r="Y174" s="46">
        <f t="shared" si="167"/>
        <v>0</v>
      </c>
      <c r="Z174" s="46">
        <f t="shared" si="167"/>
        <v>0</v>
      </c>
      <c r="AA174" s="46">
        <f t="shared" si="167"/>
        <v>0</v>
      </c>
      <c r="AB174" s="46">
        <f t="shared" si="167"/>
        <v>0</v>
      </c>
      <c r="AC174" s="45">
        <f t="shared" si="133"/>
        <v>0</v>
      </c>
      <c r="AD174" s="46">
        <f t="shared" ref="AD174" si="168">SUM(AD175:AD179)</f>
        <v>0</v>
      </c>
      <c r="AE174" s="46">
        <f t="shared" ref="AE174" si="169">SUM(AE175:AE179)</f>
        <v>0</v>
      </c>
      <c r="AF174" s="46">
        <f t="shared" ref="AF174" si="170">SUM(AF175:AF179)</f>
        <v>0</v>
      </c>
      <c r="AG174" s="46">
        <f t="shared" ref="AG174" si="171">SUM(AG175:AG179)</f>
        <v>0</v>
      </c>
      <c r="AH174" s="45">
        <f t="shared" si="134"/>
        <v>0</v>
      </c>
      <c r="AI174" s="46">
        <f t="shared" ref="AI174" si="172">SUM(AI175:AI179)</f>
        <v>0</v>
      </c>
      <c r="AJ174" s="46">
        <f t="shared" ref="AJ174" si="173">SUM(AJ175:AJ179)</f>
        <v>0</v>
      </c>
      <c r="AK174" s="46">
        <f t="shared" ref="AK174" si="174">SUM(AK175:AK179)</f>
        <v>0</v>
      </c>
      <c r="AL174" s="46">
        <f t="shared" ref="AL174" si="175">SUM(AL175:AL179)</f>
        <v>0</v>
      </c>
      <c r="AM174" s="147">
        <f t="shared" si="135"/>
        <v>0</v>
      </c>
    </row>
    <row r="175" spans="7:39" ht="21" x14ac:dyDescent="0.15">
      <c r="G175" s="212" t="s">
        <v>338</v>
      </c>
      <c r="H175" s="144" t="s">
        <v>341</v>
      </c>
      <c r="I175" s="46">
        <f t="shared" si="132"/>
        <v>0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45">
        <f t="shared" si="133"/>
        <v>0</v>
      </c>
      <c r="AD175" s="6"/>
      <c r="AE175" s="6"/>
      <c r="AF175" s="6"/>
      <c r="AG175" s="6"/>
      <c r="AH175" s="45">
        <f t="shared" si="134"/>
        <v>0</v>
      </c>
      <c r="AI175" s="6"/>
      <c r="AJ175" s="6"/>
      <c r="AK175" s="6"/>
      <c r="AL175" s="6"/>
      <c r="AM175" s="147">
        <f t="shared" si="135"/>
        <v>0</v>
      </c>
    </row>
    <row r="176" spans="7:39" x14ac:dyDescent="0.15">
      <c r="G176" s="212" t="s">
        <v>340</v>
      </c>
      <c r="H176" s="142" t="s">
        <v>343</v>
      </c>
      <c r="I176" s="46">
        <f t="shared" si="132"/>
        <v>0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45">
        <f t="shared" si="133"/>
        <v>0</v>
      </c>
      <c r="AD176" s="6"/>
      <c r="AE176" s="6"/>
      <c r="AF176" s="6"/>
      <c r="AG176" s="6"/>
      <c r="AH176" s="45">
        <f t="shared" si="134"/>
        <v>0</v>
      </c>
      <c r="AI176" s="6"/>
      <c r="AJ176" s="6"/>
      <c r="AK176" s="6"/>
      <c r="AL176" s="6"/>
      <c r="AM176" s="147">
        <f t="shared" si="135"/>
        <v>0</v>
      </c>
    </row>
    <row r="177" spans="7:39" x14ac:dyDescent="0.15">
      <c r="G177" s="212" t="s">
        <v>342</v>
      </c>
      <c r="H177" s="144" t="s">
        <v>345</v>
      </c>
      <c r="I177" s="46">
        <f t="shared" si="132"/>
        <v>0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45">
        <f t="shared" si="133"/>
        <v>0</v>
      </c>
      <c r="AD177" s="6"/>
      <c r="AE177" s="6"/>
      <c r="AF177" s="6"/>
      <c r="AG177" s="6"/>
      <c r="AH177" s="45">
        <f t="shared" si="134"/>
        <v>0</v>
      </c>
      <c r="AI177" s="6"/>
      <c r="AJ177" s="6"/>
      <c r="AK177" s="6"/>
      <c r="AL177" s="6"/>
      <c r="AM177" s="147">
        <f t="shared" si="135"/>
        <v>0</v>
      </c>
    </row>
    <row r="178" spans="7:39" x14ac:dyDescent="0.15">
      <c r="G178" s="212" t="s">
        <v>344</v>
      </c>
      <c r="H178" s="144" t="s">
        <v>347</v>
      </c>
      <c r="I178" s="46">
        <f t="shared" si="132"/>
        <v>0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45">
        <f t="shared" si="133"/>
        <v>0</v>
      </c>
      <c r="AD178" s="6"/>
      <c r="AE178" s="6"/>
      <c r="AF178" s="6"/>
      <c r="AG178" s="6"/>
      <c r="AH178" s="45">
        <f t="shared" si="134"/>
        <v>0</v>
      </c>
      <c r="AI178" s="6"/>
      <c r="AJ178" s="6"/>
      <c r="AK178" s="6"/>
      <c r="AL178" s="6"/>
      <c r="AM178" s="147">
        <f t="shared" si="135"/>
        <v>0</v>
      </c>
    </row>
    <row r="179" spans="7:39" x14ac:dyDescent="0.15">
      <c r="G179" s="212" t="s">
        <v>346</v>
      </c>
      <c r="H179" s="142" t="s">
        <v>349</v>
      </c>
      <c r="I179" s="46">
        <f t="shared" si="132"/>
        <v>0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45">
        <f t="shared" si="133"/>
        <v>0</v>
      </c>
      <c r="AD179" s="6"/>
      <c r="AE179" s="6"/>
      <c r="AF179" s="6"/>
      <c r="AG179" s="6"/>
      <c r="AH179" s="45">
        <f t="shared" si="134"/>
        <v>0</v>
      </c>
      <c r="AI179" s="6"/>
      <c r="AJ179" s="6"/>
      <c r="AK179" s="6"/>
      <c r="AL179" s="6"/>
      <c r="AM179" s="147">
        <f t="shared" si="135"/>
        <v>0</v>
      </c>
    </row>
    <row r="180" spans="7:39" x14ac:dyDescent="0.15">
      <c r="G180" s="211" t="s">
        <v>348</v>
      </c>
      <c r="H180" s="144" t="s">
        <v>351</v>
      </c>
      <c r="I180" s="46">
        <f t="shared" si="132"/>
        <v>0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45">
        <f t="shared" si="133"/>
        <v>0</v>
      </c>
      <c r="AD180" s="6"/>
      <c r="AE180" s="6"/>
      <c r="AF180" s="6"/>
      <c r="AG180" s="6"/>
      <c r="AH180" s="45">
        <f t="shared" si="134"/>
        <v>0</v>
      </c>
      <c r="AI180" s="6"/>
      <c r="AJ180" s="6"/>
      <c r="AK180" s="6"/>
      <c r="AL180" s="6"/>
      <c r="AM180" s="147">
        <f t="shared" si="135"/>
        <v>0</v>
      </c>
    </row>
    <row r="181" spans="7:39" x14ac:dyDescent="0.15">
      <c r="G181" s="211" t="s">
        <v>350</v>
      </c>
      <c r="H181" s="144" t="s">
        <v>353</v>
      </c>
      <c r="I181" s="46">
        <f t="shared" si="132"/>
        <v>0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45">
        <f t="shared" si="133"/>
        <v>0</v>
      </c>
      <c r="AD181" s="6"/>
      <c r="AE181" s="6"/>
      <c r="AF181" s="6"/>
      <c r="AG181" s="6"/>
      <c r="AH181" s="45">
        <f t="shared" si="134"/>
        <v>0</v>
      </c>
      <c r="AI181" s="6"/>
      <c r="AJ181" s="6"/>
      <c r="AK181" s="6"/>
      <c r="AL181" s="6"/>
      <c r="AM181" s="147">
        <f t="shared" si="135"/>
        <v>0</v>
      </c>
    </row>
    <row r="182" spans="7:39" ht="21" x14ac:dyDescent="0.15">
      <c r="G182" s="211" t="s">
        <v>352</v>
      </c>
      <c r="H182" s="142" t="s">
        <v>355</v>
      </c>
      <c r="I182" s="46">
        <f t="shared" si="132"/>
        <v>0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45">
        <f t="shared" si="133"/>
        <v>0</v>
      </c>
      <c r="AD182" s="6"/>
      <c r="AE182" s="6"/>
      <c r="AF182" s="6"/>
      <c r="AG182" s="6"/>
      <c r="AH182" s="45">
        <f t="shared" si="134"/>
        <v>0</v>
      </c>
      <c r="AI182" s="6"/>
      <c r="AJ182" s="6"/>
      <c r="AK182" s="6"/>
      <c r="AL182" s="6"/>
      <c r="AM182" s="147">
        <f t="shared" si="135"/>
        <v>0</v>
      </c>
    </row>
    <row r="183" spans="7:39" x14ac:dyDescent="0.15">
      <c r="G183" s="211" t="s">
        <v>354</v>
      </c>
      <c r="H183" s="144" t="s">
        <v>357</v>
      </c>
      <c r="I183" s="46">
        <f t="shared" si="132"/>
        <v>0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45">
        <f t="shared" si="133"/>
        <v>0</v>
      </c>
      <c r="AD183" s="6"/>
      <c r="AE183" s="6"/>
      <c r="AF183" s="6"/>
      <c r="AG183" s="6"/>
      <c r="AH183" s="45">
        <f t="shared" si="134"/>
        <v>0</v>
      </c>
      <c r="AI183" s="6"/>
      <c r="AJ183" s="6"/>
      <c r="AK183" s="6"/>
      <c r="AL183" s="6"/>
      <c r="AM183" s="147">
        <f t="shared" si="135"/>
        <v>0</v>
      </c>
    </row>
    <row r="184" spans="7:39" x14ac:dyDescent="0.15">
      <c r="G184" s="211" t="s">
        <v>356</v>
      </c>
      <c r="H184" s="144" t="s">
        <v>359</v>
      </c>
      <c r="I184" s="46">
        <f t="shared" si="132"/>
        <v>0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45">
        <f t="shared" si="133"/>
        <v>0</v>
      </c>
      <c r="AD184" s="6"/>
      <c r="AE184" s="6"/>
      <c r="AF184" s="6"/>
      <c r="AG184" s="6"/>
      <c r="AH184" s="45">
        <f t="shared" si="134"/>
        <v>0</v>
      </c>
      <c r="AI184" s="6"/>
      <c r="AJ184" s="6"/>
      <c r="AK184" s="6"/>
      <c r="AL184" s="6"/>
      <c r="AM184" s="147">
        <f t="shared" si="135"/>
        <v>0</v>
      </c>
    </row>
    <row r="185" spans="7:39" x14ac:dyDescent="0.15">
      <c r="G185" s="211" t="s">
        <v>358</v>
      </c>
      <c r="H185" s="142" t="s">
        <v>361</v>
      </c>
      <c r="I185" s="46">
        <f t="shared" si="132"/>
        <v>0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45">
        <f t="shared" si="133"/>
        <v>0</v>
      </c>
      <c r="AD185" s="6"/>
      <c r="AE185" s="6"/>
      <c r="AF185" s="6"/>
      <c r="AG185" s="6"/>
      <c r="AH185" s="45">
        <f t="shared" si="134"/>
        <v>0</v>
      </c>
      <c r="AI185" s="6"/>
      <c r="AJ185" s="6"/>
      <c r="AK185" s="6"/>
      <c r="AL185" s="6"/>
      <c r="AM185" s="147">
        <f t="shared" si="135"/>
        <v>0</v>
      </c>
    </row>
    <row r="186" spans="7:39" x14ac:dyDescent="0.15">
      <c r="G186" s="211" t="s">
        <v>360</v>
      </c>
      <c r="H186" s="144" t="s">
        <v>363</v>
      </c>
      <c r="I186" s="46">
        <f t="shared" si="132"/>
        <v>0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45">
        <f t="shared" si="133"/>
        <v>0</v>
      </c>
      <c r="AD186" s="6"/>
      <c r="AE186" s="6"/>
      <c r="AF186" s="6"/>
      <c r="AG186" s="6"/>
      <c r="AH186" s="45">
        <f t="shared" si="134"/>
        <v>0</v>
      </c>
      <c r="AI186" s="6"/>
      <c r="AJ186" s="6"/>
      <c r="AK186" s="6"/>
      <c r="AL186" s="6"/>
      <c r="AM186" s="147">
        <f t="shared" si="135"/>
        <v>0</v>
      </c>
    </row>
    <row r="187" spans="7:39" x14ac:dyDescent="0.15">
      <c r="G187" s="211" t="s">
        <v>362</v>
      </c>
      <c r="H187" s="144" t="s">
        <v>365</v>
      </c>
      <c r="I187" s="46">
        <f t="shared" si="132"/>
        <v>0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45">
        <f t="shared" si="133"/>
        <v>0</v>
      </c>
      <c r="AD187" s="6"/>
      <c r="AE187" s="6"/>
      <c r="AF187" s="6"/>
      <c r="AG187" s="6"/>
      <c r="AH187" s="45">
        <f t="shared" si="134"/>
        <v>0</v>
      </c>
      <c r="AI187" s="6"/>
      <c r="AJ187" s="6"/>
      <c r="AK187" s="6"/>
      <c r="AL187" s="6"/>
      <c r="AM187" s="147">
        <f t="shared" si="135"/>
        <v>0</v>
      </c>
    </row>
    <row r="188" spans="7:39" x14ac:dyDescent="0.15">
      <c r="G188" s="211" t="s">
        <v>364</v>
      </c>
      <c r="H188" s="142" t="s">
        <v>367</v>
      </c>
      <c r="I188" s="46">
        <f t="shared" si="132"/>
        <v>0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45">
        <f t="shared" si="133"/>
        <v>0</v>
      </c>
      <c r="AD188" s="6"/>
      <c r="AE188" s="6"/>
      <c r="AF188" s="6"/>
      <c r="AG188" s="6"/>
      <c r="AH188" s="45">
        <f t="shared" si="134"/>
        <v>0</v>
      </c>
      <c r="AI188" s="6"/>
      <c r="AJ188" s="6"/>
      <c r="AK188" s="6"/>
      <c r="AL188" s="6"/>
      <c r="AM188" s="147">
        <f t="shared" si="135"/>
        <v>0</v>
      </c>
    </row>
    <row r="189" spans="7:39" x14ac:dyDescent="0.15">
      <c r="G189" s="211" t="s">
        <v>366</v>
      </c>
      <c r="H189" s="144" t="s">
        <v>369</v>
      </c>
      <c r="I189" s="46">
        <f t="shared" si="132"/>
        <v>0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45">
        <f t="shared" si="133"/>
        <v>0</v>
      </c>
      <c r="AD189" s="6"/>
      <c r="AE189" s="6"/>
      <c r="AF189" s="6"/>
      <c r="AG189" s="6"/>
      <c r="AH189" s="45">
        <f t="shared" si="134"/>
        <v>0</v>
      </c>
      <c r="AI189" s="6"/>
      <c r="AJ189" s="6"/>
      <c r="AK189" s="6"/>
      <c r="AL189" s="6"/>
      <c r="AM189" s="147">
        <f t="shared" si="135"/>
        <v>0</v>
      </c>
    </row>
    <row r="190" spans="7:39" x14ac:dyDescent="0.15">
      <c r="G190" s="211" t="s">
        <v>368</v>
      </c>
      <c r="H190" s="144" t="s">
        <v>371</v>
      </c>
      <c r="I190" s="46">
        <f t="shared" si="132"/>
        <v>0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45">
        <f t="shared" si="133"/>
        <v>0</v>
      </c>
      <c r="AD190" s="6"/>
      <c r="AE190" s="6"/>
      <c r="AF190" s="6"/>
      <c r="AG190" s="6"/>
      <c r="AH190" s="45">
        <f t="shared" si="134"/>
        <v>0</v>
      </c>
      <c r="AI190" s="6"/>
      <c r="AJ190" s="6"/>
      <c r="AK190" s="6"/>
      <c r="AL190" s="6"/>
      <c r="AM190" s="147">
        <f t="shared" si="135"/>
        <v>0</v>
      </c>
    </row>
    <row r="191" spans="7:39" x14ac:dyDescent="0.15">
      <c r="G191" s="211" t="s">
        <v>370</v>
      </c>
      <c r="H191" s="142" t="s">
        <v>373</v>
      </c>
      <c r="I191" s="46">
        <f t="shared" si="132"/>
        <v>0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45">
        <f t="shared" si="133"/>
        <v>0</v>
      </c>
      <c r="AD191" s="6"/>
      <c r="AE191" s="6"/>
      <c r="AF191" s="6"/>
      <c r="AG191" s="6"/>
      <c r="AH191" s="45">
        <f t="shared" si="134"/>
        <v>0</v>
      </c>
      <c r="AI191" s="6"/>
      <c r="AJ191" s="6"/>
      <c r="AK191" s="6"/>
      <c r="AL191" s="6"/>
      <c r="AM191" s="147">
        <f t="shared" si="135"/>
        <v>0</v>
      </c>
    </row>
    <row r="192" spans="7:39" x14ac:dyDescent="0.15">
      <c r="G192" s="211" t="s">
        <v>372</v>
      </c>
      <c r="H192" s="144" t="s">
        <v>375</v>
      </c>
      <c r="I192" s="46">
        <f t="shared" si="132"/>
        <v>0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45">
        <f t="shared" si="133"/>
        <v>0</v>
      </c>
      <c r="AD192" s="6"/>
      <c r="AE192" s="6"/>
      <c r="AF192" s="6"/>
      <c r="AG192" s="6"/>
      <c r="AH192" s="45">
        <f t="shared" si="134"/>
        <v>0</v>
      </c>
      <c r="AI192" s="6"/>
      <c r="AJ192" s="6"/>
      <c r="AK192" s="6"/>
      <c r="AL192" s="6"/>
      <c r="AM192" s="147">
        <f t="shared" si="135"/>
        <v>0</v>
      </c>
    </row>
    <row r="193" spans="7:39" x14ac:dyDescent="0.15">
      <c r="G193" s="211" t="s">
        <v>374</v>
      </c>
      <c r="H193" s="144" t="s">
        <v>377</v>
      </c>
      <c r="I193" s="46">
        <f t="shared" si="132"/>
        <v>0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45">
        <f t="shared" si="133"/>
        <v>0</v>
      </c>
      <c r="AD193" s="6"/>
      <c r="AE193" s="6"/>
      <c r="AF193" s="6"/>
      <c r="AG193" s="6"/>
      <c r="AH193" s="45">
        <f t="shared" si="134"/>
        <v>0</v>
      </c>
      <c r="AI193" s="6"/>
      <c r="AJ193" s="6"/>
      <c r="AK193" s="6"/>
      <c r="AL193" s="6"/>
      <c r="AM193" s="147">
        <f t="shared" si="135"/>
        <v>0</v>
      </c>
    </row>
    <row r="194" spans="7:39" x14ac:dyDescent="0.15">
      <c r="G194" s="211" t="s">
        <v>376</v>
      </c>
      <c r="H194" s="142" t="s">
        <v>379</v>
      </c>
      <c r="I194" s="46">
        <f t="shared" si="132"/>
        <v>0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45">
        <f t="shared" si="133"/>
        <v>0</v>
      </c>
      <c r="AD194" s="6"/>
      <c r="AE194" s="6"/>
      <c r="AF194" s="6"/>
      <c r="AG194" s="6"/>
      <c r="AH194" s="45">
        <f t="shared" si="134"/>
        <v>0</v>
      </c>
      <c r="AI194" s="6"/>
      <c r="AJ194" s="6"/>
      <c r="AK194" s="6"/>
      <c r="AL194" s="6"/>
      <c r="AM194" s="147">
        <f t="shared" si="135"/>
        <v>0</v>
      </c>
    </row>
    <row r="195" spans="7:39" x14ac:dyDescent="0.15">
      <c r="G195" s="211" t="s">
        <v>378</v>
      </c>
      <c r="H195" s="144" t="s">
        <v>381</v>
      </c>
      <c r="I195" s="46">
        <f t="shared" si="132"/>
        <v>0</v>
      </c>
      <c r="J195" s="46">
        <f t="shared" ref="J195:L195" si="176">SUM(J196:J198)</f>
        <v>0</v>
      </c>
      <c r="K195" s="46">
        <f t="shared" si="176"/>
        <v>0</v>
      </c>
      <c r="L195" s="46">
        <f t="shared" si="176"/>
        <v>0</v>
      </c>
      <c r="M195" s="46">
        <f>SUM(M196:M198)</f>
        <v>0</v>
      </c>
      <c r="N195" s="46">
        <f t="shared" ref="N195:AB195" si="177">SUM(N196:N198)</f>
        <v>0</v>
      </c>
      <c r="O195" s="46">
        <f t="shared" si="177"/>
        <v>0</v>
      </c>
      <c r="P195" s="46">
        <f t="shared" si="177"/>
        <v>0</v>
      </c>
      <c r="Q195" s="46">
        <f t="shared" si="177"/>
        <v>0</v>
      </c>
      <c r="R195" s="46">
        <f t="shared" si="177"/>
        <v>0</v>
      </c>
      <c r="S195" s="46">
        <f t="shared" si="177"/>
        <v>0</v>
      </c>
      <c r="T195" s="46">
        <f t="shared" si="177"/>
        <v>0</v>
      </c>
      <c r="U195" s="46">
        <f t="shared" si="177"/>
        <v>0</v>
      </c>
      <c r="V195" s="46">
        <f t="shared" si="177"/>
        <v>0</v>
      </c>
      <c r="W195" s="46">
        <f t="shared" si="177"/>
        <v>0</v>
      </c>
      <c r="X195" s="46">
        <f t="shared" si="177"/>
        <v>0</v>
      </c>
      <c r="Y195" s="46">
        <f t="shared" si="177"/>
        <v>0</v>
      </c>
      <c r="Z195" s="46">
        <f t="shared" si="177"/>
        <v>0</v>
      </c>
      <c r="AA195" s="46">
        <f t="shared" si="177"/>
        <v>0</v>
      </c>
      <c r="AB195" s="46">
        <f t="shared" si="177"/>
        <v>0</v>
      </c>
      <c r="AC195" s="45">
        <f t="shared" si="133"/>
        <v>0</v>
      </c>
      <c r="AD195" s="46">
        <f t="shared" ref="AD195" si="178">SUM(AD196:AD198)</f>
        <v>0</v>
      </c>
      <c r="AE195" s="46">
        <f t="shared" ref="AE195" si="179">SUM(AE196:AE198)</f>
        <v>0</v>
      </c>
      <c r="AF195" s="46">
        <f t="shared" ref="AF195" si="180">SUM(AF196:AF198)</f>
        <v>0</v>
      </c>
      <c r="AG195" s="46">
        <f t="shared" ref="AG195" si="181">SUM(AG196:AG198)</f>
        <v>0</v>
      </c>
      <c r="AH195" s="45">
        <f t="shared" si="134"/>
        <v>0</v>
      </c>
      <c r="AI195" s="46">
        <f t="shared" ref="AI195" si="182">SUM(AI196:AI198)</f>
        <v>0</v>
      </c>
      <c r="AJ195" s="46">
        <f t="shared" ref="AJ195" si="183">SUM(AJ196:AJ198)</f>
        <v>0</v>
      </c>
      <c r="AK195" s="46">
        <f t="shared" ref="AK195" si="184">SUM(AK196:AK198)</f>
        <v>0</v>
      </c>
      <c r="AL195" s="46">
        <f t="shared" ref="AL195" si="185">SUM(AL196:AL198)</f>
        <v>0</v>
      </c>
      <c r="AM195" s="147">
        <f t="shared" si="135"/>
        <v>0</v>
      </c>
    </row>
    <row r="196" spans="7:39" ht="21" x14ac:dyDescent="0.15">
      <c r="G196" s="212" t="s">
        <v>380</v>
      </c>
      <c r="H196" s="144" t="s">
        <v>383</v>
      </c>
      <c r="I196" s="46">
        <f t="shared" si="132"/>
        <v>0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45">
        <f t="shared" si="133"/>
        <v>0</v>
      </c>
      <c r="AD196" s="6"/>
      <c r="AE196" s="6"/>
      <c r="AF196" s="6"/>
      <c r="AG196" s="6"/>
      <c r="AH196" s="45">
        <f t="shared" si="134"/>
        <v>0</v>
      </c>
      <c r="AI196" s="6"/>
      <c r="AJ196" s="6"/>
      <c r="AK196" s="6"/>
      <c r="AL196" s="6"/>
      <c r="AM196" s="147">
        <f t="shared" si="135"/>
        <v>0</v>
      </c>
    </row>
    <row r="197" spans="7:39" x14ac:dyDescent="0.15">
      <c r="G197" s="212" t="s">
        <v>382</v>
      </c>
      <c r="H197" s="142" t="s">
        <v>385</v>
      </c>
      <c r="I197" s="46">
        <f t="shared" si="132"/>
        <v>0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45">
        <f t="shared" si="133"/>
        <v>0</v>
      </c>
      <c r="AD197" s="6"/>
      <c r="AE197" s="6"/>
      <c r="AF197" s="6"/>
      <c r="AG197" s="6"/>
      <c r="AH197" s="45">
        <f t="shared" si="134"/>
        <v>0</v>
      </c>
      <c r="AI197" s="6"/>
      <c r="AJ197" s="6"/>
      <c r="AK197" s="6"/>
      <c r="AL197" s="6"/>
      <c r="AM197" s="147">
        <f t="shared" si="135"/>
        <v>0</v>
      </c>
    </row>
    <row r="198" spans="7:39" ht="21" x14ac:dyDescent="0.15">
      <c r="G198" s="212" t="s">
        <v>384</v>
      </c>
      <c r="H198" s="144" t="s">
        <v>387</v>
      </c>
      <c r="I198" s="46">
        <f t="shared" si="132"/>
        <v>0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45">
        <f t="shared" si="133"/>
        <v>0</v>
      </c>
      <c r="AD198" s="6"/>
      <c r="AE198" s="6"/>
      <c r="AF198" s="6"/>
      <c r="AG198" s="6"/>
      <c r="AH198" s="45">
        <f t="shared" si="134"/>
        <v>0</v>
      </c>
      <c r="AI198" s="6"/>
      <c r="AJ198" s="6"/>
      <c r="AK198" s="6"/>
      <c r="AL198" s="6"/>
      <c r="AM198" s="147">
        <f t="shared" si="135"/>
        <v>0</v>
      </c>
    </row>
    <row r="199" spans="7:39" x14ac:dyDescent="0.15">
      <c r="G199" s="211" t="s">
        <v>386</v>
      </c>
      <c r="H199" s="144" t="s">
        <v>389</v>
      </c>
      <c r="I199" s="46">
        <f t="shared" si="132"/>
        <v>0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45">
        <f t="shared" si="133"/>
        <v>0</v>
      </c>
      <c r="AD199" s="6"/>
      <c r="AE199" s="6"/>
      <c r="AF199" s="6"/>
      <c r="AG199" s="6"/>
      <c r="AH199" s="45">
        <f t="shared" si="134"/>
        <v>0</v>
      </c>
      <c r="AI199" s="6"/>
      <c r="AJ199" s="6"/>
      <c r="AK199" s="6"/>
      <c r="AL199" s="6"/>
      <c r="AM199" s="147">
        <f t="shared" si="135"/>
        <v>0</v>
      </c>
    </row>
    <row r="200" spans="7:39" x14ac:dyDescent="0.15">
      <c r="G200" s="211" t="s">
        <v>388</v>
      </c>
      <c r="H200" s="142" t="s">
        <v>391</v>
      </c>
      <c r="I200" s="46">
        <f t="shared" si="132"/>
        <v>0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45">
        <f t="shared" si="133"/>
        <v>0</v>
      </c>
      <c r="AD200" s="6"/>
      <c r="AE200" s="6"/>
      <c r="AF200" s="6"/>
      <c r="AG200" s="6"/>
      <c r="AH200" s="45">
        <f t="shared" si="134"/>
        <v>0</v>
      </c>
      <c r="AI200" s="6"/>
      <c r="AJ200" s="6"/>
      <c r="AK200" s="6"/>
      <c r="AL200" s="6"/>
      <c r="AM200" s="147">
        <f t="shared" si="135"/>
        <v>0</v>
      </c>
    </row>
    <row r="201" spans="7:39" x14ac:dyDescent="0.15">
      <c r="G201" s="211" t="s">
        <v>390</v>
      </c>
      <c r="H201" s="144" t="s">
        <v>393</v>
      </c>
      <c r="I201" s="46">
        <f t="shared" si="132"/>
        <v>0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45">
        <f t="shared" si="133"/>
        <v>0</v>
      </c>
      <c r="AD201" s="6"/>
      <c r="AE201" s="6"/>
      <c r="AF201" s="6"/>
      <c r="AG201" s="6"/>
      <c r="AH201" s="45">
        <f t="shared" si="134"/>
        <v>0</v>
      </c>
      <c r="AI201" s="6"/>
      <c r="AJ201" s="6"/>
      <c r="AK201" s="6"/>
      <c r="AL201" s="6"/>
      <c r="AM201" s="147">
        <f t="shared" si="135"/>
        <v>0</v>
      </c>
    </row>
    <row r="202" spans="7:39" x14ac:dyDescent="0.15">
      <c r="G202" s="211" t="s">
        <v>392</v>
      </c>
      <c r="H202" s="144" t="s">
        <v>395</v>
      </c>
      <c r="I202" s="46">
        <f t="shared" si="132"/>
        <v>0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45">
        <f t="shared" si="133"/>
        <v>0</v>
      </c>
      <c r="AD202" s="6"/>
      <c r="AE202" s="6"/>
      <c r="AF202" s="6"/>
      <c r="AG202" s="6"/>
      <c r="AH202" s="45">
        <f t="shared" si="134"/>
        <v>0</v>
      </c>
      <c r="AI202" s="6"/>
      <c r="AJ202" s="6"/>
      <c r="AK202" s="6"/>
      <c r="AL202" s="6"/>
      <c r="AM202" s="147">
        <f t="shared" si="135"/>
        <v>0</v>
      </c>
    </row>
    <row r="203" spans="7:39" x14ac:dyDescent="0.15">
      <c r="G203" s="211" t="s">
        <v>394</v>
      </c>
      <c r="H203" s="142" t="s">
        <v>397</v>
      </c>
      <c r="I203" s="46">
        <f t="shared" si="132"/>
        <v>0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45">
        <f t="shared" si="133"/>
        <v>0</v>
      </c>
      <c r="AD203" s="6"/>
      <c r="AE203" s="6"/>
      <c r="AF203" s="6"/>
      <c r="AG203" s="6"/>
      <c r="AH203" s="45">
        <f t="shared" si="134"/>
        <v>0</v>
      </c>
      <c r="AI203" s="6"/>
      <c r="AJ203" s="6"/>
      <c r="AK203" s="6"/>
      <c r="AL203" s="6"/>
      <c r="AM203" s="147">
        <f t="shared" si="135"/>
        <v>0</v>
      </c>
    </row>
    <row r="204" spans="7:39" x14ac:dyDescent="0.15">
      <c r="G204" s="211" t="s">
        <v>396</v>
      </c>
      <c r="H204" s="144" t="s">
        <v>399</v>
      </c>
      <c r="I204" s="46">
        <f t="shared" si="132"/>
        <v>0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45">
        <f t="shared" si="133"/>
        <v>0</v>
      </c>
      <c r="AD204" s="6"/>
      <c r="AE204" s="6"/>
      <c r="AF204" s="6"/>
      <c r="AG204" s="6"/>
      <c r="AH204" s="45">
        <f t="shared" si="134"/>
        <v>0</v>
      </c>
      <c r="AI204" s="6"/>
      <c r="AJ204" s="6"/>
      <c r="AK204" s="6"/>
      <c r="AL204" s="6"/>
      <c r="AM204" s="147">
        <f t="shared" si="135"/>
        <v>0</v>
      </c>
    </row>
    <row r="205" spans="7:39" x14ac:dyDescent="0.15">
      <c r="G205" s="211" t="s">
        <v>398</v>
      </c>
      <c r="H205" s="144" t="s">
        <v>401</v>
      </c>
      <c r="I205" s="46">
        <f t="shared" ref="I205:I269" si="186">SUM(J205:AB205)</f>
        <v>0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45">
        <f t="shared" ref="AC205:AC269" si="187">SUM(AD205:AG205)</f>
        <v>0</v>
      </c>
      <c r="AD205" s="6"/>
      <c r="AE205" s="6"/>
      <c r="AF205" s="6"/>
      <c r="AG205" s="6"/>
      <c r="AH205" s="45">
        <f t="shared" ref="AH205:AH269" si="188">SUM(AI205:AL205)</f>
        <v>0</v>
      </c>
      <c r="AI205" s="6"/>
      <c r="AJ205" s="6"/>
      <c r="AK205" s="6"/>
      <c r="AL205" s="6"/>
      <c r="AM205" s="147">
        <f t="shared" ref="AM205:AM269" si="189">SUM(J205:AL205)</f>
        <v>0</v>
      </c>
    </row>
    <row r="206" spans="7:39" ht="21" x14ac:dyDescent="0.15">
      <c r="G206" s="211" t="s">
        <v>400</v>
      </c>
      <c r="H206" s="142" t="s">
        <v>403</v>
      </c>
      <c r="I206" s="46">
        <f t="shared" si="186"/>
        <v>0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45">
        <f t="shared" si="187"/>
        <v>0</v>
      </c>
      <c r="AD206" s="6"/>
      <c r="AE206" s="6"/>
      <c r="AF206" s="6"/>
      <c r="AG206" s="6"/>
      <c r="AH206" s="45">
        <f t="shared" si="188"/>
        <v>0</v>
      </c>
      <c r="AI206" s="6"/>
      <c r="AJ206" s="6"/>
      <c r="AK206" s="6"/>
      <c r="AL206" s="6"/>
      <c r="AM206" s="147">
        <f t="shared" si="189"/>
        <v>0</v>
      </c>
    </row>
    <row r="207" spans="7:39" ht="21" x14ac:dyDescent="0.15">
      <c r="G207" s="211" t="s">
        <v>402</v>
      </c>
      <c r="H207" s="144" t="s">
        <v>405</v>
      </c>
      <c r="I207" s="46">
        <f t="shared" si="186"/>
        <v>0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45">
        <f t="shared" si="187"/>
        <v>0</v>
      </c>
      <c r="AD207" s="6"/>
      <c r="AE207" s="6"/>
      <c r="AF207" s="6"/>
      <c r="AG207" s="6"/>
      <c r="AH207" s="45">
        <f t="shared" si="188"/>
        <v>0</v>
      </c>
      <c r="AI207" s="6"/>
      <c r="AJ207" s="6"/>
      <c r="AK207" s="6"/>
      <c r="AL207" s="6"/>
      <c r="AM207" s="147">
        <f t="shared" si="189"/>
        <v>0</v>
      </c>
    </row>
    <row r="208" spans="7:39" x14ac:dyDescent="0.15">
      <c r="G208" s="211" t="s">
        <v>404</v>
      </c>
      <c r="H208" s="144" t="s">
        <v>407</v>
      </c>
      <c r="I208" s="46">
        <f t="shared" si="186"/>
        <v>0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45">
        <f t="shared" si="187"/>
        <v>0</v>
      </c>
      <c r="AD208" s="6"/>
      <c r="AE208" s="6"/>
      <c r="AF208" s="6"/>
      <c r="AG208" s="6"/>
      <c r="AH208" s="45">
        <f t="shared" si="188"/>
        <v>0</v>
      </c>
      <c r="AI208" s="6"/>
      <c r="AJ208" s="6"/>
      <c r="AK208" s="6"/>
      <c r="AL208" s="6"/>
      <c r="AM208" s="147">
        <f t="shared" si="189"/>
        <v>0</v>
      </c>
    </row>
    <row r="209" spans="7:39" ht="21" x14ac:dyDescent="0.15">
      <c r="G209" s="211" t="s">
        <v>406</v>
      </c>
      <c r="H209" s="142" t="s">
        <v>409</v>
      </c>
      <c r="I209" s="46">
        <f t="shared" si="186"/>
        <v>0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45">
        <f t="shared" si="187"/>
        <v>0</v>
      </c>
      <c r="AD209" s="6"/>
      <c r="AE209" s="6"/>
      <c r="AF209" s="6"/>
      <c r="AG209" s="6"/>
      <c r="AH209" s="45">
        <f t="shared" si="188"/>
        <v>0</v>
      </c>
      <c r="AI209" s="6"/>
      <c r="AJ209" s="6"/>
      <c r="AK209" s="6"/>
      <c r="AL209" s="6"/>
      <c r="AM209" s="147">
        <f t="shared" si="189"/>
        <v>0</v>
      </c>
    </row>
    <row r="210" spans="7:39" x14ac:dyDescent="0.15">
      <c r="G210" s="211" t="s">
        <v>408</v>
      </c>
      <c r="H210" s="144" t="s">
        <v>411</v>
      </c>
      <c r="I210" s="46">
        <f t="shared" si="186"/>
        <v>0</v>
      </c>
      <c r="J210" s="46">
        <f t="shared" ref="J210:L210" si="190">SUM(J211:J216)</f>
        <v>0</v>
      </c>
      <c r="K210" s="46">
        <f t="shared" si="190"/>
        <v>0</v>
      </c>
      <c r="L210" s="46">
        <f t="shared" si="190"/>
        <v>0</v>
      </c>
      <c r="M210" s="46">
        <f>SUM(M211:M216)</f>
        <v>0</v>
      </c>
      <c r="N210" s="46">
        <f t="shared" ref="N210:AB210" si="191">SUM(N211:N216)</f>
        <v>0</v>
      </c>
      <c r="O210" s="46">
        <f t="shared" si="191"/>
        <v>0</v>
      </c>
      <c r="P210" s="46">
        <f t="shared" si="191"/>
        <v>0</v>
      </c>
      <c r="Q210" s="46">
        <f t="shared" si="191"/>
        <v>0</v>
      </c>
      <c r="R210" s="46">
        <f t="shared" si="191"/>
        <v>0</v>
      </c>
      <c r="S210" s="46">
        <f t="shared" si="191"/>
        <v>0</v>
      </c>
      <c r="T210" s="46">
        <f t="shared" si="191"/>
        <v>0</v>
      </c>
      <c r="U210" s="46">
        <f t="shared" si="191"/>
        <v>0</v>
      </c>
      <c r="V210" s="46">
        <f t="shared" si="191"/>
        <v>0</v>
      </c>
      <c r="W210" s="46">
        <f t="shared" si="191"/>
        <v>0</v>
      </c>
      <c r="X210" s="46">
        <f t="shared" si="191"/>
        <v>0</v>
      </c>
      <c r="Y210" s="46">
        <f t="shared" si="191"/>
        <v>0</v>
      </c>
      <c r="Z210" s="46">
        <f t="shared" si="191"/>
        <v>0</v>
      </c>
      <c r="AA210" s="46">
        <f t="shared" si="191"/>
        <v>0</v>
      </c>
      <c r="AB210" s="46">
        <f t="shared" si="191"/>
        <v>0</v>
      </c>
      <c r="AC210" s="45">
        <f t="shared" si="187"/>
        <v>0</v>
      </c>
      <c r="AD210" s="46">
        <f t="shared" ref="AD210" si="192">SUM(AD211:AD216)</f>
        <v>0</v>
      </c>
      <c r="AE210" s="46">
        <f t="shared" ref="AE210" si="193">SUM(AE211:AE216)</f>
        <v>0</v>
      </c>
      <c r="AF210" s="46">
        <f t="shared" ref="AF210" si="194">SUM(AF211:AF216)</f>
        <v>0</v>
      </c>
      <c r="AG210" s="46">
        <f t="shared" ref="AG210" si="195">SUM(AG211:AG216)</f>
        <v>0</v>
      </c>
      <c r="AH210" s="45">
        <f t="shared" si="188"/>
        <v>0</v>
      </c>
      <c r="AI210" s="46">
        <f t="shared" ref="AI210" si="196">SUM(AI211:AI216)</f>
        <v>0</v>
      </c>
      <c r="AJ210" s="46">
        <f t="shared" ref="AJ210" si="197">SUM(AJ211:AJ216)</f>
        <v>0</v>
      </c>
      <c r="AK210" s="46">
        <f t="shared" ref="AK210" si="198">SUM(AK211:AK216)</f>
        <v>0</v>
      </c>
      <c r="AL210" s="46">
        <f t="shared" ref="AL210" si="199">SUM(AL211:AL216)</f>
        <v>0</v>
      </c>
      <c r="AM210" s="147">
        <f t="shared" si="189"/>
        <v>0</v>
      </c>
    </row>
    <row r="211" spans="7:39" ht="21" x14ac:dyDescent="0.15">
      <c r="G211" s="212" t="s">
        <v>410</v>
      </c>
      <c r="H211" s="144" t="s">
        <v>413</v>
      </c>
      <c r="I211" s="46">
        <f t="shared" si="186"/>
        <v>0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45">
        <f t="shared" si="187"/>
        <v>0</v>
      </c>
      <c r="AD211" s="6"/>
      <c r="AE211" s="6"/>
      <c r="AF211" s="6"/>
      <c r="AG211" s="6"/>
      <c r="AH211" s="45">
        <f t="shared" si="188"/>
        <v>0</v>
      </c>
      <c r="AI211" s="6"/>
      <c r="AJ211" s="6"/>
      <c r="AK211" s="6"/>
      <c r="AL211" s="6"/>
      <c r="AM211" s="147">
        <f t="shared" si="189"/>
        <v>0</v>
      </c>
    </row>
    <row r="212" spans="7:39" x14ac:dyDescent="0.15">
      <c r="G212" s="212" t="s">
        <v>412</v>
      </c>
      <c r="H212" s="142" t="s">
        <v>415</v>
      </c>
      <c r="I212" s="46">
        <f t="shared" si="186"/>
        <v>0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45">
        <f t="shared" si="187"/>
        <v>0</v>
      </c>
      <c r="AD212" s="6"/>
      <c r="AE212" s="6"/>
      <c r="AF212" s="6"/>
      <c r="AG212" s="6"/>
      <c r="AH212" s="45">
        <f t="shared" si="188"/>
        <v>0</v>
      </c>
      <c r="AI212" s="6"/>
      <c r="AJ212" s="6"/>
      <c r="AK212" s="6"/>
      <c r="AL212" s="6"/>
      <c r="AM212" s="147">
        <f t="shared" si="189"/>
        <v>0</v>
      </c>
    </row>
    <row r="213" spans="7:39" x14ac:dyDescent="0.15">
      <c r="G213" s="212" t="s">
        <v>414</v>
      </c>
      <c r="H213" s="144" t="s">
        <v>417</v>
      </c>
      <c r="I213" s="46">
        <f t="shared" si="186"/>
        <v>0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45">
        <f t="shared" si="187"/>
        <v>0</v>
      </c>
      <c r="AD213" s="6"/>
      <c r="AE213" s="6"/>
      <c r="AF213" s="6"/>
      <c r="AG213" s="6"/>
      <c r="AH213" s="45">
        <f t="shared" si="188"/>
        <v>0</v>
      </c>
      <c r="AI213" s="6"/>
      <c r="AJ213" s="6"/>
      <c r="AK213" s="6"/>
      <c r="AL213" s="6"/>
      <c r="AM213" s="147">
        <f t="shared" si="189"/>
        <v>0</v>
      </c>
    </row>
    <row r="214" spans="7:39" x14ac:dyDescent="0.15">
      <c r="G214" s="212" t="s">
        <v>416</v>
      </c>
      <c r="H214" s="144" t="s">
        <v>419</v>
      </c>
      <c r="I214" s="46">
        <f t="shared" si="186"/>
        <v>0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45">
        <f t="shared" si="187"/>
        <v>0</v>
      </c>
      <c r="AD214" s="6"/>
      <c r="AE214" s="6"/>
      <c r="AF214" s="6"/>
      <c r="AG214" s="6"/>
      <c r="AH214" s="45">
        <f t="shared" si="188"/>
        <v>0</v>
      </c>
      <c r="AI214" s="6"/>
      <c r="AJ214" s="6"/>
      <c r="AK214" s="6"/>
      <c r="AL214" s="6"/>
      <c r="AM214" s="147">
        <f t="shared" si="189"/>
        <v>0</v>
      </c>
    </row>
    <row r="215" spans="7:39" x14ac:dyDescent="0.15">
      <c r="G215" s="212" t="s">
        <v>418</v>
      </c>
      <c r="H215" s="142" t="s">
        <v>421</v>
      </c>
      <c r="I215" s="46">
        <f t="shared" si="186"/>
        <v>0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45">
        <f t="shared" si="187"/>
        <v>0</v>
      </c>
      <c r="AD215" s="6"/>
      <c r="AE215" s="6"/>
      <c r="AF215" s="6"/>
      <c r="AG215" s="6"/>
      <c r="AH215" s="45">
        <f t="shared" si="188"/>
        <v>0</v>
      </c>
      <c r="AI215" s="6"/>
      <c r="AJ215" s="6"/>
      <c r="AK215" s="6"/>
      <c r="AL215" s="6"/>
      <c r="AM215" s="147">
        <f t="shared" si="189"/>
        <v>0</v>
      </c>
    </row>
    <row r="216" spans="7:39" x14ac:dyDescent="0.15">
      <c r="G216" s="212" t="s">
        <v>420</v>
      </c>
      <c r="H216" s="144" t="s">
        <v>423</v>
      </c>
      <c r="I216" s="46">
        <f t="shared" si="186"/>
        <v>0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45">
        <f t="shared" si="187"/>
        <v>0</v>
      </c>
      <c r="AD216" s="6"/>
      <c r="AE216" s="6"/>
      <c r="AF216" s="6"/>
      <c r="AG216" s="6"/>
      <c r="AH216" s="45">
        <f t="shared" si="188"/>
        <v>0</v>
      </c>
      <c r="AI216" s="6"/>
      <c r="AJ216" s="6"/>
      <c r="AK216" s="6"/>
      <c r="AL216" s="6"/>
      <c r="AM216" s="147">
        <f t="shared" si="189"/>
        <v>0</v>
      </c>
    </row>
    <row r="217" spans="7:39" x14ac:dyDescent="0.15">
      <c r="G217" s="211" t="s">
        <v>422</v>
      </c>
      <c r="H217" s="144" t="s">
        <v>425</v>
      </c>
      <c r="I217" s="46">
        <f t="shared" si="186"/>
        <v>0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45">
        <f t="shared" si="187"/>
        <v>0</v>
      </c>
      <c r="AD217" s="6"/>
      <c r="AE217" s="6"/>
      <c r="AF217" s="6"/>
      <c r="AG217" s="6"/>
      <c r="AH217" s="45">
        <f t="shared" si="188"/>
        <v>0</v>
      </c>
      <c r="AI217" s="6"/>
      <c r="AJ217" s="6"/>
      <c r="AK217" s="6"/>
      <c r="AL217" s="6"/>
      <c r="AM217" s="147">
        <f t="shared" si="189"/>
        <v>0</v>
      </c>
    </row>
    <row r="218" spans="7:39" x14ac:dyDescent="0.15">
      <c r="G218" s="211" t="s">
        <v>424</v>
      </c>
      <c r="H218" s="142" t="s">
        <v>427</v>
      </c>
      <c r="I218" s="46">
        <f t="shared" si="186"/>
        <v>0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45">
        <f t="shared" si="187"/>
        <v>0</v>
      </c>
      <c r="AD218" s="6"/>
      <c r="AE218" s="6"/>
      <c r="AF218" s="6"/>
      <c r="AG218" s="6"/>
      <c r="AH218" s="45">
        <f t="shared" si="188"/>
        <v>0</v>
      </c>
      <c r="AI218" s="6"/>
      <c r="AJ218" s="6"/>
      <c r="AK218" s="6"/>
      <c r="AL218" s="6"/>
      <c r="AM218" s="147">
        <f t="shared" si="189"/>
        <v>0</v>
      </c>
    </row>
    <row r="219" spans="7:39" x14ac:dyDescent="0.15">
      <c r="G219" s="211" t="s">
        <v>426</v>
      </c>
      <c r="H219" s="144" t="s">
        <v>429</v>
      </c>
      <c r="I219" s="46">
        <f t="shared" si="186"/>
        <v>0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45">
        <f t="shared" si="187"/>
        <v>0</v>
      </c>
      <c r="AD219" s="6"/>
      <c r="AE219" s="6"/>
      <c r="AF219" s="6"/>
      <c r="AG219" s="6"/>
      <c r="AH219" s="45">
        <f t="shared" si="188"/>
        <v>0</v>
      </c>
      <c r="AI219" s="6"/>
      <c r="AJ219" s="6"/>
      <c r="AK219" s="6"/>
      <c r="AL219" s="6"/>
      <c r="AM219" s="147">
        <f t="shared" si="189"/>
        <v>0</v>
      </c>
    </row>
    <row r="220" spans="7:39" x14ac:dyDescent="0.15">
      <c r="G220" s="211" t="s">
        <v>428</v>
      </c>
      <c r="H220" s="144" t="s">
        <v>431</v>
      </c>
      <c r="I220" s="46">
        <f t="shared" si="186"/>
        <v>0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45">
        <f t="shared" si="187"/>
        <v>0</v>
      </c>
      <c r="AD220" s="6"/>
      <c r="AE220" s="6"/>
      <c r="AF220" s="6"/>
      <c r="AG220" s="6"/>
      <c r="AH220" s="45">
        <f t="shared" si="188"/>
        <v>0</v>
      </c>
      <c r="AI220" s="6"/>
      <c r="AJ220" s="6"/>
      <c r="AK220" s="6"/>
      <c r="AL220" s="6"/>
      <c r="AM220" s="147">
        <f t="shared" si="189"/>
        <v>0</v>
      </c>
    </row>
    <row r="221" spans="7:39" x14ac:dyDescent="0.15">
      <c r="G221" s="211" t="s">
        <v>430</v>
      </c>
      <c r="H221" s="142" t="s">
        <v>433</v>
      </c>
      <c r="I221" s="46">
        <f t="shared" si="186"/>
        <v>0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45">
        <f t="shared" si="187"/>
        <v>0</v>
      </c>
      <c r="AD221" s="6"/>
      <c r="AE221" s="6"/>
      <c r="AF221" s="6"/>
      <c r="AG221" s="6"/>
      <c r="AH221" s="45">
        <f t="shared" si="188"/>
        <v>0</v>
      </c>
      <c r="AI221" s="6"/>
      <c r="AJ221" s="6"/>
      <c r="AK221" s="6"/>
      <c r="AL221" s="6"/>
      <c r="AM221" s="147">
        <f t="shared" si="189"/>
        <v>0</v>
      </c>
    </row>
    <row r="222" spans="7:39" x14ac:dyDescent="0.15">
      <c r="G222" s="211" t="s">
        <v>432</v>
      </c>
      <c r="H222" s="144" t="s">
        <v>435</v>
      </c>
      <c r="I222" s="46">
        <f t="shared" si="186"/>
        <v>0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45">
        <f t="shared" si="187"/>
        <v>0</v>
      </c>
      <c r="AD222" s="6"/>
      <c r="AE222" s="6"/>
      <c r="AF222" s="6"/>
      <c r="AG222" s="6"/>
      <c r="AH222" s="45">
        <f t="shared" si="188"/>
        <v>0</v>
      </c>
      <c r="AI222" s="6"/>
      <c r="AJ222" s="6"/>
      <c r="AK222" s="6"/>
      <c r="AL222" s="6"/>
      <c r="AM222" s="147">
        <f t="shared" si="189"/>
        <v>0</v>
      </c>
    </row>
    <row r="223" spans="7:39" x14ac:dyDescent="0.15">
      <c r="G223" s="211" t="s">
        <v>434</v>
      </c>
      <c r="H223" s="144" t="s">
        <v>437</v>
      </c>
      <c r="I223" s="46">
        <f t="shared" si="186"/>
        <v>0</v>
      </c>
      <c r="J223" s="46">
        <f t="shared" ref="J223:L223" si="200">SUM(J224:J228)</f>
        <v>0</v>
      </c>
      <c r="K223" s="46">
        <f t="shared" si="200"/>
        <v>0</v>
      </c>
      <c r="L223" s="46">
        <f t="shared" si="200"/>
        <v>0</v>
      </c>
      <c r="M223" s="46">
        <f>SUM(M224:M228)</f>
        <v>0</v>
      </c>
      <c r="N223" s="46">
        <f t="shared" ref="N223:AB223" si="201">SUM(N224:N228)</f>
        <v>0</v>
      </c>
      <c r="O223" s="46">
        <f t="shared" si="201"/>
        <v>0</v>
      </c>
      <c r="P223" s="46">
        <f t="shared" si="201"/>
        <v>0</v>
      </c>
      <c r="Q223" s="46">
        <f t="shared" si="201"/>
        <v>0</v>
      </c>
      <c r="R223" s="46">
        <f t="shared" si="201"/>
        <v>0</v>
      </c>
      <c r="S223" s="46">
        <f t="shared" si="201"/>
        <v>0</v>
      </c>
      <c r="T223" s="46">
        <f t="shared" si="201"/>
        <v>0</v>
      </c>
      <c r="U223" s="46">
        <f t="shared" si="201"/>
        <v>0</v>
      </c>
      <c r="V223" s="46">
        <f t="shared" si="201"/>
        <v>0</v>
      </c>
      <c r="W223" s="46">
        <f t="shared" si="201"/>
        <v>0</v>
      </c>
      <c r="X223" s="46">
        <f t="shared" si="201"/>
        <v>0</v>
      </c>
      <c r="Y223" s="46">
        <f t="shared" si="201"/>
        <v>0</v>
      </c>
      <c r="Z223" s="46">
        <f t="shared" si="201"/>
        <v>0</v>
      </c>
      <c r="AA223" s="46">
        <f t="shared" si="201"/>
        <v>0</v>
      </c>
      <c r="AB223" s="46">
        <f t="shared" si="201"/>
        <v>0</v>
      </c>
      <c r="AC223" s="45">
        <f t="shared" si="187"/>
        <v>0</v>
      </c>
      <c r="AD223" s="46">
        <f t="shared" ref="AD223" si="202">SUM(AD224:AD228)</f>
        <v>0</v>
      </c>
      <c r="AE223" s="46">
        <f t="shared" ref="AE223" si="203">SUM(AE224:AE228)</f>
        <v>0</v>
      </c>
      <c r="AF223" s="46">
        <f t="shared" ref="AF223" si="204">SUM(AF224:AF228)</f>
        <v>0</v>
      </c>
      <c r="AG223" s="46">
        <f t="shared" ref="AG223" si="205">SUM(AG224:AG228)</f>
        <v>0</v>
      </c>
      <c r="AH223" s="45">
        <f t="shared" si="188"/>
        <v>0</v>
      </c>
      <c r="AI223" s="46">
        <f t="shared" ref="AI223" si="206">SUM(AI224:AI228)</f>
        <v>0</v>
      </c>
      <c r="AJ223" s="46">
        <f t="shared" ref="AJ223" si="207">SUM(AJ224:AJ228)</f>
        <v>0</v>
      </c>
      <c r="AK223" s="46">
        <f t="shared" ref="AK223" si="208">SUM(AK224:AK228)</f>
        <v>0</v>
      </c>
      <c r="AL223" s="46">
        <f t="shared" ref="AL223" si="209">SUM(AL224:AL228)</f>
        <v>0</v>
      </c>
      <c r="AM223" s="147">
        <f t="shared" si="189"/>
        <v>0</v>
      </c>
    </row>
    <row r="224" spans="7:39" ht="21" x14ac:dyDescent="0.15">
      <c r="G224" s="212" t="s">
        <v>436</v>
      </c>
      <c r="H224" s="142" t="s">
        <v>439</v>
      </c>
      <c r="I224" s="46">
        <f t="shared" si="186"/>
        <v>0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45">
        <f t="shared" si="187"/>
        <v>0</v>
      </c>
      <c r="AD224" s="6"/>
      <c r="AE224" s="6"/>
      <c r="AF224" s="6"/>
      <c r="AG224" s="6"/>
      <c r="AH224" s="45">
        <f t="shared" si="188"/>
        <v>0</v>
      </c>
      <c r="AI224" s="6"/>
      <c r="AJ224" s="6"/>
      <c r="AK224" s="6"/>
      <c r="AL224" s="6"/>
      <c r="AM224" s="147">
        <f t="shared" si="189"/>
        <v>0</v>
      </c>
    </row>
    <row r="225" spans="7:39" x14ac:dyDescent="0.15">
      <c r="G225" s="212" t="s">
        <v>438</v>
      </c>
      <c r="H225" s="144" t="s">
        <v>441</v>
      </c>
      <c r="I225" s="46">
        <f t="shared" si="186"/>
        <v>0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45">
        <f t="shared" si="187"/>
        <v>0</v>
      </c>
      <c r="AD225" s="6"/>
      <c r="AE225" s="6"/>
      <c r="AF225" s="6"/>
      <c r="AG225" s="6"/>
      <c r="AH225" s="45">
        <f t="shared" si="188"/>
        <v>0</v>
      </c>
      <c r="AI225" s="6"/>
      <c r="AJ225" s="6"/>
      <c r="AK225" s="6"/>
      <c r="AL225" s="6"/>
      <c r="AM225" s="147">
        <f t="shared" si="189"/>
        <v>0</v>
      </c>
    </row>
    <row r="226" spans="7:39" x14ac:dyDescent="0.15">
      <c r="G226" s="212" t="s">
        <v>440</v>
      </c>
      <c r="H226" s="144" t="s">
        <v>443</v>
      </c>
      <c r="I226" s="46">
        <f t="shared" si="186"/>
        <v>0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45">
        <f t="shared" si="187"/>
        <v>0</v>
      </c>
      <c r="AD226" s="6"/>
      <c r="AE226" s="6"/>
      <c r="AF226" s="6"/>
      <c r="AG226" s="6"/>
      <c r="AH226" s="45">
        <f t="shared" si="188"/>
        <v>0</v>
      </c>
      <c r="AI226" s="6"/>
      <c r="AJ226" s="6"/>
      <c r="AK226" s="6"/>
      <c r="AL226" s="6"/>
      <c r="AM226" s="147">
        <f t="shared" si="189"/>
        <v>0</v>
      </c>
    </row>
    <row r="227" spans="7:39" x14ac:dyDescent="0.15">
      <c r="G227" s="212" t="s">
        <v>442</v>
      </c>
      <c r="H227" s="142" t="s">
        <v>445</v>
      </c>
      <c r="I227" s="46">
        <f t="shared" si="186"/>
        <v>0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45">
        <f t="shared" si="187"/>
        <v>0</v>
      </c>
      <c r="AD227" s="6"/>
      <c r="AE227" s="6"/>
      <c r="AF227" s="6"/>
      <c r="AG227" s="6"/>
      <c r="AH227" s="45">
        <f t="shared" si="188"/>
        <v>0</v>
      </c>
      <c r="AI227" s="6"/>
      <c r="AJ227" s="6"/>
      <c r="AK227" s="6"/>
      <c r="AL227" s="6"/>
      <c r="AM227" s="147">
        <f t="shared" si="189"/>
        <v>0</v>
      </c>
    </row>
    <row r="228" spans="7:39" x14ac:dyDescent="0.15">
      <c r="G228" s="212" t="s">
        <v>444</v>
      </c>
      <c r="H228" s="144" t="s">
        <v>447</v>
      </c>
      <c r="I228" s="46">
        <f t="shared" si="186"/>
        <v>0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45">
        <f t="shared" si="187"/>
        <v>0</v>
      </c>
      <c r="AD228" s="6"/>
      <c r="AE228" s="6"/>
      <c r="AF228" s="6"/>
      <c r="AG228" s="6"/>
      <c r="AH228" s="45">
        <f t="shared" si="188"/>
        <v>0</v>
      </c>
      <c r="AI228" s="6"/>
      <c r="AJ228" s="6"/>
      <c r="AK228" s="6"/>
      <c r="AL228" s="6"/>
      <c r="AM228" s="147">
        <f t="shared" si="189"/>
        <v>0</v>
      </c>
    </row>
    <row r="229" spans="7:39" x14ac:dyDescent="0.15">
      <c r="G229" s="211" t="s">
        <v>446</v>
      </c>
      <c r="H229" s="144" t="s">
        <v>449</v>
      </c>
      <c r="I229" s="46">
        <f t="shared" si="186"/>
        <v>0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45">
        <f t="shared" si="187"/>
        <v>0</v>
      </c>
      <c r="AD229" s="6"/>
      <c r="AE229" s="6"/>
      <c r="AF229" s="6"/>
      <c r="AG229" s="6"/>
      <c r="AH229" s="45">
        <f t="shared" si="188"/>
        <v>0</v>
      </c>
      <c r="AI229" s="6"/>
      <c r="AJ229" s="6"/>
      <c r="AK229" s="6"/>
      <c r="AL229" s="6"/>
      <c r="AM229" s="147">
        <f t="shared" si="189"/>
        <v>0</v>
      </c>
    </row>
    <row r="230" spans="7:39" x14ac:dyDescent="0.15">
      <c r="G230" s="211" t="s">
        <v>448</v>
      </c>
      <c r="H230" s="142" t="s">
        <v>451</v>
      </c>
      <c r="I230" s="46">
        <f t="shared" si="186"/>
        <v>0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45">
        <f t="shared" si="187"/>
        <v>0</v>
      </c>
      <c r="AD230" s="6"/>
      <c r="AE230" s="6"/>
      <c r="AF230" s="6"/>
      <c r="AG230" s="6"/>
      <c r="AH230" s="45">
        <f t="shared" si="188"/>
        <v>0</v>
      </c>
      <c r="AI230" s="6"/>
      <c r="AJ230" s="6"/>
      <c r="AK230" s="6"/>
      <c r="AL230" s="6"/>
      <c r="AM230" s="147">
        <f t="shared" si="189"/>
        <v>0</v>
      </c>
    </row>
    <row r="231" spans="7:39" ht="23.25" customHeight="1" x14ac:dyDescent="0.15">
      <c r="G231" s="211" t="s">
        <v>450</v>
      </c>
      <c r="H231" s="144" t="s">
        <v>453</v>
      </c>
      <c r="I231" s="46">
        <f t="shared" si="186"/>
        <v>0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45">
        <f t="shared" si="187"/>
        <v>0</v>
      </c>
      <c r="AD231" s="6"/>
      <c r="AE231" s="6"/>
      <c r="AF231" s="6"/>
      <c r="AG231" s="6"/>
      <c r="AH231" s="45">
        <f t="shared" si="188"/>
        <v>0</v>
      </c>
      <c r="AI231" s="6"/>
      <c r="AJ231" s="6"/>
      <c r="AK231" s="6"/>
      <c r="AL231" s="6"/>
      <c r="AM231" s="147">
        <f t="shared" si="189"/>
        <v>0</v>
      </c>
    </row>
    <row r="232" spans="7:39" ht="14.25" customHeight="1" x14ac:dyDescent="0.15">
      <c r="G232" s="211" t="s">
        <v>452</v>
      </c>
      <c r="H232" s="144" t="s">
        <v>455</v>
      </c>
      <c r="I232" s="46">
        <f t="shared" si="186"/>
        <v>0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45">
        <f t="shared" si="187"/>
        <v>0</v>
      </c>
      <c r="AD232" s="6"/>
      <c r="AE232" s="6"/>
      <c r="AF232" s="6"/>
      <c r="AG232" s="6"/>
      <c r="AH232" s="45">
        <f t="shared" si="188"/>
        <v>0</v>
      </c>
      <c r="AI232" s="6"/>
      <c r="AJ232" s="6"/>
      <c r="AK232" s="6"/>
      <c r="AL232" s="6"/>
      <c r="AM232" s="147">
        <f t="shared" si="189"/>
        <v>0</v>
      </c>
    </row>
    <row r="233" spans="7:39" ht="21" x14ac:dyDescent="0.15">
      <c r="G233" s="211" t="s">
        <v>454</v>
      </c>
      <c r="H233" s="142" t="s">
        <v>457</v>
      </c>
      <c r="I233" s="46">
        <f t="shared" si="186"/>
        <v>0</v>
      </c>
      <c r="J233" s="48">
        <f t="shared" ref="J233:L233" si="210">SUM(J234:J239)</f>
        <v>0</v>
      </c>
      <c r="K233" s="48">
        <f t="shared" si="210"/>
        <v>0</v>
      </c>
      <c r="L233" s="48">
        <f t="shared" si="210"/>
        <v>0</v>
      </c>
      <c r="M233" s="48">
        <f>SUM(M234:M239)</f>
        <v>0</v>
      </c>
      <c r="N233" s="48">
        <f t="shared" ref="N233:AB233" si="211">SUM(N234:N239)</f>
        <v>0</v>
      </c>
      <c r="O233" s="48">
        <f t="shared" si="211"/>
        <v>0</v>
      </c>
      <c r="P233" s="48">
        <f t="shared" si="211"/>
        <v>0</v>
      </c>
      <c r="Q233" s="48">
        <f t="shared" si="211"/>
        <v>0</v>
      </c>
      <c r="R233" s="48">
        <f t="shared" si="211"/>
        <v>0</v>
      </c>
      <c r="S233" s="48">
        <f t="shared" si="211"/>
        <v>0</v>
      </c>
      <c r="T233" s="48">
        <f t="shared" si="211"/>
        <v>0</v>
      </c>
      <c r="U233" s="48">
        <f t="shared" si="211"/>
        <v>0</v>
      </c>
      <c r="V233" s="48">
        <f t="shared" si="211"/>
        <v>0</v>
      </c>
      <c r="W233" s="48">
        <f t="shared" si="211"/>
        <v>0</v>
      </c>
      <c r="X233" s="48">
        <f t="shared" si="211"/>
        <v>0</v>
      </c>
      <c r="Y233" s="48">
        <f t="shared" si="211"/>
        <v>0</v>
      </c>
      <c r="Z233" s="48">
        <f t="shared" si="211"/>
        <v>0</v>
      </c>
      <c r="AA233" s="48">
        <f t="shared" si="211"/>
        <v>0</v>
      </c>
      <c r="AB233" s="48">
        <f t="shared" si="211"/>
        <v>0</v>
      </c>
      <c r="AC233" s="45">
        <f t="shared" si="187"/>
        <v>0</v>
      </c>
      <c r="AD233" s="48">
        <f t="shared" ref="AD233" si="212">SUM(AD234:AD239)</f>
        <v>0</v>
      </c>
      <c r="AE233" s="48">
        <f t="shared" ref="AE233" si="213">SUM(AE234:AE239)</f>
        <v>0</v>
      </c>
      <c r="AF233" s="48">
        <f t="shared" ref="AF233" si="214">SUM(AF234:AF239)</f>
        <v>0</v>
      </c>
      <c r="AG233" s="48">
        <f t="shared" ref="AG233" si="215">SUM(AG234:AG239)</f>
        <v>0</v>
      </c>
      <c r="AH233" s="45">
        <f t="shared" si="188"/>
        <v>0</v>
      </c>
      <c r="AI233" s="48">
        <f t="shared" ref="AI233" si="216">SUM(AI234:AI239)</f>
        <v>0</v>
      </c>
      <c r="AJ233" s="48">
        <f t="shared" ref="AJ233" si="217">SUM(AJ234:AJ239)</f>
        <v>0</v>
      </c>
      <c r="AK233" s="48">
        <f t="shared" ref="AK233" si="218">SUM(AK234:AK239)</f>
        <v>0</v>
      </c>
      <c r="AL233" s="48">
        <f t="shared" ref="AL233" si="219">SUM(AL234:AL239)</f>
        <v>0</v>
      </c>
      <c r="AM233" s="147">
        <f t="shared" si="189"/>
        <v>0</v>
      </c>
    </row>
    <row r="234" spans="7:39" ht="31.5" x14ac:dyDescent="0.15">
      <c r="G234" s="212" t="s">
        <v>456</v>
      </c>
      <c r="H234" s="144" t="s">
        <v>459</v>
      </c>
      <c r="I234" s="46">
        <f t="shared" si="186"/>
        <v>0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45">
        <f t="shared" si="187"/>
        <v>0</v>
      </c>
      <c r="AD234" s="6"/>
      <c r="AE234" s="6"/>
      <c r="AF234" s="6"/>
      <c r="AG234" s="6"/>
      <c r="AH234" s="45">
        <f t="shared" si="188"/>
        <v>0</v>
      </c>
      <c r="AI234" s="6"/>
      <c r="AJ234" s="6"/>
      <c r="AK234" s="6"/>
      <c r="AL234" s="6"/>
      <c r="AM234" s="147">
        <f t="shared" si="189"/>
        <v>0</v>
      </c>
    </row>
    <row r="235" spans="7:39" x14ac:dyDescent="0.15">
      <c r="G235" s="212" t="s">
        <v>458</v>
      </c>
      <c r="H235" s="144" t="s">
        <v>461</v>
      </c>
      <c r="I235" s="46">
        <f t="shared" si="186"/>
        <v>0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45">
        <f t="shared" si="187"/>
        <v>0</v>
      </c>
      <c r="AD235" s="6"/>
      <c r="AE235" s="6"/>
      <c r="AF235" s="6"/>
      <c r="AG235" s="6"/>
      <c r="AH235" s="45">
        <f t="shared" si="188"/>
        <v>0</v>
      </c>
      <c r="AI235" s="6"/>
      <c r="AJ235" s="6"/>
      <c r="AK235" s="6"/>
      <c r="AL235" s="6"/>
      <c r="AM235" s="147">
        <f t="shared" si="189"/>
        <v>0</v>
      </c>
    </row>
    <row r="236" spans="7:39" ht="21" x14ac:dyDescent="0.15">
      <c r="G236" s="212" t="s">
        <v>460</v>
      </c>
      <c r="H236" s="142" t="s">
        <v>463</v>
      </c>
      <c r="I236" s="46">
        <f t="shared" si="186"/>
        <v>0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45">
        <f t="shared" si="187"/>
        <v>0</v>
      </c>
      <c r="AD236" s="6"/>
      <c r="AE236" s="6"/>
      <c r="AF236" s="6"/>
      <c r="AG236" s="6"/>
      <c r="AH236" s="45">
        <f t="shared" si="188"/>
        <v>0</v>
      </c>
      <c r="AI236" s="6"/>
      <c r="AJ236" s="6"/>
      <c r="AK236" s="6"/>
      <c r="AL236" s="6"/>
      <c r="AM236" s="147">
        <f t="shared" si="189"/>
        <v>0</v>
      </c>
    </row>
    <row r="237" spans="7:39" x14ac:dyDescent="0.15">
      <c r="G237" s="212" t="s">
        <v>462</v>
      </c>
      <c r="H237" s="144" t="s">
        <v>465</v>
      </c>
      <c r="I237" s="46">
        <f t="shared" si="186"/>
        <v>0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45">
        <f t="shared" si="187"/>
        <v>0</v>
      </c>
      <c r="AD237" s="6"/>
      <c r="AE237" s="6"/>
      <c r="AF237" s="6"/>
      <c r="AG237" s="6"/>
      <c r="AH237" s="45">
        <f t="shared" si="188"/>
        <v>0</v>
      </c>
      <c r="AI237" s="6"/>
      <c r="AJ237" s="6"/>
      <c r="AK237" s="6"/>
      <c r="AL237" s="6"/>
      <c r="AM237" s="147">
        <f t="shared" si="189"/>
        <v>0</v>
      </c>
    </row>
    <row r="238" spans="7:39" ht="21" x14ac:dyDescent="0.15">
      <c r="G238" s="212" t="s">
        <v>464</v>
      </c>
      <c r="H238" s="144" t="s">
        <v>466</v>
      </c>
      <c r="I238" s="46">
        <f t="shared" si="186"/>
        <v>0</v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45">
        <f t="shared" si="187"/>
        <v>0</v>
      </c>
      <c r="AD238" s="6"/>
      <c r="AE238" s="6"/>
      <c r="AF238" s="6"/>
      <c r="AG238" s="6"/>
      <c r="AH238" s="45">
        <f t="shared" si="188"/>
        <v>0</v>
      </c>
      <c r="AI238" s="6"/>
      <c r="AJ238" s="6"/>
      <c r="AK238" s="6"/>
      <c r="AL238" s="6"/>
      <c r="AM238" s="147">
        <f t="shared" si="189"/>
        <v>0</v>
      </c>
    </row>
    <row r="239" spans="7:39" ht="21" x14ac:dyDescent="0.15">
      <c r="G239" s="212" t="s">
        <v>887</v>
      </c>
      <c r="H239" s="142" t="s">
        <v>468</v>
      </c>
      <c r="I239" s="46">
        <f t="shared" si="186"/>
        <v>0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45">
        <f t="shared" si="187"/>
        <v>0</v>
      </c>
      <c r="AD239" s="6"/>
      <c r="AE239" s="6"/>
      <c r="AF239" s="6"/>
      <c r="AG239" s="6"/>
      <c r="AH239" s="45">
        <f t="shared" si="188"/>
        <v>0</v>
      </c>
      <c r="AI239" s="6"/>
      <c r="AJ239" s="6"/>
      <c r="AK239" s="6"/>
      <c r="AL239" s="6"/>
      <c r="AM239" s="147">
        <f t="shared" si="189"/>
        <v>0</v>
      </c>
    </row>
    <row r="240" spans="7:39" ht="21" x14ac:dyDescent="0.15">
      <c r="G240" s="211" t="s">
        <v>467</v>
      </c>
      <c r="H240" s="144" t="s">
        <v>470</v>
      </c>
      <c r="I240" s="46">
        <f t="shared" si="186"/>
        <v>0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45">
        <f t="shared" si="187"/>
        <v>0</v>
      </c>
      <c r="AD240" s="6"/>
      <c r="AE240" s="6"/>
      <c r="AF240" s="6"/>
      <c r="AG240" s="6"/>
      <c r="AH240" s="45">
        <f t="shared" si="188"/>
        <v>0</v>
      </c>
      <c r="AI240" s="6"/>
      <c r="AJ240" s="6"/>
      <c r="AK240" s="6"/>
      <c r="AL240" s="6"/>
      <c r="AM240" s="147">
        <f t="shared" si="189"/>
        <v>0</v>
      </c>
    </row>
    <row r="241" spans="7:39" x14ac:dyDescent="0.15">
      <c r="G241" s="211" t="s">
        <v>469</v>
      </c>
      <c r="H241" s="144" t="s">
        <v>472</v>
      </c>
      <c r="I241" s="46">
        <f t="shared" si="186"/>
        <v>0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45">
        <f t="shared" si="187"/>
        <v>0</v>
      </c>
      <c r="AD241" s="6"/>
      <c r="AE241" s="6"/>
      <c r="AF241" s="6"/>
      <c r="AG241" s="6"/>
      <c r="AH241" s="45">
        <f t="shared" si="188"/>
        <v>0</v>
      </c>
      <c r="AI241" s="6"/>
      <c r="AJ241" s="6"/>
      <c r="AK241" s="6"/>
      <c r="AL241" s="6"/>
      <c r="AM241" s="147">
        <f t="shared" si="189"/>
        <v>0</v>
      </c>
    </row>
    <row r="242" spans="7:39" x14ac:dyDescent="0.15">
      <c r="G242" s="211" t="s">
        <v>471</v>
      </c>
      <c r="H242" s="142" t="s">
        <v>474</v>
      </c>
      <c r="I242" s="46">
        <f t="shared" si="186"/>
        <v>0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45">
        <f t="shared" si="187"/>
        <v>0</v>
      </c>
      <c r="AD242" s="6"/>
      <c r="AE242" s="6"/>
      <c r="AF242" s="6"/>
      <c r="AG242" s="6"/>
      <c r="AH242" s="45">
        <f t="shared" si="188"/>
        <v>0</v>
      </c>
      <c r="AI242" s="6"/>
      <c r="AJ242" s="6"/>
      <c r="AK242" s="6"/>
      <c r="AL242" s="6"/>
      <c r="AM242" s="147">
        <f t="shared" si="189"/>
        <v>0</v>
      </c>
    </row>
    <row r="243" spans="7:39" x14ac:dyDescent="0.15">
      <c r="G243" s="211" t="s">
        <v>473</v>
      </c>
      <c r="H243" s="144" t="s">
        <v>476</v>
      </c>
      <c r="I243" s="46">
        <f t="shared" si="186"/>
        <v>0</v>
      </c>
      <c r="J243" s="46">
        <f t="shared" ref="J243:L243" si="220">SUM(J244:J246)</f>
        <v>0</v>
      </c>
      <c r="K243" s="46">
        <f t="shared" si="220"/>
        <v>0</v>
      </c>
      <c r="L243" s="46">
        <f t="shared" si="220"/>
        <v>0</v>
      </c>
      <c r="M243" s="46">
        <f>SUM(M244:M246)</f>
        <v>0</v>
      </c>
      <c r="N243" s="46">
        <f t="shared" ref="N243:AB243" si="221">SUM(N244:N246)</f>
        <v>0</v>
      </c>
      <c r="O243" s="46">
        <f t="shared" si="221"/>
        <v>0</v>
      </c>
      <c r="P243" s="46">
        <f t="shared" si="221"/>
        <v>0</v>
      </c>
      <c r="Q243" s="46">
        <f t="shared" si="221"/>
        <v>0</v>
      </c>
      <c r="R243" s="46">
        <f t="shared" si="221"/>
        <v>0</v>
      </c>
      <c r="S243" s="46">
        <f t="shared" si="221"/>
        <v>0</v>
      </c>
      <c r="T243" s="46">
        <f t="shared" si="221"/>
        <v>0</v>
      </c>
      <c r="U243" s="46">
        <f t="shared" si="221"/>
        <v>0</v>
      </c>
      <c r="V243" s="46">
        <f t="shared" si="221"/>
        <v>0</v>
      </c>
      <c r="W243" s="46">
        <f t="shared" si="221"/>
        <v>0</v>
      </c>
      <c r="X243" s="46">
        <f t="shared" si="221"/>
        <v>0</v>
      </c>
      <c r="Y243" s="46">
        <f t="shared" si="221"/>
        <v>0</v>
      </c>
      <c r="Z243" s="46">
        <f t="shared" si="221"/>
        <v>0</v>
      </c>
      <c r="AA243" s="46">
        <f t="shared" si="221"/>
        <v>0</v>
      </c>
      <c r="AB243" s="46">
        <f t="shared" si="221"/>
        <v>0</v>
      </c>
      <c r="AC243" s="45">
        <f t="shared" si="187"/>
        <v>0</v>
      </c>
      <c r="AD243" s="46">
        <f t="shared" ref="AD243" si="222">SUM(AD244:AD246)</f>
        <v>0</v>
      </c>
      <c r="AE243" s="46">
        <f t="shared" ref="AE243" si="223">SUM(AE244:AE246)</f>
        <v>0</v>
      </c>
      <c r="AF243" s="46">
        <f t="shared" ref="AF243" si="224">SUM(AF244:AF246)</f>
        <v>0</v>
      </c>
      <c r="AG243" s="46">
        <f t="shared" ref="AG243" si="225">SUM(AG244:AG246)</f>
        <v>0</v>
      </c>
      <c r="AH243" s="45">
        <f t="shared" si="188"/>
        <v>0</v>
      </c>
      <c r="AI243" s="46">
        <f t="shared" ref="AI243" si="226">SUM(AI244:AI246)</f>
        <v>0</v>
      </c>
      <c r="AJ243" s="46">
        <f t="shared" ref="AJ243" si="227">SUM(AJ244:AJ246)</f>
        <v>0</v>
      </c>
      <c r="AK243" s="46">
        <f t="shared" ref="AK243" si="228">SUM(AK244:AK246)</f>
        <v>0</v>
      </c>
      <c r="AL243" s="46">
        <f t="shared" ref="AL243" si="229">SUM(AL244:AL246)</f>
        <v>0</v>
      </c>
      <c r="AM243" s="147">
        <f t="shared" si="189"/>
        <v>0</v>
      </c>
    </row>
    <row r="244" spans="7:39" ht="21" x14ac:dyDescent="0.15">
      <c r="G244" s="212" t="s">
        <v>475</v>
      </c>
      <c r="H244" s="144" t="s">
        <v>478</v>
      </c>
      <c r="I244" s="46">
        <f t="shared" si="186"/>
        <v>0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45">
        <f t="shared" si="187"/>
        <v>0</v>
      </c>
      <c r="AD244" s="6"/>
      <c r="AE244" s="6"/>
      <c r="AF244" s="6"/>
      <c r="AG244" s="6"/>
      <c r="AH244" s="45">
        <f t="shared" si="188"/>
        <v>0</v>
      </c>
      <c r="AI244" s="6"/>
      <c r="AJ244" s="6"/>
      <c r="AK244" s="6"/>
      <c r="AL244" s="6"/>
      <c r="AM244" s="147">
        <f t="shared" si="189"/>
        <v>0</v>
      </c>
    </row>
    <row r="245" spans="7:39" x14ac:dyDescent="0.15">
      <c r="G245" s="212" t="s">
        <v>477</v>
      </c>
      <c r="H245" s="142" t="s">
        <v>480</v>
      </c>
      <c r="I245" s="46">
        <f t="shared" si="186"/>
        <v>0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45">
        <f t="shared" si="187"/>
        <v>0</v>
      </c>
      <c r="AD245" s="6"/>
      <c r="AE245" s="6"/>
      <c r="AF245" s="6"/>
      <c r="AG245" s="6"/>
      <c r="AH245" s="45">
        <f t="shared" si="188"/>
        <v>0</v>
      </c>
      <c r="AI245" s="6"/>
      <c r="AJ245" s="6"/>
      <c r="AK245" s="6"/>
      <c r="AL245" s="6"/>
      <c r="AM245" s="147">
        <f t="shared" si="189"/>
        <v>0</v>
      </c>
    </row>
    <row r="246" spans="7:39" ht="21" x14ac:dyDescent="0.15">
      <c r="G246" s="212" t="s">
        <v>479</v>
      </c>
      <c r="H246" s="144" t="s">
        <v>482</v>
      </c>
      <c r="I246" s="46">
        <f t="shared" si="186"/>
        <v>0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45">
        <f t="shared" si="187"/>
        <v>0</v>
      </c>
      <c r="AD246" s="6"/>
      <c r="AE246" s="6"/>
      <c r="AF246" s="6"/>
      <c r="AG246" s="6"/>
      <c r="AH246" s="45">
        <f t="shared" si="188"/>
        <v>0</v>
      </c>
      <c r="AI246" s="6"/>
      <c r="AJ246" s="6"/>
      <c r="AK246" s="6"/>
      <c r="AL246" s="6"/>
      <c r="AM246" s="147">
        <f t="shared" si="189"/>
        <v>0</v>
      </c>
    </row>
    <row r="247" spans="7:39" x14ac:dyDescent="0.15">
      <c r="G247" s="211" t="s">
        <v>481</v>
      </c>
      <c r="H247" s="144" t="s">
        <v>484</v>
      </c>
      <c r="I247" s="46">
        <f t="shared" si="186"/>
        <v>0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45">
        <f t="shared" si="187"/>
        <v>0</v>
      </c>
      <c r="AD247" s="6"/>
      <c r="AE247" s="6"/>
      <c r="AF247" s="6"/>
      <c r="AG247" s="6"/>
      <c r="AH247" s="45">
        <f t="shared" si="188"/>
        <v>0</v>
      </c>
      <c r="AI247" s="6"/>
      <c r="AJ247" s="6"/>
      <c r="AK247" s="6"/>
      <c r="AL247" s="6"/>
      <c r="AM247" s="147">
        <f t="shared" si="189"/>
        <v>0</v>
      </c>
    </row>
    <row r="248" spans="7:39" x14ac:dyDescent="0.15">
      <c r="G248" s="211" t="s">
        <v>483</v>
      </c>
      <c r="H248" s="142" t="s">
        <v>486</v>
      </c>
      <c r="I248" s="46">
        <f t="shared" si="186"/>
        <v>0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45">
        <f t="shared" si="187"/>
        <v>0</v>
      </c>
      <c r="AD248" s="6"/>
      <c r="AE248" s="6"/>
      <c r="AF248" s="6"/>
      <c r="AG248" s="6"/>
      <c r="AH248" s="45">
        <f t="shared" si="188"/>
        <v>0</v>
      </c>
      <c r="AI248" s="6"/>
      <c r="AJ248" s="6"/>
      <c r="AK248" s="6"/>
      <c r="AL248" s="6"/>
      <c r="AM248" s="147">
        <f t="shared" si="189"/>
        <v>0</v>
      </c>
    </row>
    <row r="249" spans="7:39" ht="21" x14ac:dyDescent="0.15">
      <c r="G249" s="211" t="s">
        <v>485</v>
      </c>
      <c r="H249" s="144" t="s">
        <v>488</v>
      </c>
      <c r="I249" s="46">
        <f t="shared" si="186"/>
        <v>0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45">
        <f t="shared" si="187"/>
        <v>0</v>
      </c>
      <c r="AD249" s="6"/>
      <c r="AE249" s="6"/>
      <c r="AF249" s="6"/>
      <c r="AG249" s="6"/>
      <c r="AH249" s="45">
        <f t="shared" si="188"/>
        <v>0</v>
      </c>
      <c r="AI249" s="6"/>
      <c r="AJ249" s="6"/>
      <c r="AK249" s="6"/>
      <c r="AL249" s="6"/>
      <c r="AM249" s="147">
        <f t="shared" si="189"/>
        <v>0</v>
      </c>
    </row>
    <row r="250" spans="7:39" x14ac:dyDescent="0.15">
      <c r="G250" s="211" t="s">
        <v>487</v>
      </c>
      <c r="H250" s="144" t="s">
        <v>490</v>
      </c>
      <c r="I250" s="46">
        <f t="shared" si="186"/>
        <v>0</v>
      </c>
      <c r="J250" s="46">
        <f t="shared" ref="J250:L250" si="230">SUM(J251:J254)</f>
        <v>0</v>
      </c>
      <c r="K250" s="46">
        <f t="shared" si="230"/>
        <v>0</v>
      </c>
      <c r="L250" s="46">
        <f t="shared" si="230"/>
        <v>0</v>
      </c>
      <c r="M250" s="46">
        <f>SUM(M251:M254)</f>
        <v>0</v>
      </c>
      <c r="N250" s="46">
        <f t="shared" ref="N250:AB250" si="231">SUM(N251:N254)</f>
        <v>0</v>
      </c>
      <c r="O250" s="46">
        <f t="shared" si="231"/>
        <v>0</v>
      </c>
      <c r="P250" s="46">
        <f t="shared" si="231"/>
        <v>0</v>
      </c>
      <c r="Q250" s="46">
        <f t="shared" si="231"/>
        <v>0</v>
      </c>
      <c r="R250" s="46">
        <f t="shared" si="231"/>
        <v>0</v>
      </c>
      <c r="S250" s="46">
        <f t="shared" si="231"/>
        <v>0</v>
      </c>
      <c r="T250" s="46">
        <f t="shared" si="231"/>
        <v>0</v>
      </c>
      <c r="U250" s="46">
        <f t="shared" si="231"/>
        <v>0</v>
      </c>
      <c r="V250" s="46">
        <f t="shared" si="231"/>
        <v>0</v>
      </c>
      <c r="W250" s="46">
        <f t="shared" si="231"/>
        <v>0</v>
      </c>
      <c r="X250" s="46">
        <f t="shared" si="231"/>
        <v>0</v>
      </c>
      <c r="Y250" s="46">
        <f t="shared" si="231"/>
        <v>0</v>
      </c>
      <c r="Z250" s="46">
        <f t="shared" si="231"/>
        <v>0</v>
      </c>
      <c r="AA250" s="46">
        <f t="shared" si="231"/>
        <v>0</v>
      </c>
      <c r="AB250" s="46">
        <f t="shared" si="231"/>
        <v>0</v>
      </c>
      <c r="AC250" s="45">
        <f t="shared" si="187"/>
        <v>0</v>
      </c>
      <c r="AD250" s="46">
        <f t="shared" ref="AD250" si="232">SUM(AD251:AD254)</f>
        <v>0</v>
      </c>
      <c r="AE250" s="46">
        <f t="shared" ref="AE250" si="233">SUM(AE251:AE254)</f>
        <v>0</v>
      </c>
      <c r="AF250" s="46">
        <f t="shared" ref="AF250" si="234">SUM(AF251:AF254)</f>
        <v>0</v>
      </c>
      <c r="AG250" s="46">
        <f t="shared" ref="AG250" si="235">SUM(AG251:AG254)</f>
        <v>0</v>
      </c>
      <c r="AH250" s="45">
        <f t="shared" si="188"/>
        <v>0</v>
      </c>
      <c r="AI250" s="46">
        <f t="shared" ref="AI250" si="236">SUM(AI251:AI254)</f>
        <v>0</v>
      </c>
      <c r="AJ250" s="46">
        <f t="shared" ref="AJ250" si="237">SUM(AJ251:AJ254)</f>
        <v>0</v>
      </c>
      <c r="AK250" s="46">
        <f t="shared" ref="AK250" si="238">SUM(AK251:AK254)</f>
        <v>0</v>
      </c>
      <c r="AL250" s="46">
        <f t="shared" ref="AL250" si="239">SUM(AL251:AL254)</f>
        <v>0</v>
      </c>
      <c r="AM250" s="147">
        <f t="shared" si="189"/>
        <v>0</v>
      </c>
    </row>
    <row r="251" spans="7:39" ht="21" x14ac:dyDescent="0.15">
      <c r="G251" s="212" t="s">
        <v>489</v>
      </c>
      <c r="H251" s="142" t="s">
        <v>492</v>
      </c>
      <c r="I251" s="46">
        <f t="shared" si="186"/>
        <v>0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45">
        <f t="shared" si="187"/>
        <v>0</v>
      </c>
      <c r="AD251" s="6"/>
      <c r="AE251" s="6"/>
      <c r="AF251" s="6"/>
      <c r="AG251" s="6"/>
      <c r="AH251" s="45">
        <f t="shared" si="188"/>
        <v>0</v>
      </c>
      <c r="AI251" s="6"/>
      <c r="AJ251" s="6"/>
      <c r="AK251" s="6"/>
      <c r="AL251" s="6"/>
      <c r="AM251" s="147">
        <f t="shared" si="189"/>
        <v>0</v>
      </c>
    </row>
    <row r="252" spans="7:39" x14ac:dyDescent="0.15">
      <c r="G252" s="212" t="s">
        <v>491</v>
      </c>
      <c r="H252" s="144" t="s">
        <v>494</v>
      </c>
      <c r="I252" s="46">
        <f t="shared" si="186"/>
        <v>0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45">
        <f t="shared" si="187"/>
        <v>0</v>
      </c>
      <c r="AD252" s="6"/>
      <c r="AE252" s="6"/>
      <c r="AF252" s="6"/>
      <c r="AG252" s="6"/>
      <c r="AH252" s="45">
        <f t="shared" si="188"/>
        <v>0</v>
      </c>
      <c r="AI252" s="6"/>
      <c r="AJ252" s="6"/>
      <c r="AK252" s="6"/>
      <c r="AL252" s="6"/>
      <c r="AM252" s="147">
        <f t="shared" si="189"/>
        <v>0</v>
      </c>
    </row>
    <row r="253" spans="7:39" x14ac:dyDescent="0.15">
      <c r="G253" s="212" t="s">
        <v>493</v>
      </c>
      <c r="H253" s="144" t="s">
        <v>496</v>
      </c>
      <c r="I253" s="46">
        <f t="shared" si="186"/>
        <v>0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45">
        <f t="shared" si="187"/>
        <v>0</v>
      </c>
      <c r="AD253" s="6"/>
      <c r="AE253" s="6"/>
      <c r="AF253" s="6"/>
      <c r="AG253" s="6"/>
      <c r="AH253" s="45">
        <f t="shared" si="188"/>
        <v>0</v>
      </c>
      <c r="AI253" s="6"/>
      <c r="AJ253" s="6"/>
      <c r="AK253" s="6"/>
      <c r="AL253" s="6"/>
      <c r="AM253" s="147">
        <f t="shared" si="189"/>
        <v>0</v>
      </c>
    </row>
    <row r="254" spans="7:39" ht="21" x14ac:dyDescent="0.15">
      <c r="G254" s="212" t="s">
        <v>495</v>
      </c>
      <c r="H254" s="142" t="s">
        <v>498</v>
      </c>
      <c r="I254" s="46">
        <f t="shared" si="186"/>
        <v>0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45">
        <f t="shared" si="187"/>
        <v>0</v>
      </c>
      <c r="AD254" s="6"/>
      <c r="AE254" s="6"/>
      <c r="AF254" s="6"/>
      <c r="AG254" s="6"/>
      <c r="AH254" s="45">
        <f t="shared" si="188"/>
        <v>0</v>
      </c>
      <c r="AI254" s="6"/>
      <c r="AJ254" s="6"/>
      <c r="AK254" s="6"/>
      <c r="AL254" s="6"/>
      <c r="AM254" s="147">
        <f t="shared" si="189"/>
        <v>0</v>
      </c>
    </row>
    <row r="255" spans="7:39" ht="21" x14ac:dyDescent="0.15">
      <c r="G255" s="211" t="s">
        <v>497</v>
      </c>
      <c r="H255" s="144" t="s">
        <v>500</v>
      </c>
      <c r="I255" s="46">
        <f t="shared" si="186"/>
        <v>0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45">
        <f t="shared" si="187"/>
        <v>0</v>
      </c>
      <c r="AD255" s="6"/>
      <c r="AE255" s="6"/>
      <c r="AF255" s="6"/>
      <c r="AG255" s="6"/>
      <c r="AH255" s="45">
        <f t="shared" si="188"/>
        <v>0</v>
      </c>
      <c r="AI255" s="6"/>
      <c r="AJ255" s="6"/>
      <c r="AK255" s="6"/>
      <c r="AL255" s="6"/>
      <c r="AM255" s="147">
        <f t="shared" si="189"/>
        <v>0</v>
      </c>
    </row>
    <row r="256" spans="7:39" x14ac:dyDescent="0.15">
      <c r="G256" s="211" t="s">
        <v>499</v>
      </c>
      <c r="H256" s="144" t="s">
        <v>502</v>
      </c>
      <c r="I256" s="46">
        <f t="shared" si="186"/>
        <v>0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45">
        <f t="shared" si="187"/>
        <v>0</v>
      </c>
      <c r="AD256" s="6"/>
      <c r="AE256" s="6"/>
      <c r="AF256" s="6"/>
      <c r="AG256" s="6"/>
      <c r="AH256" s="45">
        <f t="shared" si="188"/>
        <v>0</v>
      </c>
      <c r="AI256" s="6"/>
      <c r="AJ256" s="6"/>
      <c r="AK256" s="6"/>
      <c r="AL256" s="6"/>
      <c r="AM256" s="147">
        <f t="shared" si="189"/>
        <v>0</v>
      </c>
    </row>
    <row r="257" spans="7:39" x14ac:dyDescent="0.15">
      <c r="G257" s="211" t="s">
        <v>501</v>
      </c>
      <c r="H257" s="142" t="s">
        <v>504</v>
      </c>
      <c r="I257" s="46">
        <f t="shared" si="186"/>
        <v>0</v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45">
        <f t="shared" si="187"/>
        <v>0</v>
      </c>
      <c r="AD257" s="6"/>
      <c r="AE257" s="6"/>
      <c r="AF257" s="6"/>
      <c r="AG257" s="6"/>
      <c r="AH257" s="45">
        <f t="shared" si="188"/>
        <v>0</v>
      </c>
      <c r="AI257" s="6"/>
      <c r="AJ257" s="6"/>
      <c r="AK257" s="6"/>
      <c r="AL257" s="6"/>
      <c r="AM257" s="147">
        <f t="shared" si="189"/>
        <v>0</v>
      </c>
    </row>
    <row r="258" spans="7:39" x14ac:dyDescent="0.15">
      <c r="G258" s="211" t="s">
        <v>503</v>
      </c>
      <c r="H258" s="144" t="s">
        <v>506</v>
      </c>
      <c r="I258" s="46">
        <f t="shared" si="186"/>
        <v>0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45">
        <f t="shared" si="187"/>
        <v>0</v>
      </c>
      <c r="AD258" s="6"/>
      <c r="AE258" s="6"/>
      <c r="AF258" s="6"/>
      <c r="AG258" s="6"/>
      <c r="AH258" s="45">
        <f t="shared" si="188"/>
        <v>0</v>
      </c>
      <c r="AI258" s="6"/>
      <c r="AJ258" s="6"/>
      <c r="AK258" s="6"/>
      <c r="AL258" s="6"/>
      <c r="AM258" s="147">
        <f t="shared" si="189"/>
        <v>0</v>
      </c>
    </row>
    <row r="259" spans="7:39" x14ac:dyDescent="0.15">
      <c r="G259" s="211" t="s">
        <v>505</v>
      </c>
      <c r="H259" s="144" t="s">
        <v>508</v>
      </c>
      <c r="I259" s="46">
        <f t="shared" si="186"/>
        <v>0</v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45">
        <f t="shared" si="187"/>
        <v>0</v>
      </c>
      <c r="AD259" s="6"/>
      <c r="AE259" s="6"/>
      <c r="AF259" s="6"/>
      <c r="AG259" s="6"/>
      <c r="AH259" s="45">
        <f t="shared" si="188"/>
        <v>0</v>
      </c>
      <c r="AI259" s="6"/>
      <c r="AJ259" s="6"/>
      <c r="AK259" s="6"/>
      <c r="AL259" s="6"/>
      <c r="AM259" s="147">
        <f t="shared" si="189"/>
        <v>0</v>
      </c>
    </row>
    <row r="260" spans="7:39" x14ac:dyDescent="0.15">
      <c r="G260" s="211" t="s">
        <v>507</v>
      </c>
      <c r="H260" s="142" t="s">
        <v>510</v>
      </c>
      <c r="I260" s="46">
        <f t="shared" si="186"/>
        <v>0</v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45">
        <f t="shared" si="187"/>
        <v>0</v>
      </c>
      <c r="AD260" s="6"/>
      <c r="AE260" s="6"/>
      <c r="AF260" s="6"/>
      <c r="AG260" s="6"/>
      <c r="AH260" s="45">
        <f t="shared" si="188"/>
        <v>0</v>
      </c>
      <c r="AI260" s="6"/>
      <c r="AJ260" s="6"/>
      <c r="AK260" s="6"/>
      <c r="AL260" s="6"/>
      <c r="AM260" s="147">
        <f t="shared" si="189"/>
        <v>0</v>
      </c>
    </row>
    <row r="261" spans="7:39" x14ac:dyDescent="0.15">
      <c r="G261" s="211" t="s">
        <v>509</v>
      </c>
      <c r="H261" s="144" t="s">
        <v>512</v>
      </c>
      <c r="I261" s="46">
        <f t="shared" si="186"/>
        <v>0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45">
        <f t="shared" si="187"/>
        <v>0</v>
      </c>
      <c r="AD261" s="6"/>
      <c r="AE261" s="6"/>
      <c r="AF261" s="6"/>
      <c r="AG261" s="6"/>
      <c r="AH261" s="45">
        <f t="shared" si="188"/>
        <v>0</v>
      </c>
      <c r="AI261" s="6"/>
      <c r="AJ261" s="6"/>
      <c r="AK261" s="6"/>
      <c r="AL261" s="6"/>
      <c r="AM261" s="147">
        <f t="shared" si="189"/>
        <v>0</v>
      </c>
    </row>
    <row r="262" spans="7:39" x14ac:dyDescent="0.15">
      <c r="G262" s="211" t="s">
        <v>511</v>
      </c>
      <c r="H262" s="144" t="s">
        <v>514</v>
      </c>
      <c r="I262" s="46">
        <f t="shared" si="186"/>
        <v>0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45">
        <f t="shared" si="187"/>
        <v>0</v>
      </c>
      <c r="AD262" s="6"/>
      <c r="AE262" s="6"/>
      <c r="AF262" s="6"/>
      <c r="AG262" s="6"/>
      <c r="AH262" s="45">
        <f t="shared" si="188"/>
        <v>0</v>
      </c>
      <c r="AI262" s="6"/>
      <c r="AJ262" s="6"/>
      <c r="AK262" s="6"/>
      <c r="AL262" s="6"/>
      <c r="AM262" s="147">
        <f t="shared" si="189"/>
        <v>0</v>
      </c>
    </row>
    <row r="263" spans="7:39" x14ac:dyDescent="0.15">
      <c r="G263" s="211" t="s">
        <v>513</v>
      </c>
      <c r="H263" s="142" t="s">
        <v>516</v>
      </c>
      <c r="I263" s="46">
        <f t="shared" si="186"/>
        <v>0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45">
        <f t="shared" si="187"/>
        <v>0</v>
      </c>
      <c r="AD263" s="6"/>
      <c r="AE263" s="6"/>
      <c r="AF263" s="6"/>
      <c r="AG263" s="6"/>
      <c r="AH263" s="45">
        <f t="shared" si="188"/>
        <v>0</v>
      </c>
      <c r="AI263" s="6"/>
      <c r="AJ263" s="6"/>
      <c r="AK263" s="6"/>
      <c r="AL263" s="6"/>
      <c r="AM263" s="147">
        <f t="shared" si="189"/>
        <v>0</v>
      </c>
    </row>
    <row r="264" spans="7:39" x14ac:dyDescent="0.15">
      <c r="G264" s="214" t="s">
        <v>515</v>
      </c>
      <c r="H264" s="144" t="s">
        <v>518</v>
      </c>
      <c r="I264" s="46">
        <f t="shared" si="186"/>
        <v>0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45">
        <f t="shared" si="187"/>
        <v>0</v>
      </c>
      <c r="AD264" s="6"/>
      <c r="AE264" s="6"/>
      <c r="AF264" s="6"/>
      <c r="AG264" s="6"/>
      <c r="AH264" s="45">
        <f t="shared" si="188"/>
        <v>0</v>
      </c>
      <c r="AI264" s="6"/>
      <c r="AJ264" s="6"/>
      <c r="AK264" s="6"/>
      <c r="AL264" s="6"/>
      <c r="AM264" s="147">
        <f t="shared" si="189"/>
        <v>0</v>
      </c>
    </row>
    <row r="265" spans="7:39" x14ac:dyDescent="0.15">
      <c r="G265" s="211" t="s">
        <v>517</v>
      </c>
      <c r="H265" s="144" t="s">
        <v>520</v>
      </c>
      <c r="I265" s="46">
        <f t="shared" si="186"/>
        <v>0</v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45">
        <f t="shared" si="187"/>
        <v>0</v>
      </c>
      <c r="AD265" s="6"/>
      <c r="AE265" s="6"/>
      <c r="AF265" s="6"/>
      <c r="AG265" s="6"/>
      <c r="AH265" s="45">
        <f t="shared" si="188"/>
        <v>0</v>
      </c>
      <c r="AI265" s="6"/>
      <c r="AJ265" s="6"/>
      <c r="AK265" s="6"/>
      <c r="AL265" s="6"/>
      <c r="AM265" s="147">
        <f t="shared" si="189"/>
        <v>0</v>
      </c>
    </row>
    <row r="266" spans="7:39" x14ac:dyDescent="0.15">
      <c r="G266" s="211" t="s">
        <v>519</v>
      </c>
      <c r="H266" s="142" t="s">
        <v>522</v>
      </c>
      <c r="I266" s="46">
        <f t="shared" si="186"/>
        <v>0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45">
        <f t="shared" si="187"/>
        <v>0</v>
      </c>
      <c r="AD266" s="6"/>
      <c r="AE266" s="6"/>
      <c r="AF266" s="6"/>
      <c r="AG266" s="6"/>
      <c r="AH266" s="45">
        <f t="shared" si="188"/>
        <v>0</v>
      </c>
      <c r="AI266" s="6"/>
      <c r="AJ266" s="6"/>
      <c r="AK266" s="6"/>
      <c r="AL266" s="6"/>
      <c r="AM266" s="147">
        <f t="shared" si="189"/>
        <v>0</v>
      </c>
    </row>
    <row r="267" spans="7:39" x14ac:dyDescent="0.15">
      <c r="G267" s="211" t="s">
        <v>896</v>
      </c>
      <c r="H267" s="144" t="s">
        <v>524</v>
      </c>
      <c r="I267" s="46">
        <f t="shared" ref="I267" si="240">SUM(J267:AB267)</f>
        <v>0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45">
        <f t="shared" ref="AC267" si="241">SUM(AD267:AG267)</f>
        <v>0</v>
      </c>
      <c r="AD267" s="6"/>
      <c r="AE267" s="6"/>
      <c r="AF267" s="6"/>
      <c r="AG267" s="6"/>
      <c r="AH267" s="45">
        <f t="shared" ref="AH267" si="242">SUM(AI267:AL267)</f>
        <v>0</v>
      </c>
      <c r="AI267" s="6"/>
      <c r="AJ267" s="6"/>
      <c r="AK267" s="6"/>
      <c r="AL267" s="6"/>
      <c r="AM267" s="147">
        <f t="shared" ref="AM267" si="243">SUM(J267:AL267)</f>
        <v>0</v>
      </c>
    </row>
    <row r="268" spans="7:39" x14ac:dyDescent="0.15">
      <c r="G268" s="211" t="s">
        <v>521</v>
      </c>
      <c r="H268" s="144" t="s">
        <v>526</v>
      </c>
      <c r="I268" s="46">
        <f t="shared" si="186"/>
        <v>0</v>
      </c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45">
        <f t="shared" si="187"/>
        <v>0</v>
      </c>
      <c r="AD268" s="6"/>
      <c r="AE268" s="6"/>
      <c r="AF268" s="6"/>
      <c r="AG268" s="6"/>
      <c r="AH268" s="45">
        <f t="shared" si="188"/>
        <v>0</v>
      </c>
      <c r="AI268" s="6"/>
      <c r="AJ268" s="6"/>
      <c r="AK268" s="6"/>
      <c r="AL268" s="6"/>
      <c r="AM268" s="147">
        <f t="shared" si="189"/>
        <v>0</v>
      </c>
    </row>
    <row r="269" spans="7:39" x14ac:dyDescent="0.15">
      <c r="G269" s="211" t="s">
        <v>523</v>
      </c>
      <c r="H269" s="142" t="s">
        <v>528</v>
      </c>
      <c r="I269" s="46">
        <f t="shared" si="186"/>
        <v>0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45">
        <f t="shared" si="187"/>
        <v>0</v>
      </c>
      <c r="AD269" s="6"/>
      <c r="AE269" s="6"/>
      <c r="AF269" s="6"/>
      <c r="AG269" s="6"/>
      <c r="AH269" s="45">
        <f t="shared" si="188"/>
        <v>0</v>
      </c>
      <c r="AI269" s="6"/>
      <c r="AJ269" s="6"/>
      <c r="AK269" s="6"/>
      <c r="AL269" s="6"/>
      <c r="AM269" s="147">
        <f t="shared" si="189"/>
        <v>0</v>
      </c>
    </row>
    <row r="270" spans="7:39" x14ac:dyDescent="0.15">
      <c r="G270" s="211" t="s">
        <v>525</v>
      </c>
      <c r="H270" s="144" t="s">
        <v>530</v>
      </c>
      <c r="I270" s="46">
        <f t="shared" ref="I270:I322" si="244">SUM(J270:AB270)</f>
        <v>0</v>
      </c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45">
        <f t="shared" ref="AC270:AC322" si="245">SUM(AD270:AG270)</f>
        <v>0</v>
      </c>
      <c r="AD270" s="6"/>
      <c r="AE270" s="6"/>
      <c r="AF270" s="6"/>
      <c r="AG270" s="6"/>
      <c r="AH270" s="45">
        <f t="shared" ref="AH270:AH322" si="246">SUM(AI270:AL270)</f>
        <v>0</v>
      </c>
      <c r="AI270" s="6"/>
      <c r="AJ270" s="6"/>
      <c r="AK270" s="6"/>
      <c r="AL270" s="6"/>
      <c r="AM270" s="147">
        <f t="shared" ref="AM270:AM322" si="247">SUM(J270:AL270)</f>
        <v>0</v>
      </c>
    </row>
    <row r="271" spans="7:39" x14ac:dyDescent="0.15">
      <c r="G271" s="211" t="s">
        <v>527</v>
      </c>
      <c r="H271" s="144" t="s">
        <v>532</v>
      </c>
      <c r="I271" s="46">
        <f t="shared" si="244"/>
        <v>0</v>
      </c>
      <c r="J271" s="46">
        <f>SUM(J272:J276)</f>
        <v>0</v>
      </c>
      <c r="K271" s="46">
        <f t="shared" ref="K271:AB271" si="248">SUM(K272:K276)</f>
        <v>0</v>
      </c>
      <c r="L271" s="46">
        <f t="shared" si="248"/>
        <v>0</v>
      </c>
      <c r="M271" s="46">
        <f t="shared" si="248"/>
        <v>0</v>
      </c>
      <c r="N271" s="46">
        <f t="shared" si="248"/>
        <v>0</v>
      </c>
      <c r="O271" s="46">
        <f t="shared" si="248"/>
        <v>0</v>
      </c>
      <c r="P271" s="46">
        <f t="shared" si="248"/>
        <v>0</v>
      </c>
      <c r="Q271" s="46">
        <f t="shared" si="248"/>
        <v>0</v>
      </c>
      <c r="R271" s="46">
        <f t="shared" si="248"/>
        <v>0</v>
      </c>
      <c r="S271" s="46">
        <f t="shared" si="248"/>
        <v>0</v>
      </c>
      <c r="T271" s="46">
        <f t="shared" si="248"/>
        <v>0</v>
      </c>
      <c r="U271" s="46">
        <f t="shared" si="248"/>
        <v>0</v>
      </c>
      <c r="V271" s="46">
        <f t="shared" si="248"/>
        <v>0</v>
      </c>
      <c r="W271" s="46">
        <f t="shared" si="248"/>
        <v>0</v>
      </c>
      <c r="X271" s="46">
        <f t="shared" si="248"/>
        <v>0</v>
      </c>
      <c r="Y271" s="46">
        <f t="shared" si="248"/>
        <v>0</v>
      </c>
      <c r="Z271" s="46">
        <f t="shared" si="248"/>
        <v>0</v>
      </c>
      <c r="AA271" s="46">
        <f t="shared" si="248"/>
        <v>0</v>
      </c>
      <c r="AB271" s="46">
        <f t="shared" si="248"/>
        <v>0</v>
      </c>
      <c r="AC271" s="45">
        <f t="shared" si="245"/>
        <v>0</v>
      </c>
      <c r="AD271" s="46">
        <f>SUM(AD272:AD276)</f>
        <v>0</v>
      </c>
      <c r="AE271" s="46">
        <f t="shared" ref="AE271:AG271" si="249">SUM(AE272:AE276)</f>
        <v>0</v>
      </c>
      <c r="AF271" s="46">
        <f t="shared" si="249"/>
        <v>0</v>
      </c>
      <c r="AG271" s="46">
        <f t="shared" si="249"/>
        <v>0</v>
      </c>
      <c r="AH271" s="45">
        <f t="shared" si="246"/>
        <v>0</v>
      </c>
      <c r="AI271" s="46">
        <f>SUM(AI272:AI276)</f>
        <v>0</v>
      </c>
      <c r="AJ271" s="46">
        <f t="shared" ref="AJ271:AL271" si="250">SUM(AJ272:AJ276)</f>
        <v>0</v>
      </c>
      <c r="AK271" s="46">
        <f t="shared" si="250"/>
        <v>0</v>
      </c>
      <c r="AL271" s="46">
        <f t="shared" si="250"/>
        <v>0</v>
      </c>
      <c r="AM271" s="147">
        <f t="shared" si="247"/>
        <v>0</v>
      </c>
    </row>
    <row r="272" spans="7:39" ht="21" x14ac:dyDescent="0.15">
      <c r="G272" s="212" t="s">
        <v>529</v>
      </c>
      <c r="H272" s="142" t="s">
        <v>534</v>
      </c>
      <c r="I272" s="46">
        <f t="shared" si="244"/>
        <v>0</v>
      </c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45">
        <f t="shared" si="245"/>
        <v>0</v>
      </c>
      <c r="AD272" s="6"/>
      <c r="AE272" s="6"/>
      <c r="AF272" s="6"/>
      <c r="AG272" s="6"/>
      <c r="AH272" s="45">
        <f t="shared" si="246"/>
        <v>0</v>
      </c>
      <c r="AI272" s="6"/>
      <c r="AJ272" s="6"/>
      <c r="AK272" s="6"/>
      <c r="AL272" s="6"/>
      <c r="AM272" s="147">
        <f t="shared" si="247"/>
        <v>0</v>
      </c>
    </row>
    <row r="273" spans="7:39" x14ac:dyDescent="0.15">
      <c r="G273" s="212" t="s">
        <v>531</v>
      </c>
      <c r="H273" s="144" t="s">
        <v>536</v>
      </c>
      <c r="I273" s="46">
        <f t="shared" si="244"/>
        <v>0</v>
      </c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45">
        <f t="shared" si="245"/>
        <v>0</v>
      </c>
      <c r="AD273" s="6"/>
      <c r="AE273" s="6"/>
      <c r="AF273" s="6"/>
      <c r="AG273" s="6"/>
      <c r="AH273" s="45">
        <f t="shared" si="246"/>
        <v>0</v>
      </c>
      <c r="AI273" s="6"/>
      <c r="AJ273" s="6"/>
      <c r="AK273" s="6"/>
      <c r="AL273" s="6"/>
      <c r="AM273" s="147">
        <f t="shared" si="247"/>
        <v>0</v>
      </c>
    </row>
    <row r="274" spans="7:39" x14ac:dyDescent="0.15">
      <c r="G274" s="212" t="s">
        <v>533</v>
      </c>
      <c r="H274" s="144" t="s">
        <v>538</v>
      </c>
      <c r="I274" s="46">
        <f t="shared" si="244"/>
        <v>0</v>
      </c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45">
        <f t="shared" si="245"/>
        <v>0</v>
      </c>
      <c r="AD274" s="6"/>
      <c r="AE274" s="6"/>
      <c r="AF274" s="6"/>
      <c r="AG274" s="6"/>
      <c r="AH274" s="45">
        <f t="shared" si="246"/>
        <v>0</v>
      </c>
      <c r="AI274" s="6"/>
      <c r="AJ274" s="6"/>
      <c r="AK274" s="6"/>
      <c r="AL274" s="6"/>
      <c r="AM274" s="147">
        <f t="shared" si="247"/>
        <v>0</v>
      </c>
    </row>
    <row r="275" spans="7:39" x14ac:dyDescent="0.15">
      <c r="G275" s="212" t="s">
        <v>535</v>
      </c>
      <c r="H275" s="142" t="s">
        <v>540</v>
      </c>
      <c r="I275" s="46">
        <f t="shared" si="244"/>
        <v>0</v>
      </c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45">
        <f t="shared" si="245"/>
        <v>0</v>
      </c>
      <c r="AD275" s="6"/>
      <c r="AE275" s="6"/>
      <c r="AF275" s="6"/>
      <c r="AG275" s="6"/>
      <c r="AH275" s="45">
        <f t="shared" si="246"/>
        <v>0</v>
      </c>
      <c r="AI275" s="6"/>
      <c r="AJ275" s="6"/>
      <c r="AK275" s="6"/>
      <c r="AL275" s="6"/>
      <c r="AM275" s="147">
        <f t="shared" si="247"/>
        <v>0</v>
      </c>
    </row>
    <row r="276" spans="7:39" x14ac:dyDescent="0.15">
      <c r="G276" s="206" t="s">
        <v>897</v>
      </c>
      <c r="H276" s="144" t="s">
        <v>542</v>
      </c>
      <c r="I276" s="46">
        <f t="shared" ref="I276" si="251">SUM(J276:AB276)</f>
        <v>0</v>
      </c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45">
        <f t="shared" ref="AC276" si="252">SUM(AD276:AG276)</f>
        <v>0</v>
      </c>
      <c r="AD276" s="6"/>
      <c r="AE276" s="6"/>
      <c r="AF276" s="6"/>
      <c r="AG276" s="6"/>
      <c r="AH276" s="45">
        <f t="shared" ref="AH276" si="253">SUM(AI276:AL276)</f>
        <v>0</v>
      </c>
      <c r="AI276" s="6"/>
      <c r="AJ276" s="6"/>
      <c r="AK276" s="6"/>
      <c r="AL276" s="6"/>
      <c r="AM276" s="147">
        <f t="shared" ref="AM276" si="254">SUM(J276:AL276)</f>
        <v>0</v>
      </c>
    </row>
    <row r="277" spans="7:39" x14ac:dyDescent="0.15">
      <c r="G277" s="211" t="s">
        <v>537</v>
      </c>
      <c r="H277" s="144" t="s">
        <v>544</v>
      </c>
      <c r="I277" s="46">
        <f t="shared" si="244"/>
        <v>0</v>
      </c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45">
        <f t="shared" si="245"/>
        <v>0</v>
      </c>
      <c r="AD277" s="6"/>
      <c r="AE277" s="6"/>
      <c r="AF277" s="6"/>
      <c r="AG277" s="6"/>
      <c r="AH277" s="45">
        <f t="shared" si="246"/>
        <v>0</v>
      </c>
      <c r="AI277" s="6"/>
      <c r="AJ277" s="6"/>
      <c r="AK277" s="6"/>
      <c r="AL277" s="6"/>
      <c r="AM277" s="147">
        <f t="shared" si="247"/>
        <v>0</v>
      </c>
    </row>
    <row r="278" spans="7:39" ht="21" x14ac:dyDescent="0.15">
      <c r="G278" s="211" t="s">
        <v>539</v>
      </c>
      <c r="H278" s="142" t="s">
        <v>546</v>
      </c>
      <c r="I278" s="46">
        <f t="shared" si="244"/>
        <v>0</v>
      </c>
      <c r="J278" s="48">
        <f t="shared" ref="J278:L278" si="255">SUM(J279:J283)</f>
        <v>0</v>
      </c>
      <c r="K278" s="48">
        <f t="shared" si="255"/>
        <v>0</v>
      </c>
      <c r="L278" s="48">
        <f t="shared" si="255"/>
        <v>0</v>
      </c>
      <c r="M278" s="48">
        <f>SUM(M279:M283)</f>
        <v>0</v>
      </c>
      <c r="N278" s="48">
        <f t="shared" ref="N278:AB278" si="256">SUM(N279:N283)</f>
        <v>0</v>
      </c>
      <c r="O278" s="48">
        <f t="shared" si="256"/>
        <v>0</v>
      </c>
      <c r="P278" s="48">
        <f t="shared" si="256"/>
        <v>0</v>
      </c>
      <c r="Q278" s="48">
        <f t="shared" si="256"/>
        <v>0</v>
      </c>
      <c r="R278" s="48">
        <f t="shared" si="256"/>
        <v>0</v>
      </c>
      <c r="S278" s="48">
        <f t="shared" si="256"/>
        <v>0</v>
      </c>
      <c r="T278" s="48">
        <f t="shared" si="256"/>
        <v>0</v>
      </c>
      <c r="U278" s="48">
        <f t="shared" si="256"/>
        <v>0</v>
      </c>
      <c r="V278" s="48">
        <f t="shared" si="256"/>
        <v>0</v>
      </c>
      <c r="W278" s="48">
        <f t="shared" si="256"/>
        <v>0</v>
      </c>
      <c r="X278" s="48">
        <f t="shared" si="256"/>
        <v>0</v>
      </c>
      <c r="Y278" s="48">
        <f t="shared" si="256"/>
        <v>0</v>
      </c>
      <c r="Z278" s="48">
        <f t="shared" si="256"/>
        <v>0</v>
      </c>
      <c r="AA278" s="48">
        <f t="shared" si="256"/>
        <v>0</v>
      </c>
      <c r="AB278" s="48">
        <f t="shared" si="256"/>
        <v>0</v>
      </c>
      <c r="AC278" s="45">
        <f t="shared" si="245"/>
        <v>0</v>
      </c>
      <c r="AD278" s="48">
        <f t="shared" ref="AD278" si="257">SUM(AD279:AD283)</f>
        <v>0</v>
      </c>
      <c r="AE278" s="48">
        <f t="shared" ref="AE278" si="258">SUM(AE279:AE283)</f>
        <v>0</v>
      </c>
      <c r="AF278" s="48">
        <f t="shared" ref="AF278" si="259">SUM(AF279:AF283)</f>
        <v>0</v>
      </c>
      <c r="AG278" s="48">
        <f t="shared" ref="AG278" si="260">SUM(AG279:AG283)</f>
        <v>0</v>
      </c>
      <c r="AH278" s="45">
        <f t="shared" si="246"/>
        <v>0</v>
      </c>
      <c r="AI278" s="48">
        <f t="shared" ref="AI278" si="261">SUM(AI279:AI283)</f>
        <v>0</v>
      </c>
      <c r="AJ278" s="48">
        <f t="shared" ref="AJ278" si="262">SUM(AJ279:AJ283)</f>
        <v>0</v>
      </c>
      <c r="AK278" s="48">
        <f t="shared" ref="AK278" si="263">SUM(AK279:AK283)</f>
        <v>0</v>
      </c>
      <c r="AL278" s="48">
        <f t="shared" ref="AL278" si="264">SUM(AL279:AL283)</f>
        <v>0</v>
      </c>
      <c r="AM278" s="147">
        <f t="shared" si="247"/>
        <v>0</v>
      </c>
    </row>
    <row r="279" spans="7:39" ht="21" x14ac:dyDescent="0.15">
      <c r="G279" s="212" t="s">
        <v>541</v>
      </c>
      <c r="H279" s="144" t="s">
        <v>548</v>
      </c>
      <c r="I279" s="46">
        <f t="shared" si="244"/>
        <v>0</v>
      </c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45">
        <f t="shared" si="245"/>
        <v>0</v>
      </c>
      <c r="AD279" s="6"/>
      <c r="AE279" s="6"/>
      <c r="AF279" s="6"/>
      <c r="AG279" s="6"/>
      <c r="AH279" s="45">
        <f t="shared" si="246"/>
        <v>0</v>
      </c>
      <c r="AI279" s="6"/>
      <c r="AJ279" s="6"/>
      <c r="AK279" s="6"/>
      <c r="AL279" s="6"/>
      <c r="AM279" s="147">
        <f t="shared" si="247"/>
        <v>0</v>
      </c>
    </row>
    <row r="280" spans="7:39" x14ac:dyDescent="0.15">
      <c r="G280" s="212" t="s">
        <v>543</v>
      </c>
      <c r="H280" s="144" t="s">
        <v>549</v>
      </c>
      <c r="I280" s="46">
        <f t="shared" si="244"/>
        <v>0</v>
      </c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45">
        <f t="shared" si="245"/>
        <v>0</v>
      </c>
      <c r="AD280" s="6"/>
      <c r="AE280" s="6"/>
      <c r="AF280" s="6"/>
      <c r="AG280" s="6"/>
      <c r="AH280" s="45">
        <f t="shared" si="246"/>
        <v>0</v>
      </c>
      <c r="AI280" s="6"/>
      <c r="AJ280" s="6"/>
      <c r="AK280" s="6"/>
      <c r="AL280" s="6"/>
      <c r="AM280" s="147">
        <f t="shared" si="247"/>
        <v>0</v>
      </c>
    </row>
    <row r="281" spans="7:39" x14ac:dyDescent="0.15">
      <c r="G281" s="212" t="s">
        <v>545</v>
      </c>
      <c r="H281" s="142" t="s">
        <v>551</v>
      </c>
      <c r="I281" s="46">
        <f t="shared" si="244"/>
        <v>0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45">
        <f t="shared" si="245"/>
        <v>0</v>
      </c>
      <c r="AD281" s="6"/>
      <c r="AE281" s="6"/>
      <c r="AF281" s="6"/>
      <c r="AG281" s="6"/>
      <c r="AH281" s="45">
        <f t="shared" si="246"/>
        <v>0</v>
      </c>
      <c r="AI281" s="6"/>
      <c r="AJ281" s="6"/>
      <c r="AK281" s="6"/>
      <c r="AL281" s="6"/>
      <c r="AM281" s="147">
        <f t="shared" si="247"/>
        <v>0</v>
      </c>
    </row>
    <row r="282" spans="7:39" x14ac:dyDescent="0.15">
      <c r="G282" s="212" t="s">
        <v>547</v>
      </c>
      <c r="H282" s="144" t="s">
        <v>553</v>
      </c>
      <c r="I282" s="46">
        <f t="shared" si="244"/>
        <v>0</v>
      </c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45">
        <f t="shared" si="245"/>
        <v>0</v>
      </c>
      <c r="AD282" s="6"/>
      <c r="AE282" s="6"/>
      <c r="AF282" s="6"/>
      <c r="AG282" s="6"/>
      <c r="AH282" s="45">
        <f t="shared" si="246"/>
        <v>0</v>
      </c>
      <c r="AI282" s="6"/>
      <c r="AJ282" s="6"/>
      <c r="AK282" s="6"/>
      <c r="AL282" s="6"/>
      <c r="AM282" s="147">
        <f t="shared" si="247"/>
        <v>0</v>
      </c>
    </row>
    <row r="283" spans="7:39" x14ac:dyDescent="0.15">
      <c r="G283" s="212" t="s">
        <v>864</v>
      </c>
      <c r="H283" s="144" t="s">
        <v>555</v>
      </c>
      <c r="I283" s="46">
        <f t="shared" si="244"/>
        <v>0</v>
      </c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45">
        <f t="shared" si="245"/>
        <v>0</v>
      </c>
      <c r="AD283" s="6"/>
      <c r="AE283" s="6"/>
      <c r="AF283" s="6"/>
      <c r="AG283" s="6"/>
      <c r="AH283" s="45">
        <f t="shared" si="246"/>
        <v>0</v>
      </c>
      <c r="AI283" s="6"/>
      <c r="AJ283" s="6"/>
      <c r="AK283" s="6"/>
      <c r="AL283" s="6"/>
      <c r="AM283" s="147">
        <f t="shared" si="247"/>
        <v>0</v>
      </c>
    </row>
    <row r="284" spans="7:39" x14ac:dyDescent="0.15">
      <c r="G284" s="211" t="s">
        <v>550</v>
      </c>
      <c r="H284" s="142" t="s">
        <v>557</v>
      </c>
      <c r="I284" s="46">
        <f t="shared" si="244"/>
        <v>0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45">
        <f t="shared" si="245"/>
        <v>0</v>
      </c>
      <c r="AD284" s="6"/>
      <c r="AE284" s="6"/>
      <c r="AF284" s="6"/>
      <c r="AG284" s="6"/>
      <c r="AH284" s="45">
        <f t="shared" si="246"/>
        <v>0</v>
      </c>
      <c r="AI284" s="6"/>
      <c r="AJ284" s="6"/>
      <c r="AK284" s="6"/>
      <c r="AL284" s="6"/>
      <c r="AM284" s="147">
        <f t="shared" si="247"/>
        <v>0</v>
      </c>
    </row>
    <row r="285" spans="7:39" x14ac:dyDescent="0.15">
      <c r="G285" s="211" t="s">
        <v>552</v>
      </c>
      <c r="H285" s="144" t="s">
        <v>559</v>
      </c>
      <c r="I285" s="46">
        <f t="shared" si="244"/>
        <v>0</v>
      </c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45">
        <f t="shared" si="245"/>
        <v>0</v>
      </c>
      <c r="AD285" s="6"/>
      <c r="AE285" s="6"/>
      <c r="AF285" s="6"/>
      <c r="AG285" s="6"/>
      <c r="AH285" s="45">
        <f t="shared" si="246"/>
        <v>0</v>
      </c>
      <c r="AI285" s="6"/>
      <c r="AJ285" s="6"/>
      <c r="AK285" s="6"/>
      <c r="AL285" s="6"/>
      <c r="AM285" s="147">
        <f t="shared" si="247"/>
        <v>0</v>
      </c>
    </row>
    <row r="286" spans="7:39" x14ac:dyDescent="0.15">
      <c r="G286" s="211" t="s">
        <v>554</v>
      </c>
      <c r="H286" s="144" t="s">
        <v>560</v>
      </c>
      <c r="I286" s="46">
        <f t="shared" si="244"/>
        <v>0</v>
      </c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45">
        <f t="shared" si="245"/>
        <v>0</v>
      </c>
      <c r="AD286" s="6"/>
      <c r="AE286" s="6"/>
      <c r="AF286" s="6"/>
      <c r="AG286" s="6"/>
      <c r="AH286" s="45">
        <f t="shared" si="246"/>
        <v>0</v>
      </c>
      <c r="AI286" s="6"/>
      <c r="AJ286" s="6"/>
      <c r="AK286" s="6"/>
      <c r="AL286" s="6"/>
      <c r="AM286" s="147">
        <f t="shared" si="247"/>
        <v>0</v>
      </c>
    </row>
    <row r="287" spans="7:39" x14ac:dyDescent="0.15">
      <c r="G287" s="211" t="s">
        <v>556</v>
      </c>
      <c r="H287" s="142" t="s">
        <v>562</v>
      </c>
      <c r="I287" s="46">
        <f t="shared" si="244"/>
        <v>0</v>
      </c>
      <c r="J287" s="46">
        <f t="shared" ref="J287:L287" si="265">SUM(J288:J293)</f>
        <v>0</v>
      </c>
      <c r="K287" s="46">
        <f t="shared" si="265"/>
        <v>0</v>
      </c>
      <c r="L287" s="46">
        <f t="shared" si="265"/>
        <v>0</v>
      </c>
      <c r="M287" s="46">
        <f>SUM(M288:M293)</f>
        <v>0</v>
      </c>
      <c r="N287" s="46">
        <f t="shared" ref="N287:AB287" si="266">SUM(N288:N293)</f>
        <v>0</v>
      </c>
      <c r="O287" s="46">
        <f t="shared" si="266"/>
        <v>0</v>
      </c>
      <c r="P287" s="46">
        <f t="shared" si="266"/>
        <v>0</v>
      </c>
      <c r="Q287" s="46">
        <f t="shared" si="266"/>
        <v>0</v>
      </c>
      <c r="R287" s="46">
        <f t="shared" si="266"/>
        <v>0</v>
      </c>
      <c r="S287" s="46">
        <f t="shared" si="266"/>
        <v>0</v>
      </c>
      <c r="T287" s="46">
        <f t="shared" si="266"/>
        <v>0</v>
      </c>
      <c r="U287" s="46">
        <f t="shared" si="266"/>
        <v>0</v>
      </c>
      <c r="V287" s="46">
        <f t="shared" si="266"/>
        <v>0</v>
      </c>
      <c r="W287" s="46">
        <f t="shared" si="266"/>
        <v>0</v>
      </c>
      <c r="X287" s="46">
        <f t="shared" si="266"/>
        <v>0</v>
      </c>
      <c r="Y287" s="46">
        <f t="shared" si="266"/>
        <v>0</v>
      </c>
      <c r="Z287" s="46">
        <f t="shared" si="266"/>
        <v>0</v>
      </c>
      <c r="AA287" s="46">
        <f t="shared" si="266"/>
        <v>0</v>
      </c>
      <c r="AB287" s="46">
        <f t="shared" si="266"/>
        <v>0</v>
      </c>
      <c r="AC287" s="45">
        <f t="shared" si="245"/>
        <v>0</v>
      </c>
      <c r="AD287" s="46">
        <f t="shared" ref="AD287" si="267">SUM(AD288:AD293)</f>
        <v>0</v>
      </c>
      <c r="AE287" s="46">
        <f t="shared" ref="AE287" si="268">SUM(AE288:AE293)</f>
        <v>0</v>
      </c>
      <c r="AF287" s="46">
        <f t="shared" ref="AF287" si="269">SUM(AF288:AF293)</f>
        <v>0</v>
      </c>
      <c r="AG287" s="46">
        <f t="shared" ref="AG287" si="270">SUM(AG288:AG293)</f>
        <v>0</v>
      </c>
      <c r="AH287" s="45">
        <f t="shared" si="246"/>
        <v>0</v>
      </c>
      <c r="AI287" s="46">
        <f t="shared" ref="AI287" si="271">SUM(AI288:AI293)</f>
        <v>0</v>
      </c>
      <c r="AJ287" s="46">
        <f t="shared" ref="AJ287" si="272">SUM(AJ288:AJ293)</f>
        <v>0</v>
      </c>
      <c r="AK287" s="46">
        <f t="shared" ref="AK287" si="273">SUM(AK288:AK293)</f>
        <v>0</v>
      </c>
      <c r="AL287" s="46">
        <f t="shared" ref="AL287" si="274">SUM(AL288:AL293)</f>
        <v>0</v>
      </c>
      <c r="AM287" s="147">
        <f t="shared" si="247"/>
        <v>0</v>
      </c>
    </row>
    <row r="288" spans="7:39" ht="21" x14ac:dyDescent="0.15">
      <c r="G288" s="212" t="s">
        <v>558</v>
      </c>
      <c r="H288" s="144" t="s">
        <v>564</v>
      </c>
      <c r="I288" s="46">
        <f t="shared" si="244"/>
        <v>0</v>
      </c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45">
        <f t="shared" si="245"/>
        <v>0</v>
      </c>
      <c r="AD288" s="6"/>
      <c r="AE288" s="6"/>
      <c r="AF288" s="6"/>
      <c r="AG288" s="6"/>
      <c r="AH288" s="45">
        <f t="shared" si="246"/>
        <v>0</v>
      </c>
      <c r="AI288" s="6"/>
      <c r="AJ288" s="6"/>
      <c r="AK288" s="6"/>
      <c r="AL288" s="6"/>
      <c r="AM288" s="147">
        <f t="shared" si="247"/>
        <v>0</v>
      </c>
    </row>
    <row r="289" spans="7:39" x14ac:dyDescent="0.15">
      <c r="G289" s="212" t="s">
        <v>416</v>
      </c>
      <c r="H289" s="144" t="s">
        <v>565</v>
      </c>
      <c r="I289" s="46">
        <f t="shared" si="244"/>
        <v>0</v>
      </c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45">
        <f t="shared" si="245"/>
        <v>0</v>
      </c>
      <c r="AD289" s="6"/>
      <c r="AE289" s="6"/>
      <c r="AF289" s="6"/>
      <c r="AG289" s="6"/>
      <c r="AH289" s="45">
        <f t="shared" si="246"/>
        <v>0</v>
      </c>
      <c r="AI289" s="6"/>
      <c r="AJ289" s="6"/>
      <c r="AK289" s="6"/>
      <c r="AL289" s="6"/>
      <c r="AM289" s="147">
        <f t="shared" si="247"/>
        <v>0</v>
      </c>
    </row>
    <row r="290" spans="7:39" x14ac:dyDescent="0.15">
      <c r="G290" s="212" t="s">
        <v>561</v>
      </c>
      <c r="H290" s="142" t="s">
        <v>566</v>
      </c>
      <c r="I290" s="46">
        <f t="shared" si="244"/>
        <v>0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45">
        <f t="shared" si="245"/>
        <v>0</v>
      </c>
      <c r="AD290" s="6"/>
      <c r="AE290" s="6"/>
      <c r="AF290" s="6"/>
      <c r="AG290" s="6"/>
      <c r="AH290" s="45">
        <f t="shared" si="246"/>
        <v>0</v>
      </c>
      <c r="AI290" s="6"/>
      <c r="AJ290" s="6"/>
      <c r="AK290" s="6"/>
      <c r="AL290" s="6"/>
      <c r="AM290" s="147">
        <f t="shared" si="247"/>
        <v>0</v>
      </c>
    </row>
    <row r="291" spans="7:39" x14ac:dyDescent="0.15">
      <c r="G291" s="212" t="s">
        <v>563</v>
      </c>
      <c r="H291" s="144" t="s">
        <v>568</v>
      </c>
      <c r="I291" s="46">
        <f t="shared" si="244"/>
        <v>0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45">
        <f t="shared" si="245"/>
        <v>0</v>
      </c>
      <c r="AD291" s="6"/>
      <c r="AE291" s="6"/>
      <c r="AF291" s="6"/>
      <c r="AG291" s="6"/>
      <c r="AH291" s="45">
        <f t="shared" si="246"/>
        <v>0</v>
      </c>
      <c r="AI291" s="6"/>
      <c r="AJ291" s="6"/>
      <c r="AK291" s="6"/>
      <c r="AL291" s="6"/>
      <c r="AM291" s="147">
        <f t="shared" si="247"/>
        <v>0</v>
      </c>
    </row>
    <row r="292" spans="7:39" x14ac:dyDescent="0.15">
      <c r="G292" s="212" t="s">
        <v>414</v>
      </c>
      <c r="H292" s="144" t="s">
        <v>570</v>
      </c>
      <c r="I292" s="46">
        <f t="shared" si="244"/>
        <v>0</v>
      </c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45">
        <f t="shared" si="245"/>
        <v>0</v>
      </c>
      <c r="AD292" s="6"/>
      <c r="AE292" s="6"/>
      <c r="AF292" s="6"/>
      <c r="AG292" s="6"/>
      <c r="AH292" s="45">
        <f t="shared" si="246"/>
        <v>0</v>
      </c>
      <c r="AI292" s="6"/>
      <c r="AJ292" s="6"/>
      <c r="AK292" s="6"/>
      <c r="AL292" s="6"/>
      <c r="AM292" s="147">
        <f t="shared" si="247"/>
        <v>0</v>
      </c>
    </row>
    <row r="293" spans="7:39" x14ac:dyDescent="0.15">
      <c r="G293" s="212" t="s">
        <v>418</v>
      </c>
      <c r="H293" s="142" t="s">
        <v>571</v>
      </c>
      <c r="I293" s="46">
        <f t="shared" si="244"/>
        <v>0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45">
        <f t="shared" si="245"/>
        <v>0</v>
      </c>
      <c r="AD293" s="6"/>
      <c r="AE293" s="6"/>
      <c r="AF293" s="6"/>
      <c r="AG293" s="6"/>
      <c r="AH293" s="45">
        <f t="shared" si="246"/>
        <v>0</v>
      </c>
      <c r="AI293" s="6"/>
      <c r="AJ293" s="6"/>
      <c r="AK293" s="6"/>
      <c r="AL293" s="6"/>
      <c r="AM293" s="147">
        <f t="shared" si="247"/>
        <v>0</v>
      </c>
    </row>
    <row r="294" spans="7:39" x14ac:dyDescent="0.15">
      <c r="G294" s="211" t="s">
        <v>567</v>
      </c>
      <c r="H294" s="144" t="s">
        <v>573</v>
      </c>
      <c r="I294" s="46">
        <f t="shared" si="244"/>
        <v>0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45">
        <f t="shared" si="245"/>
        <v>0</v>
      </c>
      <c r="AD294" s="6"/>
      <c r="AE294" s="6"/>
      <c r="AF294" s="6"/>
      <c r="AG294" s="6"/>
      <c r="AH294" s="45">
        <f t="shared" si="246"/>
        <v>0</v>
      </c>
      <c r="AI294" s="6"/>
      <c r="AJ294" s="6"/>
      <c r="AK294" s="6"/>
      <c r="AL294" s="6"/>
      <c r="AM294" s="147">
        <f t="shared" si="247"/>
        <v>0</v>
      </c>
    </row>
    <row r="295" spans="7:39" x14ac:dyDescent="0.15">
      <c r="G295" s="211" t="s">
        <v>569</v>
      </c>
      <c r="H295" s="144" t="s">
        <v>575</v>
      </c>
      <c r="I295" s="46">
        <f t="shared" si="244"/>
        <v>0</v>
      </c>
      <c r="J295" s="46">
        <f t="shared" ref="J295:L295" si="275">SUM(J296:J301)</f>
        <v>0</v>
      </c>
      <c r="K295" s="46">
        <f t="shared" si="275"/>
        <v>0</v>
      </c>
      <c r="L295" s="46">
        <f t="shared" si="275"/>
        <v>0</v>
      </c>
      <c r="M295" s="46">
        <f>SUM(M296:M301)</f>
        <v>0</v>
      </c>
      <c r="N295" s="46">
        <f t="shared" ref="N295:AB295" si="276">SUM(N296:N301)</f>
        <v>0</v>
      </c>
      <c r="O295" s="46">
        <f t="shared" si="276"/>
        <v>0</v>
      </c>
      <c r="P295" s="46">
        <f t="shared" si="276"/>
        <v>0</v>
      </c>
      <c r="Q295" s="46">
        <f t="shared" si="276"/>
        <v>0</v>
      </c>
      <c r="R295" s="46">
        <f t="shared" si="276"/>
        <v>0</v>
      </c>
      <c r="S295" s="46">
        <f t="shared" si="276"/>
        <v>0</v>
      </c>
      <c r="T295" s="46">
        <f t="shared" si="276"/>
        <v>0</v>
      </c>
      <c r="U295" s="46">
        <f t="shared" si="276"/>
        <v>0</v>
      </c>
      <c r="V295" s="46">
        <f t="shared" si="276"/>
        <v>0</v>
      </c>
      <c r="W295" s="46">
        <f t="shared" si="276"/>
        <v>0</v>
      </c>
      <c r="X295" s="46">
        <f t="shared" si="276"/>
        <v>0</v>
      </c>
      <c r="Y295" s="46">
        <f t="shared" si="276"/>
        <v>0</v>
      </c>
      <c r="Z295" s="46">
        <f t="shared" si="276"/>
        <v>0</v>
      </c>
      <c r="AA295" s="46">
        <f t="shared" si="276"/>
        <v>0</v>
      </c>
      <c r="AB295" s="46">
        <f t="shared" si="276"/>
        <v>0</v>
      </c>
      <c r="AC295" s="45">
        <f t="shared" si="245"/>
        <v>0</v>
      </c>
      <c r="AD295" s="46">
        <f t="shared" ref="AD295" si="277">SUM(AD296:AD301)</f>
        <v>0</v>
      </c>
      <c r="AE295" s="46">
        <f t="shared" ref="AE295" si="278">SUM(AE296:AE301)</f>
        <v>0</v>
      </c>
      <c r="AF295" s="46">
        <f t="shared" ref="AF295" si="279">SUM(AF296:AF301)</f>
        <v>0</v>
      </c>
      <c r="AG295" s="46">
        <f t="shared" ref="AG295" si="280">SUM(AG296:AG301)</f>
        <v>0</v>
      </c>
      <c r="AH295" s="45">
        <f t="shared" si="246"/>
        <v>0</v>
      </c>
      <c r="AI295" s="46">
        <f t="shared" ref="AI295" si="281">SUM(AI296:AI301)</f>
        <v>0</v>
      </c>
      <c r="AJ295" s="46">
        <f t="shared" ref="AJ295" si="282">SUM(AJ296:AJ301)</f>
        <v>0</v>
      </c>
      <c r="AK295" s="46">
        <f t="shared" ref="AK295" si="283">SUM(AK296:AK301)</f>
        <v>0</v>
      </c>
      <c r="AL295" s="46">
        <f t="shared" ref="AL295" si="284">SUM(AL296:AL301)</f>
        <v>0</v>
      </c>
      <c r="AM295" s="147">
        <f t="shared" si="247"/>
        <v>0</v>
      </c>
    </row>
    <row r="296" spans="7:39" ht="21" x14ac:dyDescent="0.15">
      <c r="G296" s="212" t="s">
        <v>871</v>
      </c>
      <c r="H296" s="142" t="s">
        <v>577</v>
      </c>
      <c r="I296" s="46">
        <f t="shared" si="244"/>
        <v>0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45">
        <f t="shared" si="245"/>
        <v>0</v>
      </c>
      <c r="AD296" s="6"/>
      <c r="AE296" s="6"/>
      <c r="AF296" s="6"/>
      <c r="AG296" s="6"/>
      <c r="AH296" s="45">
        <f t="shared" si="246"/>
        <v>0</v>
      </c>
      <c r="AI296" s="6"/>
      <c r="AJ296" s="6"/>
      <c r="AK296" s="6"/>
      <c r="AL296" s="6"/>
      <c r="AM296" s="147">
        <f t="shared" si="247"/>
        <v>0</v>
      </c>
    </row>
    <row r="297" spans="7:39" x14ac:dyDescent="0.15">
      <c r="G297" s="212" t="s">
        <v>572</v>
      </c>
      <c r="H297" s="144" t="s">
        <v>579</v>
      </c>
      <c r="I297" s="46">
        <f t="shared" si="244"/>
        <v>0</v>
      </c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45">
        <f t="shared" si="245"/>
        <v>0</v>
      </c>
      <c r="AD297" s="6"/>
      <c r="AE297" s="6"/>
      <c r="AF297" s="6"/>
      <c r="AG297" s="6"/>
      <c r="AH297" s="45">
        <f t="shared" si="246"/>
        <v>0</v>
      </c>
      <c r="AI297" s="6"/>
      <c r="AJ297" s="6"/>
      <c r="AK297" s="6"/>
      <c r="AL297" s="6"/>
      <c r="AM297" s="147">
        <f t="shared" si="247"/>
        <v>0</v>
      </c>
    </row>
    <row r="298" spans="7:39" x14ac:dyDescent="0.15">
      <c r="G298" s="212" t="s">
        <v>574</v>
      </c>
      <c r="H298" s="144" t="s">
        <v>581</v>
      </c>
      <c r="I298" s="46">
        <f t="shared" si="244"/>
        <v>0</v>
      </c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45">
        <f t="shared" si="245"/>
        <v>0</v>
      </c>
      <c r="AD298" s="6"/>
      <c r="AE298" s="6"/>
      <c r="AF298" s="6"/>
      <c r="AG298" s="6"/>
      <c r="AH298" s="45">
        <f t="shared" si="246"/>
        <v>0</v>
      </c>
      <c r="AI298" s="6"/>
      <c r="AJ298" s="6"/>
      <c r="AK298" s="6"/>
      <c r="AL298" s="6"/>
      <c r="AM298" s="147">
        <f t="shared" si="247"/>
        <v>0</v>
      </c>
    </row>
    <row r="299" spans="7:39" x14ac:dyDescent="0.15">
      <c r="G299" s="212" t="s">
        <v>576</v>
      </c>
      <c r="H299" s="142" t="s">
        <v>583</v>
      </c>
      <c r="I299" s="46">
        <f t="shared" si="244"/>
        <v>0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45">
        <f t="shared" si="245"/>
        <v>0</v>
      </c>
      <c r="AD299" s="6"/>
      <c r="AE299" s="6"/>
      <c r="AF299" s="6"/>
      <c r="AG299" s="6"/>
      <c r="AH299" s="45">
        <f t="shared" si="246"/>
        <v>0</v>
      </c>
      <c r="AI299" s="6"/>
      <c r="AJ299" s="6"/>
      <c r="AK299" s="6"/>
      <c r="AL299" s="6"/>
      <c r="AM299" s="147">
        <f t="shared" si="247"/>
        <v>0</v>
      </c>
    </row>
    <row r="300" spans="7:39" x14ac:dyDescent="0.15">
      <c r="G300" s="212" t="s">
        <v>578</v>
      </c>
      <c r="H300" s="144" t="s">
        <v>585</v>
      </c>
      <c r="I300" s="46">
        <f t="shared" si="244"/>
        <v>0</v>
      </c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45">
        <f t="shared" si="245"/>
        <v>0</v>
      </c>
      <c r="AD300" s="6"/>
      <c r="AE300" s="6"/>
      <c r="AF300" s="6"/>
      <c r="AG300" s="6"/>
      <c r="AH300" s="45">
        <f t="shared" si="246"/>
        <v>0</v>
      </c>
      <c r="AI300" s="6"/>
      <c r="AJ300" s="6"/>
      <c r="AK300" s="6"/>
      <c r="AL300" s="6"/>
      <c r="AM300" s="147">
        <f t="shared" si="247"/>
        <v>0</v>
      </c>
    </row>
    <row r="301" spans="7:39" x14ac:dyDescent="0.15">
      <c r="G301" s="212" t="s">
        <v>580</v>
      </c>
      <c r="H301" s="144" t="s">
        <v>587</v>
      </c>
      <c r="I301" s="46">
        <f t="shared" si="244"/>
        <v>0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45">
        <f t="shared" si="245"/>
        <v>0</v>
      </c>
      <c r="AD301" s="6"/>
      <c r="AE301" s="6"/>
      <c r="AF301" s="6"/>
      <c r="AG301" s="6"/>
      <c r="AH301" s="45">
        <f t="shared" si="246"/>
        <v>0</v>
      </c>
      <c r="AI301" s="6"/>
      <c r="AJ301" s="6"/>
      <c r="AK301" s="6"/>
      <c r="AL301" s="6"/>
      <c r="AM301" s="147">
        <f t="shared" si="247"/>
        <v>0</v>
      </c>
    </row>
    <row r="302" spans="7:39" x14ac:dyDescent="0.15">
      <c r="G302" s="211" t="s">
        <v>582</v>
      </c>
      <c r="H302" s="142" t="s">
        <v>588</v>
      </c>
      <c r="I302" s="46">
        <f t="shared" si="244"/>
        <v>0</v>
      </c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45">
        <f t="shared" si="245"/>
        <v>0</v>
      </c>
      <c r="AD302" s="6"/>
      <c r="AE302" s="6"/>
      <c r="AF302" s="6"/>
      <c r="AG302" s="6"/>
      <c r="AH302" s="45">
        <f t="shared" si="246"/>
        <v>0</v>
      </c>
      <c r="AI302" s="6"/>
      <c r="AJ302" s="6"/>
      <c r="AK302" s="6"/>
      <c r="AL302" s="6"/>
      <c r="AM302" s="147">
        <f t="shared" si="247"/>
        <v>0</v>
      </c>
    </row>
    <row r="303" spans="7:39" x14ac:dyDescent="0.15">
      <c r="G303" s="211" t="s">
        <v>584</v>
      </c>
      <c r="H303" s="144" t="s">
        <v>590</v>
      </c>
      <c r="I303" s="46">
        <f t="shared" si="244"/>
        <v>0</v>
      </c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45">
        <f t="shared" si="245"/>
        <v>0</v>
      </c>
      <c r="AD303" s="6"/>
      <c r="AE303" s="6"/>
      <c r="AF303" s="6"/>
      <c r="AG303" s="6"/>
      <c r="AH303" s="45">
        <f t="shared" si="246"/>
        <v>0</v>
      </c>
      <c r="AI303" s="6"/>
      <c r="AJ303" s="6"/>
      <c r="AK303" s="6"/>
      <c r="AL303" s="6"/>
      <c r="AM303" s="147">
        <f t="shared" si="247"/>
        <v>0</v>
      </c>
    </row>
    <row r="304" spans="7:39" x14ac:dyDescent="0.15">
      <c r="G304" s="211" t="s">
        <v>586</v>
      </c>
      <c r="H304" s="144" t="s">
        <v>592</v>
      </c>
      <c r="I304" s="46">
        <f t="shared" si="244"/>
        <v>0</v>
      </c>
      <c r="J304" s="46">
        <f t="shared" ref="J304:L304" si="285">SUM(J305:J309)</f>
        <v>0</v>
      </c>
      <c r="K304" s="46">
        <f t="shared" si="285"/>
        <v>0</v>
      </c>
      <c r="L304" s="46">
        <f t="shared" si="285"/>
        <v>0</v>
      </c>
      <c r="M304" s="46">
        <f>SUM(M305:M309)</f>
        <v>0</v>
      </c>
      <c r="N304" s="46">
        <f t="shared" ref="N304:AB304" si="286">SUM(N305:N309)</f>
        <v>0</v>
      </c>
      <c r="O304" s="46">
        <f t="shared" si="286"/>
        <v>0</v>
      </c>
      <c r="P304" s="46">
        <f t="shared" si="286"/>
        <v>0</v>
      </c>
      <c r="Q304" s="46">
        <f t="shared" si="286"/>
        <v>0</v>
      </c>
      <c r="R304" s="46">
        <f t="shared" si="286"/>
        <v>0</v>
      </c>
      <c r="S304" s="46">
        <f t="shared" si="286"/>
        <v>0</v>
      </c>
      <c r="T304" s="46">
        <f t="shared" si="286"/>
        <v>0</v>
      </c>
      <c r="U304" s="46">
        <f t="shared" si="286"/>
        <v>0</v>
      </c>
      <c r="V304" s="46">
        <f t="shared" si="286"/>
        <v>0</v>
      </c>
      <c r="W304" s="46">
        <f t="shared" si="286"/>
        <v>0</v>
      </c>
      <c r="X304" s="46">
        <f t="shared" si="286"/>
        <v>0</v>
      </c>
      <c r="Y304" s="46">
        <f t="shared" si="286"/>
        <v>0</v>
      </c>
      <c r="Z304" s="46">
        <f t="shared" si="286"/>
        <v>0</v>
      </c>
      <c r="AA304" s="46">
        <f t="shared" si="286"/>
        <v>0</v>
      </c>
      <c r="AB304" s="46">
        <f t="shared" si="286"/>
        <v>0</v>
      </c>
      <c r="AC304" s="45">
        <f t="shared" si="245"/>
        <v>0</v>
      </c>
      <c r="AD304" s="46">
        <f t="shared" ref="AD304" si="287">SUM(AD305:AD309)</f>
        <v>0</v>
      </c>
      <c r="AE304" s="46">
        <f t="shared" ref="AE304" si="288">SUM(AE305:AE309)</f>
        <v>0</v>
      </c>
      <c r="AF304" s="46">
        <f t="shared" ref="AF304" si="289">SUM(AF305:AF309)</f>
        <v>0</v>
      </c>
      <c r="AG304" s="46">
        <f t="shared" ref="AG304" si="290">SUM(AG305:AG309)</f>
        <v>0</v>
      </c>
      <c r="AH304" s="45">
        <f t="shared" si="246"/>
        <v>0</v>
      </c>
      <c r="AI304" s="46">
        <f t="shared" ref="AI304" si="291">SUM(AI305:AI309)</f>
        <v>0</v>
      </c>
      <c r="AJ304" s="46">
        <f t="shared" ref="AJ304" si="292">SUM(AJ305:AJ309)</f>
        <v>0</v>
      </c>
      <c r="AK304" s="46">
        <f t="shared" ref="AK304" si="293">SUM(AK305:AK309)</f>
        <v>0</v>
      </c>
      <c r="AL304" s="46">
        <f t="shared" ref="AL304" si="294">SUM(AL305:AL309)</f>
        <v>0</v>
      </c>
      <c r="AM304" s="147">
        <f t="shared" si="247"/>
        <v>0</v>
      </c>
    </row>
    <row r="305" spans="7:39" ht="21" x14ac:dyDescent="0.15">
      <c r="G305" s="212" t="s">
        <v>872</v>
      </c>
      <c r="H305" s="142" t="s">
        <v>594</v>
      </c>
      <c r="I305" s="46">
        <f t="shared" si="244"/>
        <v>0</v>
      </c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45">
        <f t="shared" si="245"/>
        <v>0</v>
      </c>
      <c r="AD305" s="6"/>
      <c r="AE305" s="6"/>
      <c r="AF305" s="6"/>
      <c r="AG305" s="6"/>
      <c r="AH305" s="45">
        <f t="shared" si="246"/>
        <v>0</v>
      </c>
      <c r="AI305" s="6"/>
      <c r="AJ305" s="6"/>
      <c r="AK305" s="6"/>
      <c r="AL305" s="6"/>
      <c r="AM305" s="147">
        <f t="shared" si="247"/>
        <v>0</v>
      </c>
    </row>
    <row r="306" spans="7:39" x14ac:dyDescent="0.15">
      <c r="G306" s="212" t="s">
        <v>589</v>
      </c>
      <c r="H306" s="144" t="s">
        <v>596</v>
      </c>
      <c r="I306" s="46">
        <f t="shared" si="244"/>
        <v>0</v>
      </c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45">
        <f t="shared" si="245"/>
        <v>0</v>
      </c>
      <c r="AD306" s="6"/>
      <c r="AE306" s="6"/>
      <c r="AF306" s="6"/>
      <c r="AG306" s="6"/>
      <c r="AH306" s="45">
        <f t="shared" si="246"/>
        <v>0</v>
      </c>
      <c r="AI306" s="6"/>
      <c r="AJ306" s="6"/>
      <c r="AK306" s="6"/>
      <c r="AL306" s="6"/>
      <c r="AM306" s="147">
        <f t="shared" si="247"/>
        <v>0</v>
      </c>
    </row>
    <row r="307" spans="7:39" x14ac:dyDescent="0.15">
      <c r="G307" s="212" t="s">
        <v>591</v>
      </c>
      <c r="H307" s="144" t="s">
        <v>598</v>
      </c>
      <c r="I307" s="46">
        <f t="shared" si="244"/>
        <v>0</v>
      </c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45">
        <f t="shared" si="245"/>
        <v>0</v>
      </c>
      <c r="AD307" s="6"/>
      <c r="AE307" s="6"/>
      <c r="AF307" s="6"/>
      <c r="AG307" s="6"/>
      <c r="AH307" s="45">
        <f t="shared" si="246"/>
        <v>0</v>
      </c>
      <c r="AI307" s="6"/>
      <c r="AJ307" s="6"/>
      <c r="AK307" s="6"/>
      <c r="AL307" s="6"/>
      <c r="AM307" s="147">
        <f t="shared" si="247"/>
        <v>0</v>
      </c>
    </row>
    <row r="308" spans="7:39" x14ac:dyDescent="0.15">
      <c r="G308" s="212" t="s">
        <v>593</v>
      </c>
      <c r="H308" s="142" t="s">
        <v>599</v>
      </c>
      <c r="I308" s="46">
        <f t="shared" si="244"/>
        <v>0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45">
        <f t="shared" si="245"/>
        <v>0</v>
      </c>
      <c r="AD308" s="6"/>
      <c r="AE308" s="6"/>
      <c r="AF308" s="6"/>
      <c r="AG308" s="6"/>
      <c r="AH308" s="45">
        <f t="shared" si="246"/>
        <v>0</v>
      </c>
      <c r="AI308" s="6"/>
      <c r="AJ308" s="6"/>
      <c r="AK308" s="6"/>
      <c r="AL308" s="6"/>
      <c r="AM308" s="147">
        <f t="shared" si="247"/>
        <v>0</v>
      </c>
    </row>
    <row r="309" spans="7:39" x14ac:dyDescent="0.15">
      <c r="G309" s="212" t="s">
        <v>595</v>
      </c>
      <c r="H309" s="144" t="s">
        <v>601</v>
      </c>
      <c r="I309" s="46">
        <f t="shared" si="244"/>
        <v>0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45">
        <f t="shared" si="245"/>
        <v>0</v>
      </c>
      <c r="AD309" s="6"/>
      <c r="AE309" s="6"/>
      <c r="AF309" s="6"/>
      <c r="AG309" s="6"/>
      <c r="AH309" s="45">
        <f t="shared" si="246"/>
        <v>0</v>
      </c>
      <c r="AI309" s="6"/>
      <c r="AJ309" s="6"/>
      <c r="AK309" s="6"/>
      <c r="AL309" s="6"/>
      <c r="AM309" s="147">
        <f t="shared" si="247"/>
        <v>0</v>
      </c>
    </row>
    <row r="310" spans="7:39" x14ac:dyDescent="0.15">
      <c r="G310" s="211" t="s">
        <v>597</v>
      </c>
      <c r="H310" s="144" t="s">
        <v>603</v>
      </c>
      <c r="I310" s="46">
        <f t="shared" si="244"/>
        <v>0</v>
      </c>
      <c r="J310" s="46">
        <f t="shared" ref="J310:L310" si="295">SUM(J311:J312)</f>
        <v>0</v>
      </c>
      <c r="K310" s="46">
        <f t="shared" si="295"/>
        <v>0</v>
      </c>
      <c r="L310" s="46">
        <f t="shared" si="295"/>
        <v>0</v>
      </c>
      <c r="M310" s="46">
        <f>SUM(M311:M312)</f>
        <v>0</v>
      </c>
      <c r="N310" s="46">
        <f t="shared" ref="N310:AB310" si="296">SUM(N311:N312)</f>
        <v>0</v>
      </c>
      <c r="O310" s="46">
        <f t="shared" si="296"/>
        <v>0</v>
      </c>
      <c r="P310" s="46">
        <f t="shared" si="296"/>
        <v>0</v>
      </c>
      <c r="Q310" s="46">
        <f t="shared" si="296"/>
        <v>0</v>
      </c>
      <c r="R310" s="46">
        <f t="shared" si="296"/>
        <v>0</v>
      </c>
      <c r="S310" s="46">
        <f t="shared" si="296"/>
        <v>0</v>
      </c>
      <c r="T310" s="46">
        <f t="shared" si="296"/>
        <v>0</v>
      </c>
      <c r="U310" s="46">
        <f t="shared" si="296"/>
        <v>0</v>
      </c>
      <c r="V310" s="46">
        <f t="shared" si="296"/>
        <v>0</v>
      </c>
      <c r="W310" s="46">
        <f t="shared" si="296"/>
        <v>0</v>
      </c>
      <c r="X310" s="46">
        <f t="shared" si="296"/>
        <v>0</v>
      </c>
      <c r="Y310" s="46">
        <f t="shared" si="296"/>
        <v>0</v>
      </c>
      <c r="Z310" s="46">
        <f t="shared" si="296"/>
        <v>0</v>
      </c>
      <c r="AA310" s="46">
        <f t="shared" si="296"/>
        <v>0</v>
      </c>
      <c r="AB310" s="46">
        <f t="shared" si="296"/>
        <v>0</v>
      </c>
      <c r="AC310" s="45">
        <f t="shared" si="245"/>
        <v>0</v>
      </c>
      <c r="AD310" s="46">
        <f t="shared" ref="AD310" si="297">SUM(AD311:AD312)</f>
        <v>0</v>
      </c>
      <c r="AE310" s="46">
        <f t="shared" ref="AE310" si="298">SUM(AE311:AE312)</f>
        <v>0</v>
      </c>
      <c r="AF310" s="46">
        <f t="shared" ref="AF310" si="299">SUM(AF311:AF312)</f>
        <v>0</v>
      </c>
      <c r="AG310" s="46">
        <f t="shared" ref="AG310" si="300">SUM(AG311:AG312)</f>
        <v>0</v>
      </c>
      <c r="AH310" s="45">
        <f t="shared" si="246"/>
        <v>0</v>
      </c>
      <c r="AI310" s="46">
        <f t="shared" ref="AI310" si="301">SUM(AI311:AI312)</f>
        <v>0</v>
      </c>
      <c r="AJ310" s="46">
        <f t="shared" ref="AJ310" si="302">SUM(AJ311:AJ312)</f>
        <v>0</v>
      </c>
      <c r="AK310" s="46">
        <f t="shared" ref="AK310" si="303">SUM(AK311:AK312)</f>
        <v>0</v>
      </c>
      <c r="AL310" s="46">
        <f t="shared" ref="AL310" si="304">SUM(AL311:AL312)</f>
        <v>0</v>
      </c>
      <c r="AM310" s="147">
        <f t="shared" si="247"/>
        <v>0</v>
      </c>
    </row>
    <row r="311" spans="7:39" ht="21" x14ac:dyDescent="0.15">
      <c r="G311" s="212" t="s">
        <v>888</v>
      </c>
      <c r="H311" s="142" t="s">
        <v>605</v>
      </c>
      <c r="I311" s="46">
        <f t="shared" si="244"/>
        <v>0</v>
      </c>
      <c r="J311" s="6"/>
      <c r="K311" s="6"/>
      <c r="L311" s="6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45">
        <f t="shared" si="245"/>
        <v>0</v>
      </c>
      <c r="AD311" s="6"/>
      <c r="AE311" s="6"/>
      <c r="AF311" s="6"/>
      <c r="AG311" s="6"/>
      <c r="AH311" s="45">
        <f t="shared" si="246"/>
        <v>0</v>
      </c>
      <c r="AI311" s="6"/>
      <c r="AJ311" s="6"/>
      <c r="AK311" s="6"/>
      <c r="AL311" s="6"/>
      <c r="AM311" s="147">
        <f t="shared" si="247"/>
        <v>0</v>
      </c>
    </row>
    <row r="312" spans="7:39" ht="21" x14ac:dyDescent="0.15">
      <c r="G312" s="212" t="s">
        <v>600</v>
      </c>
      <c r="H312" s="144" t="s">
        <v>607</v>
      </c>
      <c r="I312" s="46">
        <f t="shared" si="244"/>
        <v>0</v>
      </c>
      <c r="J312" s="6"/>
      <c r="K312" s="6"/>
      <c r="L312" s="6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45">
        <f t="shared" si="245"/>
        <v>0</v>
      </c>
      <c r="AD312" s="6"/>
      <c r="AE312" s="6"/>
      <c r="AF312" s="6"/>
      <c r="AG312" s="6"/>
      <c r="AH312" s="45">
        <f t="shared" si="246"/>
        <v>0</v>
      </c>
      <c r="AI312" s="6"/>
      <c r="AJ312" s="6"/>
      <c r="AK312" s="6"/>
      <c r="AL312" s="6"/>
      <c r="AM312" s="147">
        <f t="shared" si="247"/>
        <v>0</v>
      </c>
    </row>
    <row r="313" spans="7:39" x14ac:dyDescent="0.15">
      <c r="G313" s="211" t="s">
        <v>602</v>
      </c>
      <c r="H313" s="144" t="s">
        <v>609</v>
      </c>
      <c r="I313" s="46">
        <f t="shared" si="244"/>
        <v>0</v>
      </c>
      <c r="J313" s="6"/>
      <c r="K313" s="6"/>
      <c r="L313" s="6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45">
        <f t="shared" si="245"/>
        <v>0</v>
      </c>
      <c r="AD313" s="6"/>
      <c r="AE313" s="6"/>
      <c r="AF313" s="6"/>
      <c r="AG313" s="6"/>
      <c r="AH313" s="45">
        <f t="shared" si="246"/>
        <v>0</v>
      </c>
      <c r="AI313" s="6"/>
      <c r="AJ313" s="6"/>
      <c r="AK313" s="6"/>
      <c r="AL313" s="6"/>
      <c r="AM313" s="147">
        <f t="shared" si="247"/>
        <v>0</v>
      </c>
    </row>
    <row r="314" spans="7:39" x14ac:dyDescent="0.15">
      <c r="G314" s="211" t="s">
        <v>604</v>
      </c>
      <c r="H314" s="142" t="s">
        <v>611</v>
      </c>
      <c r="I314" s="46">
        <f t="shared" si="244"/>
        <v>0</v>
      </c>
      <c r="J314" s="6"/>
      <c r="K314" s="6"/>
      <c r="L314" s="6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45">
        <f t="shared" si="245"/>
        <v>0</v>
      </c>
      <c r="AD314" s="6"/>
      <c r="AE314" s="6"/>
      <c r="AF314" s="6"/>
      <c r="AG314" s="6"/>
      <c r="AH314" s="45">
        <f t="shared" si="246"/>
        <v>0</v>
      </c>
      <c r="AI314" s="6"/>
      <c r="AJ314" s="6"/>
      <c r="AK314" s="6"/>
      <c r="AL314" s="6"/>
      <c r="AM314" s="147">
        <f t="shared" si="247"/>
        <v>0</v>
      </c>
    </row>
    <row r="315" spans="7:39" x14ac:dyDescent="0.15">
      <c r="G315" s="211" t="s">
        <v>606</v>
      </c>
      <c r="H315" s="144" t="s">
        <v>613</v>
      </c>
      <c r="I315" s="46">
        <f t="shared" si="244"/>
        <v>0</v>
      </c>
      <c r="J315" s="6"/>
      <c r="K315" s="6"/>
      <c r="L315" s="6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45">
        <f t="shared" si="245"/>
        <v>0</v>
      </c>
      <c r="AD315" s="6"/>
      <c r="AE315" s="6"/>
      <c r="AF315" s="6"/>
      <c r="AG315" s="6"/>
      <c r="AH315" s="45">
        <f t="shared" si="246"/>
        <v>0</v>
      </c>
      <c r="AI315" s="6"/>
      <c r="AJ315" s="6"/>
      <c r="AK315" s="6"/>
      <c r="AL315" s="6"/>
      <c r="AM315" s="147">
        <f t="shared" si="247"/>
        <v>0</v>
      </c>
    </row>
    <row r="316" spans="7:39" x14ac:dyDescent="0.15">
      <c r="G316" s="211" t="s">
        <v>608</v>
      </c>
      <c r="H316" s="144" t="s">
        <v>615</v>
      </c>
      <c r="I316" s="46">
        <f t="shared" si="244"/>
        <v>0</v>
      </c>
      <c r="J316" s="6"/>
      <c r="K316" s="6"/>
      <c r="L316" s="6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45">
        <f t="shared" si="245"/>
        <v>0</v>
      </c>
      <c r="AD316" s="6"/>
      <c r="AE316" s="6"/>
      <c r="AF316" s="6"/>
      <c r="AG316" s="6"/>
      <c r="AH316" s="45">
        <f t="shared" si="246"/>
        <v>0</v>
      </c>
      <c r="AI316" s="6"/>
      <c r="AJ316" s="6"/>
      <c r="AK316" s="6"/>
      <c r="AL316" s="6"/>
      <c r="AM316" s="147">
        <f t="shared" si="247"/>
        <v>0</v>
      </c>
    </row>
    <row r="317" spans="7:39" x14ac:dyDescent="0.15">
      <c r="G317" s="211" t="s">
        <v>610</v>
      </c>
      <c r="H317" s="142" t="s">
        <v>617</v>
      </c>
      <c r="I317" s="46">
        <f t="shared" si="244"/>
        <v>0</v>
      </c>
      <c r="J317" s="6"/>
      <c r="K317" s="6"/>
      <c r="L317" s="6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45">
        <f t="shared" si="245"/>
        <v>0</v>
      </c>
      <c r="AD317" s="6"/>
      <c r="AE317" s="6"/>
      <c r="AF317" s="6"/>
      <c r="AG317" s="6"/>
      <c r="AH317" s="45">
        <f t="shared" si="246"/>
        <v>0</v>
      </c>
      <c r="AI317" s="6"/>
      <c r="AJ317" s="6"/>
      <c r="AK317" s="6"/>
      <c r="AL317" s="6"/>
      <c r="AM317" s="147">
        <f t="shared" si="247"/>
        <v>0</v>
      </c>
    </row>
    <row r="318" spans="7:39" x14ac:dyDescent="0.15">
      <c r="G318" s="211" t="s">
        <v>612</v>
      </c>
      <c r="H318" s="144" t="s">
        <v>619</v>
      </c>
      <c r="I318" s="46">
        <f t="shared" si="244"/>
        <v>0</v>
      </c>
      <c r="J318" s="6"/>
      <c r="K318" s="6"/>
      <c r="L318" s="6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45">
        <f t="shared" si="245"/>
        <v>0</v>
      </c>
      <c r="AD318" s="6"/>
      <c r="AE318" s="6"/>
      <c r="AF318" s="6"/>
      <c r="AG318" s="6"/>
      <c r="AH318" s="45">
        <f t="shared" si="246"/>
        <v>0</v>
      </c>
      <c r="AI318" s="6"/>
      <c r="AJ318" s="6"/>
      <c r="AK318" s="6"/>
      <c r="AL318" s="6"/>
      <c r="AM318" s="147">
        <f t="shared" si="247"/>
        <v>0</v>
      </c>
    </row>
    <row r="319" spans="7:39" x14ac:dyDescent="0.15">
      <c r="G319" s="211" t="s">
        <v>614</v>
      </c>
      <c r="H319" s="144" t="s">
        <v>621</v>
      </c>
      <c r="I319" s="46">
        <f t="shared" si="244"/>
        <v>0</v>
      </c>
      <c r="J319" s="6"/>
      <c r="K319" s="6"/>
      <c r="L319" s="6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45">
        <f t="shared" si="245"/>
        <v>0</v>
      </c>
      <c r="AD319" s="6"/>
      <c r="AE319" s="6"/>
      <c r="AF319" s="6"/>
      <c r="AG319" s="6"/>
      <c r="AH319" s="45">
        <f t="shared" si="246"/>
        <v>0</v>
      </c>
      <c r="AI319" s="6"/>
      <c r="AJ319" s="6"/>
      <c r="AK319" s="6"/>
      <c r="AL319" s="6"/>
      <c r="AM319" s="147">
        <f t="shared" si="247"/>
        <v>0</v>
      </c>
    </row>
    <row r="320" spans="7:39" x14ac:dyDescent="0.15">
      <c r="G320" s="211" t="s">
        <v>616</v>
      </c>
      <c r="H320" s="142" t="s">
        <v>623</v>
      </c>
      <c r="I320" s="46">
        <f t="shared" si="244"/>
        <v>0</v>
      </c>
      <c r="J320" s="6"/>
      <c r="K320" s="6"/>
      <c r="L320" s="6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45">
        <f t="shared" si="245"/>
        <v>0</v>
      </c>
      <c r="AD320" s="6"/>
      <c r="AE320" s="6"/>
      <c r="AF320" s="6"/>
      <c r="AG320" s="6"/>
      <c r="AH320" s="45">
        <f t="shared" si="246"/>
        <v>0</v>
      </c>
      <c r="AI320" s="6"/>
      <c r="AJ320" s="6"/>
      <c r="AK320" s="6"/>
      <c r="AL320" s="6"/>
      <c r="AM320" s="147">
        <f t="shared" si="247"/>
        <v>0</v>
      </c>
    </row>
    <row r="321" spans="7:39" x14ac:dyDescent="0.15">
      <c r="G321" s="211" t="s">
        <v>618</v>
      </c>
      <c r="H321" s="144" t="s">
        <v>898</v>
      </c>
      <c r="I321" s="46">
        <f t="shared" si="244"/>
        <v>0</v>
      </c>
      <c r="J321" s="6"/>
      <c r="K321" s="6"/>
      <c r="L321" s="6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45">
        <f t="shared" si="245"/>
        <v>0</v>
      </c>
      <c r="AD321" s="6"/>
      <c r="AE321" s="6"/>
      <c r="AF321" s="6"/>
      <c r="AG321" s="6"/>
      <c r="AH321" s="45">
        <f t="shared" si="246"/>
        <v>0</v>
      </c>
      <c r="AI321" s="6"/>
      <c r="AJ321" s="6"/>
      <c r="AK321" s="6"/>
      <c r="AL321" s="6"/>
      <c r="AM321" s="147">
        <f t="shared" si="247"/>
        <v>0</v>
      </c>
    </row>
    <row r="322" spans="7:39" x14ac:dyDescent="0.15">
      <c r="G322" s="211" t="s">
        <v>620</v>
      </c>
      <c r="H322" s="144" t="s">
        <v>899</v>
      </c>
      <c r="I322" s="46">
        <f t="shared" si="244"/>
        <v>0</v>
      </c>
      <c r="J322" s="6"/>
      <c r="K322" s="6"/>
      <c r="L322" s="6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45">
        <f t="shared" si="245"/>
        <v>0</v>
      </c>
      <c r="AD322" s="6"/>
      <c r="AE322" s="6"/>
      <c r="AF322" s="6"/>
      <c r="AG322" s="6"/>
      <c r="AH322" s="45">
        <f t="shared" si="246"/>
        <v>0</v>
      </c>
      <c r="AI322" s="6"/>
      <c r="AJ322" s="6"/>
      <c r="AK322" s="6"/>
      <c r="AL322" s="6"/>
      <c r="AM322" s="147">
        <f t="shared" si="247"/>
        <v>0</v>
      </c>
    </row>
    <row r="323" spans="7:39" x14ac:dyDescent="0.15">
      <c r="G323" s="215" t="s">
        <v>622</v>
      </c>
      <c r="H323" s="142" t="s">
        <v>900</v>
      </c>
      <c r="I323" s="45">
        <f>SUM(I11:I17,I20:I26,I31:I34,I39:I45,I52:I53,I56:I64,I68:I70,I73:I76,I81:I88,I91:I102,I105:I110,I118:I119,I124:I150,I153:I159,I164:I165,I171:I174,I180:I195,I199:I210,I217:I223,I229:I233,I240:I243,I247:I250,I255:I271,I277:I278,I284:I287,I294:I295,I302:I304,I310,I313:I322)</f>
        <v>0</v>
      </c>
      <c r="J323" s="45">
        <f t="shared" ref="J323:K323" si="305">SUM(J11:J17,J20:J26,J31:J34,J39:J45,J52:J53,J56:J64,J68:J70,J73:J76,J81:J88,J91:J102,J105:J110,J118:J119,J124:J150,J153:J159,J164:J165,J171:J174,J180:J195,J199:J210,J217:J223,J229:J233,J240:J243,J247:J250,J255:J271,J277:J278,J284:J287,J294:J295,J302:J304,J310,J313:J322)</f>
        <v>0</v>
      </c>
      <c r="K323" s="45">
        <f t="shared" si="305"/>
        <v>0</v>
      </c>
      <c r="L323" s="45">
        <f>SUM(L11:L17,L20:L26,L31:L34,L39:L45,L52:L53,L56:L64,L68:L70,L73:L76,L81:L88,L91:L102,L105:L110,L118:L119,L124:L150,L153:L159,L164:L165,L171:L174,L180:L195,L199:L210,L217:L223,L229:L233,L240:L243,L247:L250,L255:L271,L277:L278,L284:L287,L294:L295,L302:L304,L310,L313:L322)</f>
        <v>0</v>
      </c>
      <c r="M323" s="45">
        <f t="shared" ref="M323" si="306">SUM(M11:M17,M20:M26,M31:M34,M39:M45,M52:M53,M56:M64,M68:M70,M73:M76,M81:M88,M91:M102,M105:M110,M118:M119,M124:M150,M153:M159,M164:M165,M171:M174,M180:M195,M199:M210,M217:M223,M229:M233,M240:M243,M247:M250,M255:M271,M277:M278,M284:M287,M294:M295,M302:M304,M310,M313:M322)</f>
        <v>0</v>
      </c>
      <c r="N323" s="45">
        <f t="shared" ref="N323" si="307">SUM(N11:N17,N20:N26,N31:N34,N39:N45,N52:N53,N56:N64,N68:N70,N73:N76,N81:N88,N91:N102,N105:N110,N118:N119,N124:N150,N153:N159,N164:N165,N171:N174,N180:N195,N199:N210,N217:N223,N229:N233,N240:N243,N247:N250,N255:N271,N277:N278,N284:N287,N294:N295,N302:N304,N310,N313:N322)</f>
        <v>0</v>
      </c>
      <c r="O323" s="45">
        <f t="shared" ref="O323:P323" si="308">SUM(O11:O17,O20:O26,O31:O34,O39:O45,O52:O53,O56:O64,O68:O70,O73:O76,O81:O88,O91:O102,O105:O110,O118:O119,O124:O150,O153:O159,O164:O165,O171:O174,O180:O195,O199:O210,O217:O223,O229:O233,O240:O243,O247:O250,O255:O271,O277:O278,O284:O287,O294:O295,O302:O304,O310,O313:O322)</f>
        <v>0</v>
      </c>
      <c r="P323" s="45">
        <f t="shared" si="308"/>
        <v>0</v>
      </c>
      <c r="Q323" s="45">
        <f t="shared" ref="Q323" si="309">SUM(Q11:Q17,Q20:Q26,Q31:Q34,Q39:Q45,Q52:Q53,Q56:Q64,Q68:Q70,Q73:Q76,Q81:Q88,Q91:Q102,Q105:Q110,Q118:Q119,Q124:Q150,Q153:Q159,Q164:Q165,Q171:Q174,Q180:Q195,Q199:Q210,Q217:Q223,Q229:Q233,Q240:Q243,Q247:Q250,Q255:Q271,Q277:Q278,Q284:Q287,Q294:Q295,Q302:Q304,Q310,Q313:Q322)</f>
        <v>0</v>
      </c>
      <c r="R323" s="45">
        <f t="shared" ref="R323" si="310">SUM(R11:R17,R20:R26,R31:R34,R39:R45,R52:R53,R56:R64,R68:R70,R73:R76,R81:R88,R91:R102,R105:R110,R118:R119,R124:R150,R153:R159,R164:R165,R171:R174,R180:R195,R199:R210,R217:R223,R229:R233,R240:R243,R247:R250,R255:R271,R277:R278,R284:R287,R294:R295,R302:R304,R310,R313:R322)</f>
        <v>0</v>
      </c>
      <c r="S323" s="45">
        <f t="shared" ref="S323:T323" si="311">SUM(S11:S17,S20:S26,S31:S34,S39:S45,S52:S53,S56:S64,S68:S70,S73:S76,S81:S88,S91:S102,S105:S110,S118:S119,S124:S150,S153:S159,S164:S165,S171:S174,S180:S195,S199:S210,S217:S223,S229:S233,S240:S243,S247:S250,S255:S271,S277:S278,S284:S287,S294:S295,S302:S304,S310,S313:S322)</f>
        <v>0</v>
      </c>
      <c r="T323" s="45">
        <f t="shared" si="311"/>
        <v>0</v>
      </c>
      <c r="U323" s="45">
        <f t="shared" ref="U323" si="312">SUM(U11:U17,U20:U26,U31:U34,U39:U45,U52:U53,U56:U64,U68:U70,U73:U76,U81:U88,U91:U102,U105:U110,U118:U119,U124:U150,U153:U159,U164:U165,U171:U174,U180:U195,U199:U210,U217:U223,U229:U233,U240:U243,U247:U250,U255:U271,U277:U278,U284:U287,U294:U295,U302:U304,U310,U313:U322)</f>
        <v>0</v>
      </c>
      <c r="V323" s="45">
        <f t="shared" ref="V323" si="313">SUM(V11:V17,V20:V26,V31:V34,V39:V45,V52:V53,V56:V64,V68:V70,V73:V76,V81:V88,V91:V102,V105:V110,V118:V119,V124:V150,V153:V159,V164:V165,V171:V174,V180:V195,V199:V210,V217:V223,V229:V233,V240:V243,V247:V250,V255:V271,V277:V278,V284:V287,V294:V295,V302:V304,V310,V313:V322)</f>
        <v>0</v>
      </c>
      <c r="W323" s="45">
        <f t="shared" ref="W323:X323" si="314">SUM(W11:W17,W20:W26,W31:W34,W39:W45,W52:W53,W56:W64,W68:W70,W73:W76,W81:W88,W91:W102,W105:W110,W118:W119,W124:W150,W153:W159,W164:W165,W171:W174,W180:W195,W199:W210,W217:W223,W229:W233,W240:W243,W247:W250,W255:W271,W277:W278,W284:W287,W294:W295,W302:W304,W310,W313:W322)</f>
        <v>0</v>
      </c>
      <c r="X323" s="45">
        <f t="shared" si="314"/>
        <v>0</v>
      </c>
      <c r="Y323" s="45">
        <f t="shared" ref="Y323" si="315">SUM(Y11:Y17,Y20:Y26,Y31:Y34,Y39:Y45,Y52:Y53,Y56:Y64,Y68:Y70,Y73:Y76,Y81:Y88,Y91:Y102,Y105:Y110,Y118:Y119,Y124:Y150,Y153:Y159,Y164:Y165,Y171:Y174,Y180:Y195,Y199:Y210,Y217:Y223,Y229:Y233,Y240:Y243,Y247:Y250,Y255:Y271,Y277:Y278,Y284:Y287,Y294:Y295,Y302:Y304,Y310,Y313:Y322)</f>
        <v>0</v>
      </c>
      <c r="Z323" s="45">
        <f t="shared" ref="Z323" si="316">SUM(Z11:Z17,Z20:Z26,Z31:Z34,Z39:Z45,Z52:Z53,Z56:Z64,Z68:Z70,Z73:Z76,Z81:Z88,Z91:Z102,Z105:Z110,Z118:Z119,Z124:Z150,Z153:Z159,Z164:Z165,Z171:Z174,Z180:Z195,Z199:Z210,Z217:Z223,Z229:Z233,Z240:Z243,Z247:Z250,Z255:Z271,Z277:Z278,Z284:Z287,Z294:Z295,Z302:Z304,Z310,Z313:Z322)</f>
        <v>0</v>
      </c>
      <c r="AA323" s="45">
        <f t="shared" ref="AA323:AB323" si="317">SUM(AA11:AA17,AA20:AA26,AA31:AA34,AA39:AA45,AA52:AA53,AA56:AA64,AA68:AA70,AA73:AA76,AA81:AA88,AA91:AA102,AA105:AA110,AA118:AA119,AA124:AA150,AA153:AA159,AA164:AA165,AA171:AA174,AA180:AA195,AA199:AA210,AA217:AA223,AA229:AA233,AA240:AA243,AA247:AA250,AA255:AA271,AA277:AA278,AA284:AA287,AA294:AA295,AA302:AA304,AA310,AA313:AA322)</f>
        <v>0</v>
      </c>
      <c r="AB323" s="45">
        <f t="shared" si="317"/>
        <v>0</v>
      </c>
      <c r="AC323" s="45">
        <f t="shared" ref="AC323" si="318">SUM(AC11:AC17,AC20:AC26,AC31:AC34,AC39:AC45,AC52:AC53,AC56:AC64,AC68:AC70,AC73:AC76,AC81:AC88,AC91:AC102,AC105:AC110,AC118:AC119,AC124:AC150,AC153:AC159,AC164:AC165,AC171:AC174,AC180:AC195,AC199:AC210,AC217:AC223,AC229:AC233,AC240:AC243,AC247:AC250,AC255:AC271,AC277:AC278,AC284:AC287,AC294:AC295,AC302:AC304,AC310,AC313:AC322)</f>
        <v>0</v>
      </c>
      <c r="AD323" s="45">
        <f t="shared" ref="AD323" si="319">SUM(AD11:AD17,AD20:AD26,AD31:AD34,AD39:AD45,AD52:AD53,AD56:AD64,AD68:AD70,AD73:AD76,AD81:AD88,AD91:AD102,AD105:AD110,AD118:AD119,AD124:AD150,AD153:AD159,AD164:AD165,AD171:AD174,AD180:AD195,AD199:AD210,AD217:AD223,AD229:AD233,AD240:AD243,AD247:AD250,AD255:AD271,AD277:AD278,AD284:AD287,AD294:AD295,AD302:AD304,AD310,AD313:AD322)</f>
        <v>0</v>
      </c>
      <c r="AE323" s="45">
        <f t="shared" ref="AE323:AF323" si="320">SUM(AE11:AE17,AE20:AE26,AE31:AE34,AE39:AE45,AE52:AE53,AE56:AE64,AE68:AE70,AE73:AE76,AE81:AE88,AE91:AE102,AE105:AE110,AE118:AE119,AE124:AE150,AE153:AE159,AE164:AE165,AE171:AE174,AE180:AE195,AE199:AE210,AE217:AE223,AE229:AE233,AE240:AE243,AE247:AE250,AE255:AE271,AE277:AE278,AE284:AE287,AE294:AE295,AE302:AE304,AE310,AE313:AE322)</f>
        <v>0</v>
      </c>
      <c r="AF323" s="45">
        <f t="shared" si="320"/>
        <v>0</v>
      </c>
      <c r="AG323" s="45">
        <f t="shared" ref="AG323" si="321">SUM(AG11:AG17,AG20:AG26,AG31:AG34,AG39:AG45,AG52:AG53,AG56:AG64,AG68:AG70,AG73:AG76,AG81:AG88,AG91:AG102,AG105:AG110,AG118:AG119,AG124:AG150,AG153:AG159,AG164:AG165,AG171:AG174,AG180:AG195,AG199:AG210,AG217:AG223,AG229:AG233,AG240:AG243,AG247:AG250,AG255:AG271,AG277:AG278,AG284:AG287,AG294:AG295,AG302:AG304,AG310,AG313:AG322)</f>
        <v>0</v>
      </c>
      <c r="AH323" s="45">
        <f t="shared" ref="AH323" si="322">SUM(AH11:AH17,AH20:AH26,AH31:AH34,AH39:AH45,AH52:AH53,AH56:AH64,AH68:AH70,AH73:AH76,AH81:AH88,AH91:AH102,AH105:AH110,AH118:AH119,AH124:AH150,AH153:AH159,AH164:AH165,AH171:AH174,AH180:AH195,AH199:AH210,AH217:AH223,AH229:AH233,AH240:AH243,AH247:AH250,AH255:AH271,AH277:AH278,AH284:AH287,AH294:AH295,AH302:AH304,AH310,AH313:AH322)</f>
        <v>0</v>
      </c>
      <c r="AI323" s="45">
        <f t="shared" ref="AI323:AJ323" si="323">SUM(AI11:AI17,AI20:AI26,AI31:AI34,AI39:AI45,AI52:AI53,AI56:AI64,AI68:AI70,AI73:AI76,AI81:AI88,AI91:AI102,AI105:AI110,AI118:AI119,AI124:AI150,AI153:AI159,AI164:AI165,AI171:AI174,AI180:AI195,AI199:AI210,AI217:AI223,AI229:AI233,AI240:AI243,AI247:AI250,AI255:AI271,AI277:AI278,AI284:AI287,AI294:AI295,AI302:AI304,AI310,AI313:AI322)</f>
        <v>0</v>
      </c>
      <c r="AJ323" s="45">
        <f t="shared" si="323"/>
        <v>0</v>
      </c>
      <c r="AK323" s="45">
        <f t="shared" ref="AK323" si="324">SUM(AK11:AK17,AK20:AK26,AK31:AK34,AK39:AK45,AK52:AK53,AK56:AK64,AK68:AK70,AK73:AK76,AK81:AK88,AK91:AK102,AK105:AK110,AK118:AK119,AK124:AK150,AK153:AK159,AK164:AK165,AK171:AK174,AK180:AK195,AK199:AK210,AK217:AK223,AK229:AK233,AK240:AK243,AK247:AK250,AK255:AK271,AK277:AK278,AK284:AK287,AK294:AK295,AK302:AK304,AK310,AK313:AK322)</f>
        <v>0</v>
      </c>
      <c r="AL323" s="45">
        <f t="shared" ref="AL323" si="325">SUM(AL11:AL17,AL20:AL26,AL31:AL34,AL39:AL45,AL52:AL53,AL56:AL64,AL68:AL70,AL73:AL76,AL81:AL88,AL91:AL102,AL105:AL110,AL118:AL119,AL124:AL150,AL153:AL159,AL164:AL165,AL171:AL174,AL180:AL195,AL199:AL210,AL217:AL223,AL229:AL233,AL240:AL243,AL247:AL250,AL255:AL271,AL277:AL278,AL284:AL287,AL294:AL295,AL302:AL304,AL310,AL313:AL322)</f>
        <v>0</v>
      </c>
      <c r="AM323" s="147">
        <f>SUM(I11:AL323)</f>
        <v>0</v>
      </c>
    </row>
  </sheetData>
  <sheetProtection algorithmName="SHA-512" hashValue="AJrYKonXgGDHol4CX8p7+G76M03XhaHL1G6fs7codPGup+iIvQyl8/Ph4LT1m0T0bnM9g1Za/RrAt4eET2Jv9w==" saltValue="YcXiRe6jgg1SxZdy9I4fZQ==" spinCount="100000" sheet="1" objects="1" scenarios="1" selectLockedCells="1"/>
  <mergeCells count="16">
    <mergeCell ref="G5:AL5"/>
    <mergeCell ref="G6:G9"/>
    <mergeCell ref="H6:H9"/>
    <mergeCell ref="I6:AB6"/>
    <mergeCell ref="AC6:AG6"/>
    <mergeCell ref="AH6:AL6"/>
    <mergeCell ref="I7:I9"/>
    <mergeCell ref="J7:AB7"/>
    <mergeCell ref="AC7:AC9"/>
    <mergeCell ref="AD7:AG8"/>
    <mergeCell ref="AH7:AH9"/>
    <mergeCell ref="AI7:AL8"/>
    <mergeCell ref="J8:L8"/>
    <mergeCell ref="M8:R8"/>
    <mergeCell ref="S8:W8"/>
    <mergeCell ref="X8:AB8"/>
  </mergeCells>
  <phoneticPr fontId="20" type="noConversion"/>
  <conditionalFormatting sqref="I11:AL323">
    <cfRule type="expression" dxfId="114" priority="1">
      <formula>ISTEXT(I11)</formula>
    </cfRule>
    <cfRule type="expression" dxfId="113" priority="3">
      <formula>MOD(I11,1)&lt;&gt;0</formula>
    </cfRule>
  </conditionalFormatting>
  <conditionalFormatting sqref="J11:AB16 AD11:AG16 AI11:AL16 J18:AB25 AD18:AG25 AI18:AL25 J27:AB33 AD27:AG33 AI27:AL33 J35:AB44 AD35:AG44 AI35:AL44 J46:AB52 AD46:AG52 AI46:AL52 J54:AB63 AD54:AG63 AI54:AL63 J65:AB69 AD65:AG69 AI65:AL69 J71:AB75 AD71:AG75 AI71:AL75 J77:AB87 AD77:AG87 AI77:AL87 J89:AB101 AD89:AG101 AI89:AL101 J103:AB109 AD103:AG109 AI103:AL109 J111:AB118 AD111:AG118 AI111:AL118 J120:AB149 AD120:AG149 AI120:AL149 J151:AB158 AD151:AG158 AI151:AL158 J160:AB164 AD160:AG164 AI160:AL164 J166:AB173 AD166:AG173 AI166:AL173 J175:AB194 AD175:AG194 AI175:AL194 J196:AB209 AD196:AG209 AI196:AL209 J211:AB222 AD211:AG222 AI211:AL222 J224:AB232 AD224:AG232 AI224:AL232 J234:AB242 AD234:AG242 AI234:AL242 J244:AB249 AD244:AG249 AI244:AL249 J251:AB270 AD251:AG270 AI251:AL270 J272:AB277 AD272:AG277 AI272:AL277 J279:AB286 AD279:AG286 AI279:AL286 J288:AB294 AD288:AG294 AI288:AL294 J296:AB303 AD296:AG303 AI296:AL303 J305:AB309 AD305:AG309 AI305:AL309 J311:AB322 AD311:AG322 AI311:AL322">
    <cfRule type="expression" dxfId="109" priority="31">
      <formula>_xlfn.ISFORMULA(J11)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5" id="{02E493AE-FD82-4110-90C9-2995D6CB1F8D}">
            <xm:f>SUM($J11:$L11)&lt;'Раздел 2'!$M11</xm:f>
            <x14:dxf>
              <fill>
                <patternFill>
                  <bgColor rgb="FFFFFF00"/>
                </patternFill>
              </fill>
            </x14:dxf>
          </x14:cfRule>
          <x14:cfRule type="expression" priority="42" id="{7062E840-AED5-4C6D-BA78-35255822E573}">
            <xm:f>SUM($J11:$L11)&gt;'Раздел 2'!$M11</xm:f>
            <x14:dxf>
              <fill>
                <patternFill>
                  <bgColor rgb="FFFF0000"/>
                </patternFill>
              </fill>
            </x14:dxf>
          </x14:cfRule>
          <xm:sqref>J11:L323</xm:sqref>
        </x14:conditionalFormatting>
        <x14:conditionalFormatting xmlns:xm="http://schemas.microsoft.com/office/excel/2006/main">
          <x14:cfRule type="expression" priority="43" id="{01A36378-7DA4-41C0-8BEB-B0D4100C06D2}">
            <xm:f>AND('Раздел 2'!$I11=1,$I11=0)</xm:f>
            <x14:dxf>
              <fill>
                <patternFill>
                  <bgColor rgb="FFFFFF00"/>
                </patternFill>
              </fill>
            </x14:dxf>
          </x14:cfRule>
          <xm:sqref>J11:AB16 J18:AB25 J27:AB33 J35:AB44 J46:AB52 J54:AB63 J65:AB69 J71:AB75 J77:AB87 J89:AB101 J103:AB109 J111:AB118 J120:AB149 J151:AB158 J160:AB164 J166:AB173 J175:AB194 J196:AB209 J211:AB222 J224:AB232 J234:AB242 J244:AB249 J251:AB270 J272:AB277 J279:AB286 J288:AB294 J296:AB303 J305:AB309 J311:AB322 AD11:AG16 AI11:AL16 AD18:AG25 AI18:AL25 AD27:AG33 AI27:AL33 AD35:AG44 AI35:AL44 AD46:AG52 AI46:AL52 AD54:AG63 AI54:AL63 AD65:AG69 AI65:AL69 AD71:AG75 AI71:AL75 AD77:AG87 AI77:AL87 AD89:AG101 AI89:AL101 AD103:AG109 AI103:AL109 AD111:AG118 AI111:AL118 AD120:AG149 AI120:AL149 AD151:AG158 AI151:AL158 AD160:AG164 AI160:AL164 AD166:AG173 AI166:AL173 AD175:AG194 AI175:AL194 AD196:AG209 AI196:AL209 AD211:AG222 AI211:AL222 AD224:AG232 AI224:AL232 AD234:AG242 AI234:AL242 AD244:AG249 AI244:AL249 AD251:AG270 AI251:AL270 AD272:AG277 AI272:AL277 AD279:AG286 AI279:AL286 AD288:AG294 AI288:AL294 AD296:AG303 AI296:AL303 AD305:AG309 AI305:AL309 AD311:AG322 AI311:AL322</xm:sqref>
        </x14:conditionalFormatting>
        <x14:conditionalFormatting xmlns:xm="http://schemas.microsoft.com/office/excel/2006/main">
          <x14:cfRule type="expression" priority="34" id="{901043C2-517F-4545-BE1C-6E5E01EC7B69}">
            <xm:f>SUM($M11:$R11)&lt;'Раздел 2'!$N11</xm:f>
            <x14:dxf>
              <fill>
                <patternFill>
                  <bgColor rgb="FFFFFF00"/>
                </patternFill>
              </fill>
            </x14:dxf>
          </x14:cfRule>
          <x14:cfRule type="expression" priority="41" id="{D0CC1F88-C568-4A96-A855-66BE9D9CD9D8}">
            <xm:f>SUM($M11:$R11)&gt;'Раздел 2'!$N11</xm:f>
            <x14:dxf>
              <fill>
                <patternFill>
                  <bgColor rgb="FFFF0000"/>
                </patternFill>
              </fill>
            </x14:dxf>
          </x14:cfRule>
          <xm:sqref>M11:R323</xm:sqref>
        </x14:conditionalFormatting>
        <x14:conditionalFormatting xmlns:xm="http://schemas.microsoft.com/office/excel/2006/main">
          <x14:cfRule type="expression" priority="33" id="{8353E2ED-13F7-4004-8C2F-5B9993EE52A1}">
            <xm:f>SUM($S11:$W11)&lt;'Раздел 2'!$O11</xm:f>
            <x14:dxf>
              <fill>
                <patternFill>
                  <bgColor rgb="FFFFFF00"/>
                </patternFill>
              </fill>
            </x14:dxf>
          </x14:cfRule>
          <x14:cfRule type="expression" priority="39" id="{9153AE2E-5A3A-4147-86DF-6435D84B035D}">
            <xm:f>SUM($S11:$W11)&gt;'Раздел 2'!$O11</xm:f>
            <x14:dxf>
              <fill>
                <patternFill>
                  <bgColor rgb="FFFF0000"/>
                </patternFill>
              </fill>
            </x14:dxf>
          </x14:cfRule>
          <xm:sqref>S11:W323</xm:sqref>
        </x14:conditionalFormatting>
        <x14:conditionalFormatting xmlns:xm="http://schemas.microsoft.com/office/excel/2006/main">
          <x14:cfRule type="expression" priority="32" id="{B1E0D215-7452-4745-A38B-1AF11098BEFD}">
            <xm:f>SUM($X11:$AB11)&lt;'Раздел 2'!$P11</xm:f>
            <x14:dxf>
              <fill>
                <patternFill>
                  <bgColor rgb="FFFFFF00"/>
                </patternFill>
              </fill>
            </x14:dxf>
          </x14:cfRule>
          <x14:cfRule type="expression" priority="36" id="{973129A5-325E-47EA-82A6-2F39DEBF7DF0}">
            <xm:f>SUM($X11:$AB11)&gt;'Раздел 2'!$P11</xm:f>
            <x14:dxf>
              <fill>
                <patternFill>
                  <bgColor rgb="FFFF0000"/>
                </patternFill>
              </fill>
            </x14:dxf>
          </x14:cfRule>
          <xm:sqref>X11:AB323</xm:sqref>
        </x14:conditionalFormatting>
        <x14:conditionalFormatting xmlns:xm="http://schemas.microsoft.com/office/excel/2006/main">
          <x14:cfRule type="expression" priority="49" id="{B05F475F-DC09-4085-8AC0-1915E209CCF0}">
            <xm:f>AND('Раздел 2'!$I11=1,$AC11=0)</xm:f>
            <x14:dxf>
              <fill>
                <patternFill>
                  <bgColor theme="0" tint="-4.9989318521683403E-2"/>
                </patternFill>
              </fill>
            </x14:dxf>
          </x14:cfRule>
          <xm:sqref>AD11:AG16 AD18:AG25 AD27:AG33 AD35:AG44 AD46:AG52 AD54:AG63 AD65:AG69 AD71:AG75 AD77:AG87 AD89:AG101 AD103:AG109 AD111:AG118 AD120:AG149 AD151:AG158 AD160:AG164 AD166:AG173 AD175:AG194 AD196:AG209 AD211:AG222 AD224:AG232 AD234:AG242 AD244:AG249 AD251:AG270 AD272:AG277 AD279:AG286 AD288:AG294 AD296:AG303 AD305:AG309 AD311:AG322</xm:sqref>
        </x14:conditionalFormatting>
        <x14:conditionalFormatting xmlns:xm="http://schemas.microsoft.com/office/excel/2006/main">
          <x14:cfRule type="expression" priority="44" id="{ED9E74B7-F005-40F0-8FFF-B79C3DD04A38}">
            <xm:f>AND('Раздел 2'!$I11=1,$AH11=0)</xm:f>
            <x14:dxf>
              <fill>
                <patternFill patternType="solid">
                  <bgColor theme="0" tint="-4.9989318521683403E-2"/>
                </patternFill>
              </fill>
            </x14:dxf>
          </x14:cfRule>
          <xm:sqref>AI11:AL16 AI18:AL25 AI27:AL33 AI35:AL44 AI46:AL52 AI54:AL63 AI65:AL69 AI71:AL75 AI77:AL87 AI89:AL101 AI103:AL109 AI111:AL118 AI120:AL149 AI151:AL158 AI160:AL164 AI166:AL173 AI175:AL194 AI196:AL209 AI211:AL222 AI224:AL232 AI234:AL242 AI244:AL249 AI251:AL270 AI272:AL277 AI279:AL286 AI288:AL294 AI296:AL303 AI305:AL309 AI311:AL322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FE06-2905-4B2A-A3C0-3761B4773A02}">
  <dimension ref="A1:AG324"/>
  <sheetViews>
    <sheetView topLeftCell="A5" zoomScaleNormal="100" workbookViewId="0">
      <pane xSplit="9" ySplit="6" topLeftCell="J314" activePane="bottomRight" state="frozen"/>
      <selection activeCell="H19" sqref="H19:I19"/>
      <selection pane="topRight" activeCell="H19" sqref="H19:I19"/>
      <selection pane="bottomLeft" activeCell="H19" sqref="H19:I19"/>
      <selection pane="bottomRight" activeCell="L320" sqref="L320"/>
    </sheetView>
  </sheetViews>
  <sheetFormatPr defaultColWidth="9.140625" defaultRowHeight="10.5" x14ac:dyDescent="0.15"/>
  <cols>
    <col min="1" max="1" width="3.7109375" style="12" hidden="1" customWidth="1"/>
    <col min="2" max="2" width="12.5703125" style="12" hidden="1" customWidth="1"/>
    <col min="3" max="3" width="4.42578125" style="12" hidden="1" customWidth="1"/>
    <col min="4" max="4" width="7.7109375" style="12" hidden="1" customWidth="1"/>
    <col min="5" max="5" width="4.42578125" style="12" hidden="1" customWidth="1"/>
    <col min="6" max="6" width="10.140625" style="12" hidden="1" customWidth="1"/>
    <col min="7" max="7" width="30.42578125" style="12" customWidth="1"/>
    <col min="8" max="8" width="4.5703125" style="12" customWidth="1"/>
    <col min="9" max="10" width="10.42578125" style="12" customWidth="1"/>
    <col min="11" max="14" width="8.140625" style="12" customWidth="1"/>
    <col min="15" max="15" width="9.42578125" style="12" customWidth="1"/>
    <col min="16" max="16" width="9.7109375" style="12" customWidth="1"/>
    <col min="17" max="19" width="8.140625" style="12" customWidth="1"/>
    <col min="20" max="20" width="11.42578125" style="12" customWidth="1"/>
    <col min="21" max="22" width="9.7109375" style="12" customWidth="1"/>
    <col min="23" max="26" width="8.140625" style="12" customWidth="1"/>
    <col min="27" max="27" width="10.28515625" style="12" customWidth="1"/>
    <col min="28" max="28" width="8" style="12" customWidth="1"/>
    <col min="29" max="31" width="8.140625" style="12" customWidth="1"/>
    <col min="32" max="32" width="10.5703125" style="12" customWidth="1"/>
    <col min="33" max="33" width="6.5703125" style="12" customWidth="1"/>
    <col min="34" max="16384" width="9.140625" style="12"/>
  </cols>
  <sheetData>
    <row r="1" spans="1:33" ht="15" hidden="1" customHeight="1" x14ac:dyDescent="0.15">
      <c r="G1" s="335" t="s">
        <v>639</v>
      </c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</row>
    <row r="2" spans="1:33" ht="10.5" hidden="1" customHeight="1" x14ac:dyDescent="0.15"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</row>
    <row r="3" spans="1:33" ht="10.5" hidden="1" customHeight="1" x14ac:dyDescent="0.15"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  <c r="AC3" s="335"/>
      <c r="AD3" s="335"/>
      <c r="AE3" s="335"/>
      <c r="AF3" s="335"/>
    </row>
    <row r="4" spans="1:33" ht="10.5" hidden="1" customHeight="1" x14ac:dyDescent="0.15"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/>
      <c r="U4" s="335"/>
      <c r="V4" s="335"/>
      <c r="W4" s="335"/>
      <c r="X4" s="335"/>
      <c r="Y4" s="335"/>
      <c r="Z4" s="335"/>
      <c r="AA4" s="335"/>
      <c r="AB4" s="335"/>
      <c r="AC4" s="335"/>
      <c r="AD4" s="335"/>
      <c r="AE4" s="335"/>
      <c r="AF4" s="335"/>
    </row>
    <row r="5" spans="1:33" ht="14.25" customHeight="1" x14ac:dyDescent="0.15"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6"/>
      <c r="AD5" s="336"/>
      <c r="AE5" s="336"/>
      <c r="AF5" s="336"/>
      <c r="AG5" s="191"/>
    </row>
    <row r="6" spans="1:33" ht="35.25" customHeight="1" x14ac:dyDescent="0.15">
      <c r="G6" s="345" t="s">
        <v>1</v>
      </c>
      <c r="H6" s="346" t="s">
        <v>2</v>
      </c>
      <c r="I6" s="347" t="s">
        <v>766</v>
      </c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8" t="s">
        <v>925</v>
      </c>
      <c r="V6" s="349"/>
      <c r="W6" s="349"/>
      <c r="X6" s="349"/>
      <c r="Y6" s="349"/>
      <c r="Z6" s="349"/>
      <c r="AA6" s="349"/>
      <c r="AB6" s="349"/>
      <c r="AC6" s="349"/>
      <c r="AD6" s="349"/>
      <c r="AE6" s="349"/>
      <c r="AF6" s="350"/>
    </row>
    <row r="7" spans="1:33" ht="15" customHeight="1" x14ac:dyDescent="0.15">
      <c r="G7" s="345"/>
      <c r="H7" s="346"/>
      <c r="I7" s="347" t="s">
        <v>640</v>
      </c>
      <c r="J7" s="347" t="s">
        <v>641</v>
      </c>
      <c r="K7" s="347"/>
      <c r="L7" s="347"/>
      <c r="M7" s="347"/>
      <c r="N7" s="347"/>
      <c r="O7" s="347"/>
      <c r="P7" s="347" t="s">
        <v>642</v>
      </c>
      <c r="Q7" s="347"/>
      <c r="R7" s="347"/>
      <c r="S7" s="347"/>
      <c r="T7" s="347"/>
      <c r="U7" s="342" t="s">
        <v>640</v>
      </c>
      <c r="V7" s="339" t="s">
        <v>643</v>
      </c>
      <c r="W7" s="340"/>
      <c r="X7" s="340"/>
      <c r="Y7" s="340"/>
      <c r="Z7" s="340"/>
      <c r="AA7" s="341"/>
      <c r="AB7" s="347" t="s">
        <v>644</v>
      </c>
      <c r="AC7" s="347"/>
      <c r="AD7" s="347"/>
      <c r="AE7" s="347"/>
      <c r="AF7" s="347"/>
    </row>
    <row r="8" spans="1:33" ht="15" customHeight="1" x14ac:dyDescent="0.15">
      <c r="G8" s="345"/>
      <c r="H8" s="346"/>
      <c r="I8" s="347"/>
      <c r="J8" s="347" t="s">
        <v>626</v>
      </c>
      <c r="K8" s="347" t="s">
        <v>645</v>
      </c>
      <c r="L8" s="347"/>
      <c r="M8" s="347"/>
      <c r="N8" s="347"/>
      <c r="O8" s="347"/>
      <c r="P8" s="347" t="s">
        <v>626</v>
      </c>
      <c r="Q8" s="347" t="s">
        <v>645</v>
      </c>
      <c r="R8" s="347"/>
      <c r="S8" s="347"/>
      <c r="T8" s="347"/>
      <c r="U8" s="343"/>
      <c r="V8" s="337" t="s">
        <v>626</v>
      </c>
      <c r="W8" s="347" t="s">
        <v>645</v>
      </c>
      <c r="X8" s="347"/>
      <c r="Y8" s="347"/>
      <c r="Z8" s="347"/>
      <c r="AA8" s="347"/>
      <c r="AB8" s="347" t="s">
        <v>626</v>
      </c>
      <c r="AC8" s="347" t="s">
        <v>645</v>
      </c>
      <c r="AD8" s="347"/>
      <c r="AE8" s="347"/>
      <c r="AF8" s="347"/>
    </row>
    <row r="9" spans="1:33" ht="50.25" customHeight="1" x14ac:dyDescent="0.15">
      <c r="G9" s="345"/>
      <c r="H9" s="346"/>
      <c r="I9" s="347"/>
      <c r="J9" s="347"/>
      <c r="K9" s="13" t="s">
        <v>646</v>
      </c>
      <c r="L9" s="13" t="s">
        <v>647</v>
      </c>
      <c r="M9" s="13" t="s">
        <v>652</v>
      </c>
      <c r="N9" s="13" t="s">
        <v>653</v>
      </c>
      <c r="O9" s="13" t="s">
        <v>654</v>
      </c>
      <c r="P9" s="347"/>
      <c r="Q9" s="13" t="s">
        <v>648</v>
      </c>
      <c r="R9" s="13" t="s">
        <v>649</v>
      </c>
      <c r="S9" s="13" t="s">
        <v>650</v>
      </c>
      <c r="T9" s="13" t="s">
        <v>651</v>
      </c>
      <c r="U9" s="344"/>
      <c r="V9" s="338"/>
      <c r="W9" s="13" t="s">
        <v>646</v>
      </c>
      <c r="X9" s="13" t="s">
        <v>647</v>
      </c>
      <c r="Y9" s="13" t="s">
        <v>652</v>
      </c>
      <c r="Z9" s="13" t="s">
        <v>653</v>
      </c>
      <c r="AA9" s="13" t="s">
        <v>654</v>
      </c>
      <c r="AB9" s="347"/>
      <c r="AC9" s="13" t="s">
        <v>648</v>
      </c>
      <c r="AD9" s="13" t="s">
        <v>649</v>
      </c>
      <c r="AE9" s="13" t="s">
        <v>650</v>
      </c>
      <c r="AF9" s="13" t="s">
        <v>651</v>
      </c>
    </row>
    <row r="10" spans="1:33" ht="11.25" thickBot="1" x14ac:dyDescent="0.2">
      <c r="A10" s="186">
        <f>'Раздел 0'!M27</f>
        <v>0</v>
      </c>
      <c r="B10" s="185">
        <f>'Раздел 1'!D15</f>
        <v>0</v>
      </c>
      <c r="C10" s="184" t="str" cm="1">
        <f t="array" ref="C10">_xlfn.IFS(SUM('Раздел 1'!$D$5:$D$6)&gt;0,"ФКиС",SUM('Раздел 1'!$D$7:$D$8)&gt;0,"Образование",SUM('Раздел 1'!$D$9:$D$10)&gt;0,"Другая")</f>
        <v>ФКиС</v>
      </c>
      <c r="D10" s="184" t="str" cm="1">
        <f t="array" ref="D10">_xlfn.IFS(SUM('Раздел 1'!$E$12)&gt;0,"СШ",SUM('Раздел 1'!$F$12)&gt;0,"СШОР",SUM('Раздел 1'!$G$12)&gt;0,"УОР",SUM('Раздел 1'!$H$12)&gt;0,"ЦСП",SUM('Раздел 1'!$I$12)&gt;0,"ДРУГИЕ",SUM('Раздел 1'!$E$13)&gt;0,"ОСП СШ",SUM('Раздел 1'!$F$13)&gt;0,"ОСП СШОР",SUM('Раздел 1'!$I$13)&gt;0,"ОСП ДРУГИЕ")</f>
        <v>ЦСП</v>
      </c>
      <c r="E10" s="184">
        <f>IF(SUM('Раздел 1'!$D$12)&gt;0,SUM('Раздел 1'!$D$13),"")</f>
        <v>0</v>
      </c>
      <c r="F10" s="184" t="e" cm="1">
        <f t="array" ref="F10">_xlfn.IFS(SUM('Раздел 1'!$D$19)&gt;0,"РФ",SUM('Раздел 1'!$E$19)&gt;0,"СУБЪЕКТ",SUM('Раздел 1'!$F$19:$G$19)&gt;0,"МУНИЦИПАЛ",SUM('Раздел 1'!$H$19:$I$19)&gt;0,"ИНЫЕ")</f>
        <v>#N/A</v>
      </c>
      <c r="G10" s="55">
        <v>1</v>
      </c>
      <c r="H10" s="55">
        <v>2</v>
      </c>
      <c r="I10" s="55">
        <v>3</v>
      </c>
      <c r="J10" s="55">
        <v>4</v>
      </c>
      <c r="K10" s="55">
        <v>5</v>
      </c>
      <c r="L10" s="55">
        <v>6</v>
      </c>
      <c r="M10" s="55">
        <v>7</v>
      </c>
      <c r="N10" s="55">
        <v>8</v>
      </c>
      <c r="O10" s="55">
        <v>9</v>
      </c>
      <c r="P10" s="55">
        <v>10</v>
      </c>
      <c r="Q10" s="55">
        <v>11</v>
      </c>
      <c r="R10" s="55">
        <v>12</v>
      </c>
      <c r="S10" s="55">
        <v>13</v>
      </c>
      <c r="T10" s="73">
        <v>14</v>
      </c>
      <c r="U10" s="55">
        <v>15</v>
      </c>
      <c r="V10" s="55">
        <v>16</v>
      </c>
      <c r="W10" s="55">
        <v>17</v>
      </c>
      <c r="X10" s="55">
        <v>18</v>
      </c>
      <c r="Y10" s="55">
        <v>19</v>
      </c>
      <c r="Z10" s="55">
        <v>20</v>
      </c>
      <c r="AA10" s="55">
        <v>21</v>
      </c>
      <c r="AB10" s="55">
        <v>22</v>
      </c>
      <c r="AC10" s="55">
        <v>23</v>
      </c>
      <c r="AD10" s="55">
        <v>24</v>
      </c>
      <c r="AE10" s="55">
        <v>25</v>
      </c>
      <c r="AF10" s="55">
        <v>26</v>
      </c>
      <c r="AG10" s="43">
        <v>27</v>
      </c>
    </row>
    <row r="11" spans="1:33" x14ac:dyDescent="0.15">
      <c r="G11" s="204" t="s">
        <v>21</v>
      </c>
      <c r="H11" s="53" t="s">
        <v>22</v>
      </c>
      <c r="I11" s="56">
        <f t="shared" ref="I11:I74" si="0">J11+P11</f>
        <v>0</v>
      </c>
      <c r="J11" s="56">
        <f t="shared" ref="J11:J74" si="1">SUM(K11:O11)</f>
        <v>0</v>
      </c>
      <c r="K11" s="54"/>
      <c r="L11" s="58"/>
      <c r="M11" s="58"/>
      <c r="N11" s="58"/>
      <c r="O11" s="58"/>
      <c r="P11" s="56">
        <f t="shared" ref="P11:P74" si="2">SUM(Q11:T11)</f>
        <v>0</v>
      </c>
      <c r="Q11" s="58"/>
      <c r="R11" s="58"/>
      <c r="S11" s="58"/>
      <c r="T11" s="201"/>
      <c r="U11" s="56">
        <f t="shared" ref="U11" si="3">V11+AB11</f>
        <v>0</v>
      </c>
      <c r="V11" s="56">
        <f t="shared" ref="V11" si="4">SUM(W11:AA11)</f>
        <v>0</v>
      </c>
      <c r="W11" s="58"/>
      <c r="X11" s="58"/>
      <c r="Y11" s="58"/>
      <c r="Z11" s="58"/>
      <c r="AA11" s="58"/>
      <c r="AB11" s="56">
        <f t="shared" ref="AB11:AB74" si="5">SUM(AC11:AF11)</f>
        <v>0</v>
      </c>
      <c r="AC11" s="58"/>
      <c r="AD11" s="58"/>
      <c r="AE11" s="58"/>
      <c r="AF11" s="201"/>
      <c r="AG11" s="16">
        <f t="shared" ref="AG11:AG74" si="6">SUM(I11:AF11)</f>
        <v>0</v>
      </c>
    </row>
    <row r="12" spans="1:33" x14ac:dyDescent="0.15">
      <c r="G12" s="205" t="s">
        <v>23</v>
      </c>
      <c r="H12" s="4" t="s">
        <v>24</v>
      </c>
      <c r="I12" s="45">
        <f t="shared" si="0"/>
        <v>0</v>
      </c>
      <c r="J12" s="45">
        <f t="shared" si="1"/>
        <v>0</v>
      </c>
      <c r="K12" s="8"/>
      <c r="L12" s="6"/>
      <c r="M12" s="6"/>
      <c r="N12" s="6"/>
      <c r="O12" s="6"/>
      <c r="P12" s="56">
        <f t="shared" si="2"/>
        <v>0</v>
      </c>
      <c r="Q12" s="6"/>
      <c r="R12" s="6"/>
      <c r="S12" s="6"/>
      <c r="T12" s="202"/>
      <c r="U12" s="56">
        <f t="shared" ref="U12:U75" si="7">V12+AB12</f>
        <v>0</v>
      </c>
      <c r="V12" s="56">
        <f t="shared" ref="V12:V75" si="8">SUM(W12:AA12)</f>
        <v>0</v>
      </c>
      <c r="W12" s="6"/>
      <c r="X12" s="6"/>
      <c r="Y12" s="6"/>
      <c r="Z12" s="6"/>
      <c r="AA12" s="6"/>
      <c r="AB12" s="56">
        <f t="shared" si="5"/>
        <v>0</v>
      </c>
      <c r="AC12" s="6"/>
      <c r="AD12" s="6"/>
      <c r="AE12" s="6"/>
      <c r="AF12" s="202"/>
      <c r="AG12" s="16">
        <f t="shared" si="6"/>
        <v>0</v>
      </c>
    </row>
    <row r="13" spans="1:33" x14ac:dyDescent="0.15">
      <c r="G13" s="205" t="s">
        <v>25</v>
      </c>
      <c r="H13" s="4" t="s">
        <v>26</v>
      </c>
      <c r="I13" s="45">
        <f t="shared" si="0"/>
        <v>0</v>
      </c>
      <c r="J13" s="45">
        <f t="shared" si="1"/>
        <v>0</v>
      </c>
      <c r="K13" s="8"/>
      <c r="L13" s="6"/>
      <c r="M13" s="6"/>
      <c r="N13" s="6"/>
      <c r="O13" s="6"/>
      <c r="P13" s="56">
        <f t="shared" si="2"/>
        <v>0</v>
      </c>
      <c r="Q13" s="6"/>
      <c r="R13" s="6"/>
      <c r="S13" s="6"/>
      <c r="T13" s="202"/>
      <c r="U13" s="56">
        <f t="shared" si="7"/>
        <v>0</v>
      </c>
      <c r="V13" s="56">
        <f t="shared" si="8"/>
        <v>0</v>
      </c>
      <c r="W13" s="6"/>
      <c r="X13" s="6"/>
      <c r="Y13" s="6"/>
      <c r="Z13" s="6"/>
      <c r="AA13" s="6"/>
      <c r="AB13" s="56">
        <f t="shared" si="5"/>
        <v>0</v>
      </c>
      <c r="AC13" s="6"/>
      <c r="AD13" s="6"/>
      <c r="AE13" s="6"/>
      <c r="AF13" s="202"/>
      <c r="AG13" s="16">
        <f t="shared" si="6"/>
        <v>0</v>
      </c>
    </row>
    <row r="14" spans="1:33" x14ac:dyDescent="0.15">
      <c r="G14" s="205" t="s">
        <v>27</v>
      </c>
      <c r="H14" s="53" t="s">
        <v>28</v>
      </c>
      <c r="I14" s="45">
        <f t="shared" si="0"/>
        <v>0</v>
      </c>
      <c r="J14" s="45">
        <f t="shared" si="1"/>
        <v>0</v>
      </c>
      <c r="K14" s="8"/>
      <c r="L14" s="6"/>
      <c r="M14" s="6"/>
      <c r="N14" s="6"/>
      <c r="O14" s="6"/>
      <c r="P14" s="56">
        <f t="shared" si="2"/>
        <v>0</v>
      </c>
      <c r="Q14" s="6"/>
      <c r="R14" s="6"/>
      <c r="S14" s="6"/>
      <c r="T14" s="202"/>
      <c r="U14" s="56">
        <f t="shared" si="7"/>
        <v>0</v>
      </c>
      <c r="V14" s="56">
        <f t="shared" si="8"/>
        <v>0</v>
      </c>
      <c r="W14" s="6"/>
      <c r="X14" s="6"/>
      <c r="Y14" s="6"/>
      <c r="Z14" s="6"/>
      <c r="AA14" s="6"/>
      <c r="AB14" s="56">
        <f t="shared" si="5"/>
        <v>0</v>
      </c>
      <c r="AC14" s="6"/>
      <c r="AD14" s="6"/>
      <c r="AE14" s="6"/>
      <c r="AF14" s="202"/>
      <c r="AG14" s="16">
        <f t="shared" si="6"/>
        <v>0</v>
      </c>
    </row>
    <row r="15" spans="1:33" x14ac:dyDescent="0.15">
      <c r="G15" s="205" t="s">
        <v>29</v>
      </c>
      <c r="H15" s="4" t="s">
        <v>30</v>
      </c>
      <c r="I15" s="45">
        <f t="shared" si="0"/>
        <v>0</v>
      </c>
      <c r="J15" s="45">
        <f t="shared" si="1"/>
        <v>0</v>
      </c>
      <c r="K15" s="8"/>
      <c r="L15" s="6"/>
      <c r="M15" s="6"/>
      <c r="N15" s="6"/>
      <c r="O15" s="6"/>
      <c r="P15" s="56">
        <f t="shared" si="2"/>
        <v>0</v>
      </c>
      <c r="Q15" s="6"/>
      <c r="R15" s="6"/>
      <c r="S15" s="6"/>
      <c r="T15" s="202"/>
      <c r="U15" s="56">
        <f t="shared" si="7"/>
        <v>0</v>
      </c>
      <c r="V15" s="56">
        <f t="shared" si="8"/>
        <v>0</v>
      </c>
      <c r="W15" s="6"/>
      <c r="X15" s="6"/>
      <c r="Y15" s="6"/>
      <c r="Z15" s="6"/>
      <c r="AA15" s="6"/>
      <c r="AB15" s="56">
        <f t="shared" si="5"/>
        <v>0</v>
      </c>
      <c r="AC15" s="6"/>
      <c r="AD15" s="6"/>
      <c r="AE15" s="6"/>
      <c r="AF15" s="202"/>
      <c r="AG15" s="16">
        <f t="shared" si="6"/>
        <v>0</v>
      </c>
    </row>
    <row r="16" spans="1:33" x14ac:dyDescent="0.15">
      <c r="G16" s="205" t="s">
        <v>31</v>
      </c>
      <c r="H16" s="4" t="s">
        <v>32</v>
      </c>
      <c r="I16" s="45">
        <f t="shared" si="0"/>
        <v>0</v>
      </c>
      <c r="J16" s="45">
        <f t="shared" si="1"/>
        <v>0</v>
      </c>
      <c r="K16" s="8"/>
      <c r="L16" s="6"/>
      <c r="M16" s="6"/>
      <c r="N16" s="6"/>
      <c r="O16" s="6"/>
      <c r="P16" s="56">
        <f t="shared" si="2"/>
        <v>0</v>
      </c>
      <c r="Q16" s="6"/>
      <c r="R16" s="6"/>
      <c r="S16" s="6"/>
      <c r="T16" s="202"/>
      <c r="U16" s="56">
        <f t="shared" si="7"/>
        <v>0</v>
      </c>
      <c r="V16" s="56">
        <f t="shared" si="8"/>
        <v>0</v>
      </c>
      <c r="W16" s="6"/>
      <c r="X16" s="6"/>
      <c r="Y16" s="6"/>
      <c r="Z16" s="6"/>
      <c r="AA16" s="6"/>
      <c r="AB16" s="56">
        <f t="shared" si="5"/>
        <v>0</v>
      </c>
      <c r="AC16" s="6"/>
      <c r="AD16" s="6"/>
      <c r="AE16" s="6"/>
      <c r="AF16" s="202"/>
      <c r="AG16" s="16">
        <f t="shared" si="6"/>
        <v>0</v>
      </c>
    </row>
    <row r="17" spans="7:33" x14ac:dyDescent="0.15">
      <c r="G17" s="205" t="s">
        <v>33</v>
      </c>
      <c r="H17" s="53" t="s">
        <v>34</v>
      </c>
      <c r="I17" s="45">
        <f t="shared" si="0"/>
        <v>0</v>
      </c>
      <c r="J17" s="45">
        <f t="shared" si="1"/>
        <v>0</v>
      </c>
      <c r="K17" s="45">
        <f t="shared" ref="K17:AF17" si="9">SUM(K18:K19)</f>
        <v>0</v>
      </c>
      <c r="L17" s="45">
        <f t="shared" si="9"/>
        <v>0</v>
      </c>
      <c r="M17" s="45">
        <f t="shared" si="9"/>
        <v>0</v>
      </c>
      <c r="N17" s="45">
        <f t="shared" si="9"/>
        <v>0</v>
      </c>
      <c r="O17" s="45">
        <f t="shared" si="9"/>
        <v>0</v>
      </c>
      <c r="P17" s="56">
        <f t="shared" si="2"/>
        <v>0</v>
      </c>
      <c r="Q17" s="45">
        <f t="shared" si="9"/>
        <v>0</v>
      </c>
      <c r="R17" s="45">
        <f t="shared" si="9"/>
        <v>0</v>
      </c>
      <c r="S17" s="45">
        <f t="shared" si="9"/>
        <v>0</v>
      </c>
      <c r="T17" s="45">
        <f t="shared" si="9"/>
        <v>0</v>
      </c>
      <c r="U17" s="56">
        <f t="shared" si="7"/>
        <v>0</v>
      </c>
      <c r="V17" s="56">
        <f t="shared" si="8"/>
        <v>0</v>
      </c>
      <c r="W17" s="45">
        <f t="shared" si="9"/>
        <v>0</v>
      </c>
      <c r="X17" s="45">
        <f t="shared" si="9"/>
        <v>0</v>
      </c>
      <c r="Y17" s="45">
        <f t="shared" si="9"/>
        <v>0</v>
      </c>
      <c r="Z17" s="45">
        <f t="shared" si="9"/>
        <v>0</v>
      </c>
      <c r="AA17" s="45">
        <f t="shared" si="9"/>
        <v>0</v>
      </c>
      <c r="AB17" s="56">
        <f t="shared" si="5"/>
        <v>0</v>
      </c>
      <c r="AC17" s="45">
        <f t="shared" si="9"/>
        <v>0</v>
      </c>
      <c r="AD17" s="45">
        <f t="shared" si="9"/>
        <v>0</v>
      </c>
      <c r="AE17" s="45">
        <f t="shared" si="9"/>
        <v>0</v>
      </c>
      <c r="AF17" s="45">
        <f t="shared" si="9"/>
        <v>0</v>
      </c>
      <c r="AG17" s="16">
        <f t="shared" si="6"/>
        <v>0</v>
      </c>
    </row>
    <row r="18" spans="7:33" ht="21" x14ac:dyDescent="0.15">
      <c r="G18" s="206" t="s">
        <v>35</v>
      </c>
      <c r="H18" s="4" t="s">
        <v>36</v>
      </c>
      <c r="I18" s="45">
        <f t="shared" si="0"/>
        <v>0</v>
      </c>
      <c r="J18" s="45">
        <f t="shared" si="1"/>
        <v>0</v>
      </c>
      <c r="K18" s="8"/>
      <c r="L18" s="6"/>
      <c r="M18" s="6"/>
      <c r="N18" s="6"/>
      <c r="O18" s="6"/>
      <c r="P18" s="56">
        <f t="shared" si="2"/>
        <v>0</v>
      </c>
      <c r="Q18" s="6"/>
      <c r="R18" s="6"/>
      <c r="S18" s="6"/>
      <c r="T18" s="202"/>
      <c r="U18" s="56">
        <f t="shared" si="7"/>
        <v>0</v>
      </c>
      <c r="V18" s="56">
        <f t="shared" si="8"/>
        <v>0</v>
      </c>
      <c r="W18" s="6"/>
      <c r="X18" s="6"/>
      <c r="Y18" s="6"/>
      <c r="Z18" s="6"/>
      <c r="AA18" s="6"/>
      <c r="AB18" s="56">
        <f t="shared" si="5"/>
        <v>0</v>
      </c>
      <c r="AC18" s="6"/>
      <c r="AD18" s="6"/>
      <c r="AE18" s="6"/>
      <c r="AF18" s="202"/>
      <c r="AG18" s="16">
        <f t="shared" si="6"/>
        <v>0</v>
      </c>
    </row>
    <row r="19" spans="7:33" ht="21" x14ac:dyDescent="0.15">
      <c r="G19" s="206" t="s">
        <v>37</v>
      </c>
      <c r="H19" s="4" t="s">
        <v>38</v>
      </c>
      <c r="I19" s="45">
        <f t="shared" si="0"/>
        <v>0</v>
      </c>
      <c r="J19" s="45">
        <f t="shared" si="1"/>
        <v>0</v>
      </c>
      <c r="K19" s="8"/>
      <c r="L19" s="6"/>
      <c r="M19" s="6"/>
      <c r="N19" s="6"/>
      <c r="O19" s="6"/>
      <c r="P19" s="56">
        <f t="shared" si="2"/>
        <v>0</v>
      </c>
      <c r="Q19" s="6"/>
      <c r="R19" s="6"/>
      <c r="S19" s="6"/>
      <c r="T19" s="202"/>
      <c r="U19" s="56">
        <f t="shared" si="7"/>
        <v>0</v>
      </c>
      <c r="V19" s="56">
        <f t="shared" si="8"/>
        <v>0</v>
      </c>
      <c r="W19" s="6"/>
      <c r="X19" s="6"/>
      <c r="Y19" s="6"/>
      <c r="Z19" s="6"/>
      <c r="AA19" s="6"/>
      <c r="AB19" s="56">
        <f t="shared" si="5"/>
        <v>0</v>
      </c>
      <c r="AC19" s="6"/>
      <c r="AD19" s="6"/>
      <c r="AE19" s="6"/>
      <c r="AF19" s="202"/>
      <c r="AG19" s="16">
        <f t="shared" si="6"/>
        <v>0</v>
      </c>
    </row>
    <row r="20" spans="7:33" x14ac:dyDescent="0.15">
      <c r="G20" s="205" t="s">
        <v>39</v>
      </c>
      <c r="H20" s="53" t="s">
        <v>40</v>
      </c>
      <c r="I20" s="45">
        <f t="shared" si="0"/>
        <v>0</v>
      </c>
      <c r="J20" s="45">
        <f t="shared" si="1"/>
        <v>0</v>
      </c>
      <c r="K20" s="8"/>
      <c r="L20" s="6"/>
      <c r="M20" s="6"/>
      <c r="N20" s="6"/>
      <c r="O20" s="6"/>
      <c r="P20" s="56">
        <f t="shared" si="2"/>
        <v>0</v>
      </c>
      <c r="Q20" s="6"/>
      <c r="R20" s="6"/>
      <c r="S20" s="6"/>
      <c r="T20" s="202"/>
      <c r="U20" s="56">
        <f t="shared" si="7"/>
        <v>0</v>
      </c>
      <c r="V20" s="56">
        <f t="shared" si="8"/>
        <v>0</v>
      </c>
      <c r="W20" s="6"/>
      <c r="X20" s="6"/>
      <c r="Y20" s="6"/>
      <c r="Z20" s="6"/>
      <c r="AA20" s="6"/>
      <c r="AB20" s="56">
        <f t="shared" si="5"/>
        <v>0</v>
      </c>
      <c r="AC20" s="6"/>
      <c r="AD20" s="6"/>
      <c r="AE20" s="6"/>
      <c r="AF20" s="202"/>
      <c r="AG20" s="16">
        <f t="shared" si="6"/>
        <v>0</v>
      </c>
    </row>
    <row r="21" spans="7:33" x14ac:dyDescent="0.15">
      <c r="G21" s="205" t="s">
        <v>41</v>
      </c>
      <c r="H21" s="4" t="s">
        <v>42</v>
      </c>
      <c r="I21" s="45">
        <f t="shared" si="0"/>
        <v>0</v>
      </c>
      <c r="J21" s="45">
        <f t="shared" si="1"/>
        <v>0</v>
      </c>
      <c r="K21" s="8"/>
      <c r="L21" s="6"/>
      <c r="M21" s="6"/>
      <c r="N21" s="6"/>
      <c r="O21" s="6"/>
      <c r="P21" s="56">
        <f t="shared" si="2"/>
        <v>0</v>
      </c>
      <c r="Q21" s="6"/>
      <c r="R21" s="6"/>
      <c r="S21" s="6"/>
      <c r="T21" s="202"/>
      <c r="U21" s="56">
        <f t="shared" si="7"/>
        <v>0</v>
      </c>
      <c r="V21" s="56">
        <f t="shared" si="8"/>
        <v>0</v>
      </c>
      <c r="W21" s="6"/>
      <c r="X21" s="6"/>
      <c r="Y21" s="6"/>
      <c r="Z21" s="6"/>
      <c r="AA21" s="6"/>
      <c r="AB21" s="56">
        <f t="shared" si="5"/>
        <v>0</v>
      </c>
      <c r="AC21" s="6"/>
      <c r="AD21" s="6"/>
      <c r="AE21" s="6"/>
      <c r="AF21" s="202"/>
      <c r="AG21" s="16">
        <f t="shared" si="6"/>
        <v>0</v>
      </c>
    </row>
    <row r="22" spans="7:33" x14ac:dyDescent="0.15">
      <c r="G22" s="205" t="s">
        <v>43</v>
      </c>
      <c r="H22" s="4" t="s">
        <v>44</v>
      </c>
      <c r="I22" s="45">
        <f t="shared" si="0"/>
        <v>0</v>
      </c>
      <c r="J22" s="45">
        <f t="shared" si="1"/>
        <v>0</v>
      </c>
      <c r="K22" s="8"/>
      <c r="L22" s="6"/>
      <c r="M22" s="6"/>
      <c r="N22" s="6"/>
      <c r="O22" s="6"/>
      <c r="P22" s="56">
        <f t="shared" si="2"/>
        <v>0</v>
      </c>
      <c r="Q22" s="6"/>
      <c r="R22" s="6"/>
      <c r="S22" s="6"/>
      <c r="T22" s="202"/>
      <c r="U22" s="56">
        <f t="shared" si="7"/>
        <v>0</v>
      </c>
      <c r="V22" s="56">
        <f t="shared" si="8"/>
        <v>0</v>
      </c>
      <c r="W22" s="6"/>
      <c r="X22" s="6"/>
      <c r="Y22" s="6"/>
      <c r="Z22" s="6"/>
      <c r="AA22" s="6"/>
      <c r="AB22" s="56">
        <f t="shared" si="5"/>
        <v>0</v>
      </c>
      <c r="AC22" s="6"/>
      <c r="AD22" s="6"/>
      <c r="AE22" s="6"/>
      <c r="AF22" s="202"/>
      <c r="AG22" s="16">
        <f t="shared" si="6"/>
        <v>0</v>
      </c>
    </row>
    <row r="23" spans="7:33" ht="21" x14ac:dyDescent="0.15">
      <c r="G23" s="205" t="s">
        <v>45</v>
      </c>
      <c r="H23" s="53" t="s">
        <v>46</v>
      </c>
      <c r="I23" s="45">
        <f t="shared" si="0"/>
        <v>0</v>
      </c>
      <c r="J23" s="45">
        <f t="shared" si="1"/>
        <v>0</v>
      </c>
      <c r="K23" s="8"/>
      <c r="L23" s="6"/>
      <c r="M23" s="6"/>
      <c r="N23" s="6"/>
      <c r="O23" s="6"/>
      <c r="P23" s="56">
        <f t="shared" si="2"/>
        <v>0</v>
      </c>
      <c r="Q23" s="6"/>
      <c r="R23" s="6"/>
      <c r="S23" s="6"/>
      <c r="T23" s="202"/>
      <c r="U23" s="56">
        <f t="shared" si="7"/>
        <v>0</v>
      </c>
      <c r="V23" s="56">
        <f t="shared" si="8"/>
        <v>0</v>
      </c>
      <c r="W23" s="6"/>
      <c r="X23" s="6"/>
      <c r="Y23" s="6"/>
      <c r="Z23" s="6"/>
      <c r="AA23" s="6"/>
      <c r="AB23" s="56">
        <f t="shared" si="5"/>
        <v>0</v>
      </c>
      <c r="AC23" s="6"/>
      <c r="AD23" s="6"/>
      <c r="AE23" s="6"/>
      <c r="AF23" s="202"/>
      <c r="AG23" s="16">
        <f t="shared" si="6"/>
        <v>0</v>
      </c>
    </row>
    <row r="24" spans="7:33" x14ac:dyDescent="0.15">
      <c r="G24" s="205" t="s">
        <v>47</v>
      </c>
      <c r="H24" s="4" t="s">
        <v>48</v>
      </c>
      <c r="I24" s="45">
        <f t="shared" si="0"/>
        <v>0</v>
      </c>
      <c r="J24" s="45">
        <f t="shared" si="1"/>
        <v>0</v>
      </c>
      <c r="K24" s="8"/>
      <c r="L24" s="6"/>
      <c r="M24" s="6"/>
      <c r="N24" s="6"/>
      <c r="O24" s="6"/>
      <c r="P24" s="56">
        <f t="shared" si="2"/>
        <v>0</v>
      </c>
      <c r="Q24" s="6"/>
      <c r="R24" s="6"/>
      <c r="S24" s="6"/>
      <c r="T24" s="202"/>
      <c r="U24" s="56">
        <f t="shared" si="7"/>
        <v>0</v>
      </c>
      <c r="V24" s="56">
        <f t="shared" si="8"/>
        <v>0</v>
      </c>
      <c r="W24" s="6"/>
      <c r="X24" s="6"/>
      <c r="Y24" s="6"/>
      <c r="Z24" s="6"/>
      <c r="AA24" s="6"/>
      <c r="AB24" s="56">
        <f t="shared" si="5"/>
        <v>0</v>
      </c>
      <c r="AC24" s="6"/>
      <c r="AD24" s="6"/>
      <c r="AE24" s="6"/>
      <c r="AF24" s="202"/>
      <c r="AG24" s="16">
        <f t="shared" si="6"/>
        <v>0</v>
      </c>
    </row>
    <row r="25" spans="7:33" x14ac:dyDescent="0.15">
      <c r="G25" s="205" t="s">
        <v>49</v>
      </c>
      <c r="H25" s="4" t="s">
        <v>50</v>
      </c>
      <c r="I25" s="45">
        <f t="shared" si="0"/>
        <v>0</v>
      </c>
      <c r="J25" s="45">
        <f t="shared" si="1"/>
        <v>0</v>
      </c>
      <c r="K25" s="8"/>
      <c r="L25" s="6"/>
      <c r="M25" s="6"/>
      <c r="N25" s="6"/>
      <c r="O25" s="6"/>
      <c r="P25" s="56">
        <f t="shared" si="2"/>
        <v>0</v>
      </c>
      <c r="Q25" s="6"/>
      <c r="R25" s="6"/>
      <c r="S25" s="6"/>
      <c r="T25" s="202"/>
      <c r="U25" s="56">
        <f t="shared" si="7"/>
        <v>0</v>
      </c>
      <c r="V25" s="56">
        <f t="shared" si="8"/>
        <v>0</v>
      </c>
      <c r="W25" s="6"/>
      <c r="X25" s="6"/>
      <c r="Y25" s="6"/>
      <c r="Z25" s="6"/>
      <c r="AA25" s="6"/>
      <c r="AB25" s="56">
        <f t="shared" si="5"/>
        <v>0</v>
      </c>
      <c r="AC25" s="6"/>
      <c r="AD25" s="6"/>
      <c r="AE25" s="6"/>
      <c r="AF25" s="202"/>
      <c r="AG25" s="16">
        <f t="shared" si="6"/>
        <v>0</v>
      </c>
    </row>
    <row r="26" spans="7:33" x14ac:dyDescent="0.15">
      <c r="G26" s="205" t="s">
        <v>51</v>
      </c>
      <c r="H26" s="53" t="s">
        <v>52</v>
      </c>
      <c r="I26" s="45">
        <f t="shared" si="0"/>
        <v>0</v>
      </c>
      <c r="J26" s="45">
        <f t="shared" si="1"/>
        <v>0</v>
      </c>
      <c r="K26" s="46">
        <f t="shared" ref="K26:AF26" si="10">SUM(K27:K30)</f>
        <v>0</v>
      </c>
      <c r="L26" s="46">
        <f t="shared" si="10"/>
        <v>0</v>
      </c>
      <c r="M26" s="46">
        <f t="shared" si="10"/>
        <v>0</v>
      </c>
      <c r="N26" s="46">
        <f t="shared" si="10"/>
        <v>0</v>
      </c>
      <c r="O26" s="46">
        <f t="shared" si="10"/>
        <v>0</v>
      </c>
      <c r="P26" s="56">
        <f t="shared" si="2"/>
        <v>0</v>
      </c>
      <c r="Q26" s="46">
        <f t="shared" si="10"/>
        <v>0</v>
      </c>
      <c r="R26" s="46">
        <f t="shared" si="10"/>
        <v>0</v>
      </c>
      <c r="S26" s="46">
        <f t="shared" si="10"/>
        <v>0</v>
      </c>
      <c r="T26" s="46">
        <f t="shared" si="10"/>
        <v>0</v>
      </c>
      <c r="U26" s="56">
        <f t="shared" si="7"/>
        <v>0</v>
      </c>
      <c r="V26" s="56">
        <f t="shared" si="8"/>
        <v>0</v>
      </c>
      <c r="W26" s="46">
        <f t="shared" si="10"/>
        <v>0</v>
      </c>
      <c r="X26" s="46">
        <f t="shared" si="10"/>
        <v>0</v>
      </c>
      <c r="Y26" s="46">
        <f t="shared" si="10"/>
        <v>0</v>
      </c>
      <c r="Z26" s="46">
        <f t="shared" si="10"/>
        <v>0</v>
      </c>
      <c r="AA26" s="46">
        <f t="shared" si="10"/>
        <v>0</v>
      </c>
      <c r="AB26" s="56">
        <f t="shared" si="5"/>
        <v>0</v>
      </c>
      <c r="AC26" s="46">
        <f t="shared" si="10"/>
        <v>0</v>
      </c>
      <c r="AD26" s="46">
        <f t="shared" si="10"/>
        <v>0</v>
      </c>
      <c r="AE26" s="46">
        <f t="shared" si="10"/>
        <v>0</v>
      </c>
      <c r="AF26" s="46">
        <f t="shared" si="10"/>
        <v>0</v>
      </c>
      <c r="AG26" s="16">
        <f t="shared" si="6"/>
        <v>0</v>
      </c>
    </row>
    <row r="27" spans="7:33" ht="21" x14ac:dyDescent="0.15">
      <c r="G27" s="206" t="s">
        <v>865</v>
      </c>
      <c r="H27" s="4" t="s">
        <v>53</v>
      </c>
      <c r="I27" s="45">
        <f t="shared" si="0"/>
        <v>0</v>
      </c>
      <c r="J27" s="45">
        <f t="shared" si="1"/>
        <v>0</v>
      </c>
      <c r="K27" s="8"/>
      <c r="L27" s="6"/>
      <c r="M27" s="6"/>
      <c r="N27" s="6"/>
      <c r="O27" s="6"/>
      <c r="P27" s="56">
        <f t="shared" si="2"/>
        <v>0</v>
      </c>
      <c r="Q27" s="6"/>
      <c r="R27" s="6"/>
      <c r="S27" s="6"/>
      <c r="T27" s="202"/>
      <c r="U27" s="56">
        <f t="shared" si="7"/>
        <v>0</v>
      </c>
      <c r="V27" s="56">
        <f t="shared" si="8"/>
        <v>0</v>
      </c>
      <c r="W27" s="6"/>
      <c r="X27" s="6"/>
      <c r="Y27" s="6"/>
      <c r="Z27" s="6"/>
      <c r="AA27" s="6"/>
      <c r="AB27" s="56">
        <f t="shared" si="5"/>
        <v>0</v>
      </c>
      <c r="AC27" s="6"/>
      <c r="AD27" s="6"/>
      <c r="AE27" s="6"/>
      <c r="AF27" s="202"/>
      <c r="AG27" s="16">
        <f t="shared" si="6"/>
        <v>0</v>
      </c>
    </row>
    <row r="28" spans="7:33" x14ac:dyDescent="0.15">
      <c r="G28" s="206" t="s">
        <v>54</v>
      </c>
      <c r="H28" s="4" t="s">
        <v>55</v>
      </c>
      <c r="I28" s="45">
        <f t="shared" si="0"/>
        <v>0</v>
      </c>
      <c r="J28" s="45">
        <f t="shared" si="1"/>
        <v>0</v>
      </c>
      <c r="K28" s="8"/>
      <c r="L28" s="6"/>
      <c r="M28" s="6"/>
      <c r="N28" s="6"/>
      <c r="O28" s="6"/>
      <c r="P28" s="56">
        <f t="shared" si="2"/>
        <v>0</v>
      </c>
      <c r="Q28" s="6"/>
      <c r="R28" s="6"/>
      <c r="S28" s="6"/>
      <c r="T28" s="202"/>
      <c r="U28" s="56">
        <f t="shared" si="7"/>
        <v>0</v>
      </c>
      <c r="V28" s="56">
        <f t="shared" si="8"/>
        <v>0</v>
      </c>
      <c r="W28" s="6"/>
      <c r="X28" s="6"/>
      <c r="Y28" s="6"/>
      <c r="Z28" s="6"/>
      <c r="AA28" s="6"/>
      <c r="AB28" s="56">
        <f t="shared" si="5"/>
        <v>0</v>
      </c>
      <c r="AC28" s="6"/>
      <c r="AD28" s="6"/>
      <c r="AE28" s="6"/>
      <c r="AF28" s="202"/>
      <c r="AG28" s="16">
        <f t="shared" si="6"/>
        <v>0</v>
      </c>
    </row>
    <row r="29" spans="7:33" x14ac:dyDescent="0.15">
      <c r="G29" s="206" t="s">
        <v>56</v>
      </c>
      <c r="H29" s="53" t="s">
        <v>57</v>
      </c>
      <c r="I29" s="45">
        <f t="shared" si="0"/>
        <v>0</v>
      </c>
      <c r="J29" s="45">
        <f t="shared" si="1"/>
        <v>0</v>
      </c>
      <c r="K29" s="8"/>
      <c r="L29" s="6"/>
      <c r="M29" s="6"/>
      <c r="N29" s="6"/>
      <c r="O29" s="6"/>
      <c r="P29" s="56">
        <f t="shared" si="2"/>
        <v>0</v>
      </c>
      <c r="Q29" s="6"/>
      <c r="R29" s="6"/>
      <c r="S29" s="6"/>
      <c r="T29" s="202"/>
      <c r="U29" s="56">
        <f t="shared" si="7"/>
        <v>0</v>
      </c>
      <c r="V29" s="56">
        <f t="shared" si="8"/>
        <v>0</v>
      </c>
      <c r="W29" s="6"/>
      <c r="X29" s="6"/>
      <c r="Y29" s="6"/>
      <c r="Z29" s="6"/>
      <c r="AA29" s="6"/>
      <c r="AB29" s="56">
        <f t="shared" si="5"/>
        <v>0</v>
      </c>
      <c r="AC29" s="6"/>
      <c r="AD29" s="6"/>
      <c r="AE29" s="6"/>
      <c r="AF29" s="202"/>
      <c r="AG29" s="16">
        <f t="shared" si="6"/>
        <v>0</v>
      </c>
    </row>
    <row r="30" spans="7:33" ht="21" x14ac:dyDescent="0.15">
      <c r="G30" s="206" t="s">
        <v>58</v>
      </c>
      <c r="H30" s="4" t="s">
        <v>59</v>
      </c>
      <c r="I30" s="45">
        <f t="shared" si="0"/>
        <v>0</v>
      </c>
      <c r="J30" s="45">
        <f t="shared" si="1"/>
        <v>0</v>
      </c>
      <c r="K30" s="8"/>
      <c r="L30" s="6"/>
      <c r="M30" s="6"/>
      <c r="N30" s="6"/>
      <c r="O30" s="6"/>
      <c r="P30" s="56">
        <f t="shared" si="2"/>
        <v>0</v>
      </c>
      <c r="Q30" s="6"/>
      <c r="R30" s="6"/>
      <c r="S30" s="6"/>
      <c r="T30" s="202"/>
      <c r="U30" s="56">
        <f t="shared" si="7"/>
        <v>0</v>
      </c>
      <c r="V30" s="56">
        <f t="shared" si="8"/>
        <v>0</v>
      </c>
      <c r="W30" s="6"/>
      <c r="X30" s="6"/>
      <c r="Y30" s="6"/>
      <c r="Z30" s="6"/>
      <c r="AA30" s="6"/>
      <c r="AB30" s="56">
        <f t="shared" si="5"/>
        <v>0</v>
      </c>
      <c r="AC30" s="6"/>
      <c r="AD30" s="6"/>
      <c r="AE30" s="6"/>
      <c r="AF30" s="202"/>
      <c r="AG30" s="16">
        <f t="shared" si="6"/>
        <v>0</v>
      </c>
    </row>
    <row r="31" spans="7:33" x14ac:dyDescent="0.15">
      <c r="G31" s="205" t="s">
        <v>60</v>
      </c>
      <c r="H31" s="4" t="s">
        <v>61</v>
      </c>
      <c r="I31" s="45">
        <f t="shared" si="0"/>
        <v>0</v>
      </c>
      <c r="J31" s="45">
        <f t="shared" si="1"/>
        <v>0</v>
      </c>
      <c r="K31" s="8"/>
      <c r="L31" s="6"/>
      <c r="M31" s="6"/>
      <c r="N31" s="6"/>
      <c r="O31" s="6"/>
      <c r="P31" s="56">
        <f t="shared" si="2"/>
        <v>0</v>
      </c>
      <c r="Q31" s="6"/>
      <c r="R31" s="6"/>
      <c r="S31" s="6"/>
      <c r="T31" s="202"/>
      <c r="U31" s="56">
        <f t="shared" si="7"/>
        <v>0</v>
      </c>
      <c r="V31" s="56">
        <f t="shared" si="8"/>
        <v>0</v>
      </c>
      <c r="W31" s="6"/>
      <c r="X31" s="6"/>
      <c r="Y31" s="6"/>
      <c r="Z31" s="6"/>
      <c r="AA31" s="6"/>
      <c r="AB31" s="56">
        <f t="shared" si="5"/>
        <v>0</v>
      </c>
      <c r="AC31" s="6"/>
      <c r="AD31" s="6"/>
      <c r="AE31" s="6"/>
      <c r="AF31" s="202"/>
      <c r="AG31" s="16">
        <f t="shared" si="6"/>
        <v>0</v>
      </c>
    </row>
    <row r="32" spans="7:33" x14ac:dyDescent="0.15">
      <c r="G32" s="205" t="s">
        <v>62</v>
      </c>
      <c r="H32" s="53" t="s">
        <v>63</v>
      </c>
      <c r="I32" s="45">
        <f t="shared" si="0"/>
        <v>0</v>
      </c>
      <c r="J32" s="45">
        <f t="shared" si="1"/>
        <v>0</v>
      </c>
      <c r="K32" s="8"/>
      <c r="L32" s="6"/>
      <c r="M32" s="6"/>
      <c r="N32" s="6"/>
      <c r="O32" s="6"/>
      <c r="P32" s="56">
        <f t="shared" si="2"/>
        <v>0</v>
      </c>
      <c r="Q32" s="6"/>
      <c r="R32" s="6"/>
      <c r="S32" s="6"/>
      <c r="T32" s="202"/>
      <c r="U32" s="56">
        <f t="shared" si="7"/>
        <v>0</v>
      </c>
      <c r="V32" s="56">
        <f t="shared" si="8"/>
        <v>0</v>
      </c>
      <c r="W32" s="6"/>
      <c r="X32" s="6"/>
      <c r="Y32" s="6"/>
      <c r="Z32" s="6"/>
      <c r="AA32" s="6"/>
      <c r="AB32" s="56">
        <f t="shared" si="5"/>
        <v>0</v>
      </c>
      <c r="AC32" s="6"/>
      <c r="AD32" s="6"/>
      <c r="AE32" s="6"/>
      <c r="AF32" s="202"/>
      <c r="AG32" s="16">
        <f t="shared" si="6"/>
        <v>0</v>
      </c>
    </row>
    <row r="33" spans="7:33" x14ac:dyDescent="0.15">
      <c r="G33" s="205" t="s">
        <v>64</v>
      </c>
      <c r="H33" s="4" t="s">
        <v>65</v>
      </c>
      <c r="I33" s="45">
        <f t="shared" si="0"/>
        <v>0</v>
      </c>
      <c r="J33" s="45">
        <f t="shared" si="1"/>
        <v>0</v>
      </c>
      <c r="K33" s="8"/>
      <c r="L33" s="6"/>
      <c r="M33" s="6"/>
      <c r="N33" s="6"/>
      <c r="O33" s="6"/>
      <c r="P33" s="56">
        <f t="shared" si="2"/>
        <v>0</v>
      </c>
      <c r="Q33" s="6"/>
      <c r="R33" s="6"/>
      <c r="S33" s="6"/>
      <c r="T33" s="202"/>
      <c r="U33" s="56">
        <f t="shared" si="7"/>
        <v>0</v>
      </c>
      <c r="V33" s="56">
        <f t="shared" si="8"/>
        <v>0</v>
      </c>
      <c r="W33" s="6"/>
      <c r="X33" s="6"/>
      <c r="Y33" s="6"/>
      <c r="Z33" s="6"/>
      <c r="AA33" s="6"/>
      <c r="AB33" s="56">
        <f t="shared" si="5"/>
        <v>0</v>
      </c>
      <c r="AC33" s="6"/>
      <c r="AD33" s="6"/>
      <c r="AE33" s="6"/>
      <c r="AF33" s="202"/>
      <c r="AG33" s="16">
        <f t="shared" si="6"/>
        <v>0</v>
      </c>
    </row>
    <row r="34" spans="7:33" x14ac:dyDescent="0.15">
      <c r="G34" s="205" t="s">
        <v>66</v>
      </c>
      <c r="H34" s="4" t="s">
        <v>67</v>
      </c>
      <c r="I34" s="45">
        <f t="shared" si="0"/>
        <v>0</v>
      </c>
      <c r="J34" s="45">
        <f t="shared" si="1"/>
        <v>0</v>
      </c>
      <c r="K34" s="46">
        <f t="shared" ref="K34:AF34" si="11">SUM(K35:K38)</f>
        <v>0</v>
      </c>
      <c r="L34" s="46">
        <f t="shared" si="11"/>
        <v>0</v>
      </c>
      <c r="M34" s="46">
        <f t="shared" si="11"/>
        <v>0</v>
      </c>
      <c r="N34" s="46">
        <f t="shared" si="11"/>
        <v>0</v>
      </c>
      <c r="O34" s="46">
        <f t="shared" si="11"/>
        <v>0</v>
      </c>
      <c r="P34" s="56">
        <f t="shared" si="2"/>
        <v>0</v>
      </c>
      <c r="Q34" s="46">
        <f t="shared" si="11"/>
        <v>0</v>
      </c>
      <c r="R34" s="46">
        <f t="shared" si="11"/>
        <v>0</v>
      </c>
      <c r="S34" s="46">
        <f t="shared" si="11"/>
        <v>0</v>
      </c>
      <c r="T34" s="46">
        <f t="shared" si="11"/>
        <v>0</v>
      </c>
      <c r="U34" s="56">
        <f t="shared" si="7"/>
        <v>0</v>
      </c>
      <c r="V34" s="56">
        <f t="shared" si="8"/>
        <v>0</v>
      </c>
      <c r="W34" s="46">
        <f t="shared" si="11"/>
        <v>0</v>
      </c>
      <c r="X34" s="46">
        <f t="shared" si="11"/>
        <v>0</v>
      </c>
      <c r="Y34" s="46">
        <f t="shared" si="11"/>
        <v>0</v>
      </c>
      <c r="Z34" s="46">
        <f t="shared" si="11"/>
        <v>0</v>
      </c>
      <c r="AA34" s="46">
        <f t="shared" si="11"/>
        <v>0</v>
      </c>
      <c r="AB34" s="56">
        <f t="shared" si="5"/>
        <v>0</v>
      </c>
      <c r="AC34" s="46">
        <f t="shared" si="11"/>
        <v>0</v>
      </c>
      <c r="AD34" s="46">
        <f t="shared" si="11"/>
        <v>0</v>
      </c>
      <c r="AE34" s="46">
        <f t="shared" si="11"/>
        <v>0</v>
      </c>
      <c r="AF34" s="46">
        <f t="shared" si="11"/>
        <v>0</v>
      </c>
      <c r="AG34" s="16">
        <f t="shared" si="6"/>
        <v>0</v>
      </c>
    </row>
    <row r="35" spans="7:33" ht="21" x14ac:dyDescent="0.15">
      <c r="G35" s="206" t="s">
        <v>68</v>
      </c>
      <c r="H35" s="53" t="s">
        <v>69</v>
      </c>
      <c r="I35" s="45">
        <f t="shared" si="0"/>
        <v>0</v>
      </c>
      <c r="J35" s="45">
        <f t="shared" si="1"/>
        <v>0</v>
      </c>
      <c r="K35" s="8"/>
      <c r="L35" s="6"/>
      <c r="M35" s="6"/>
      <c r="N35" s="6"/>
      <c r="O35" s="6"/>
      <c r="P35" s="56">
        <f t="shared" si="2"/>
        <v>0</v>
      </c>
      <c r="Q35" s="6"/>
      <c r="R35" s="6"/>
      <c r="S35" s="6"/>
      <c r="T35" s="202"/>
      <c r="U35" s="56">
        <f t="shared" si="7"/>
        <v>0</v>
      </c>
      <c r="V35" s="56">
        <f t="shared" si="8"/>
        <v>0</v>
      </c>
      <c r="W35" s="6"/>
      <c r="X35" s="6"/>
      <c r="Y35" s="6"/>
      <c r="Z35" s="6"/>
      <c r="AA35" s="6"/>
      <c r="AB35" s="56">
        <f t="shared" si="5"/>
        <v>0</v>
      </c>
      <c r="AC35" s="6"/>
      <c r="AD35" s="6"/>
      <c r="AE35" s="6"/>
      <c r="AF35" s="202"/>
      <c r="AG35" s="16">
        <f t="shared" si="6"/>
        <v>0</v>
      </c>
    </row>
    <row r="36" spans="7:33" x14ac:dyDescent="0.15">
      <c r="G36" s="206" t="s">
        <v>70</v>
      </c>
      <c r="H36" s="4" t="s">
        <v>71</v>
      </c>
      <c r="I36" s="45">
        <f t="shared" si="0"/>
        <v>0</v>
      </c>
      <c r="J36" s="45">
        <f t="shared" si="1"/>
        <v>0</v>
      </c>
      <c r="K36" s="8"/>
      <c r="L36" s="6"/>
      <c r="M36" s="6"/>
      <c r="N36" s="6"/>
      <c r="O36" s="6"/>
      <c r="P36" s="56">
        <f t="shared" si="2"/>
        <v>0</v>
      </c>
      <c r="Q36" s="6"/>
      <c r="R36" s="6"/>
      <c r="S36" s="6"/>
      <c r="T36" s="202"/>
      <c r="U36" s="56">
        <f t="shared" si="7"/>
        <v>0</v>
      </c>
      <c r="V36" s="56">
        <f t="shared" si="8"/>
        <v>0</v>
      </c>
      <c r="W36" s="6"/>
      <c r="X36" s="6"/>
      <c r="Y36" s="6"/>
      <c r="Z36" s="6"/>
      <c r="AA36" s="6"/>
      <c r="AB36" s="56">
        <f t="shared" si="5"/>
        <v>0</v>
      </c>
      <c r="AC36" s="6"/>
      <c r="AD36" s="6"/>
      <c r="AE36" s="6"/>
      <c r="AF36" s="202"/>
      <c r="AG36" s="16">
        <f t="shared" si="6"/>
        <v>0</v>
      </c>
    </row>
    <row r="37" spans="7:33" x14ac:dyDescent="0.15">
      <c r="G37" s="206" t="s">
        <v>72</v>
      </c>
      <c r="H37" s="4" t="s">
        <v>73</v>
      </c>
      <c r="I37" s="45">
        <f t="shared" si="0"/>
        <v>0</v>
      </c>
      <c r="J37" s="45">
        <f t="shared" si="1"/>
        <v>0</v>
      </c>
      <c r="K37" s="8"/>
      <c r="L37" s="6"/>
      <c r="M37" s="6"/>
      <c r="N37" s="6"/>
      <c r="O37" s="6"/>
      <c r="P37" s="56">
        <f t="shared" si="2"/>
        <v>0</v>
      </c>
      <c r="Q37" s="6"/>
      <c r="R37" s="6"/>
      <c r="S37" s="6"/>
      <c r="T37" s="202"/>
      <c r="U37" s="56">
        <f t="shared" si="7"/>
        <v>0</v>
      </c>
      <c r="V37" s="56">
        <f t="shared" si="8"/>
        <v>0</v>
      </c>
      <c r="W37" s="6"/>
      <c r="X37" s="6"/>
      <c r="Y37" s="6"/>
      <c r="Z37" s="6"/>
      <c r="AA37" s="6"/>
      <c r="AB37" s="56">
        <f t="shared" si="5"/>
        <v>0</v>
      </c>
      <c r="AC37" s="6"/>
      <c r="AD37" s="6"/>
      <c r="AE37" s="6"/>
      <c r="AF37" s="202"/>
      <c r="AG37" s="16">
        <f t="shared" si="6"/>
        <v>0</v>
      </c>
    </row>
    <row r="38" spans="7:33" ht="21" x14ac:dyDescent="0.15">
      <c r="G38" s="206" t="s">
        <v>74</v>
      </c>
      <c r="H38" s="53" t="s">
        <v>75</v>
      </c>
      <c r="I38" s="45">
        <f t="shared" si="0"/>
        <v>0</v>
      </c>
      <c r="J38" s="45">
        <f t="shared" si="1"/>
        <v>0</v>
      </c>
      <c r="K38" s="8"/>
      <c r="L38" s="6"/>
      <c r="M38" s="6"/>
      <c r="N38" s="6"/>
      <c r="O38" s="6"/>
      <c r="P38" s="56">
        <f t="shared" si="2"/>
        <v>0</v>
      </c>
      <c r="Q38" s="6"/>
      <c r="R38" s="6"/>
      <c r="S38" s="6"/>
      <c r="T38" s="202"/>
      <c r="U38" s="56">
        <f t="shared" si="7"/>
        <v>0</v>
      </c>
      <c r="V38" s="56">
        <f t="shared" si="8"/>
        <v>0</v>
      </c>
      <c r="W38" s="6"/>
      <c r="X38" s="6"/>
      <c r="Y38" s="6"/>
      <c r="Z38" s="6"/>
      <c r="AA38" s="6"/>
      <c r="AB38" s="56">
        <f t="shared" si="5"/>
        <v>0</v>
      </c>
      <c r="AC38" s="6"/>
      <c r="AD38" s="6"/>
      <c r="AE38" s="6"/>
      <c r="AF38" s="202"/>
      <c r="AG38" s="16">
        <f t="shared" si="6"/>
        <v>0</v>
      </c>
    </row>
    <row r="39" spans="7:33" x14ac:dyDescent="0.15">
      <c r="G39" s="205" t="s">
        <v>76</v>
      </c>
      <c r="H39" s="4" t="s">
        <v>77</v>
      </c>
      <c r="I39" s="45">
        <f t="shared" si="0"/>
        <v>0</v>
      </c>
      <c r="J39" s="45">
        <f t="shared" si="1"/>
        <v>0</v>
      </c>
      <c r="K39" s="8"/>
      <c r="L39" s="6"/>
      <c r="M39" s="6"/>
      <c r="N39" s="6"/>
      <c r="O39" s="6"/>
      <c r="P39" s="56">
        <f t="shared" si="2"/>
        <v>0</v>
      </c>
      <c r="Q39" s="6"/>
      <c r="R39" s="6"/>
      <c r="S39" s="6"/>
      <c r="T39" s="202"/>
      <c r="U39" s="56">
        <f t="shared" si="7"/>
        <v>0</v>
      </c>
      <c r="V39" s="56">
        <f t="shared" si="8"/>
        <v>0</v>
      </c>
      <c r="W39" s="6"/>
      <c r="X39" s="6"/>
      <c r="Y39" s="6"/>
      <c r="Z39" s="6"/>
      <c r="AA39" s="6"/>
      <c r="AB39" s="56">
        <f t="shared" si="5"/>
        <v>0</v>
      </c>
      <c r="AC39" s="6"/>
      <c r="AD39" s="6"/>
      <c r="AE39" s="6"/>
      <c r="AF39" s="202"/>
      <c r="AG39" s="16">
        <f t="shared" si="6"/>
        <v>0</v>
      </c>
    </row>
    <row r="40" spans="7:33" x14ac:dyDescent="0.15">
      <c r="G40" s="205" t="s">
        <v>78</v>
      </c>
      <c r="H40" s="4" t="s">
        <v>79</v>
      </c>
      <c r="I40" s="45">
        <f t="shared" si="0"/>
        <v>0</v>
      </c>
      <c r="J40" s="45">
        <f t="shared" si="1"/>
        <v>0</v>
      </c>
      <c r="K40" s="8"/>
      <c r="L40" s="6"/>
      <c r="M40" s="6"/>
      <c r="N40" s="6"/>
      <c r="O40" s="6"/>
      <c r="P40" s="56">
        <f t="shared" si="2"/>
        <v>0</v>
      </c>
      <c r="Q40" s="6"/>
      <c r="R40" s="6"/>
      <c r="S40" s="6"/>
      <c r="T40" s="202"/>
      <c r="U40" s="56">
        <f t="shared" si="7"/>
        <v>0</v>
      </c>
      <c r="V40" s="56">
        <f t="shared" si="8"/>
        <v>0</v>
      </c>
      <c r="W40" s="6"/>
      <c r="X40" s="6"/>
      <c r="Y40" s="6"/>
      <c r="Z40" s="6"/>
      <c r="AA40" s="6"/>
      <c r="AB40" s="56">
        <f t="shared" si="5"/>
        <v>0</v>
      </c>
      <c r="AC40" s="6"/>
      <c r="AD40" s="6"/>
      <c r="AE40" s="6"/>
      <c r="AF40" s="202"/>
      <c r="AG40" s="16">
        <f t="shared" si="6"/>
        <v>0</v>
      </c>
    </row>
    <row r="41" spans="7:33" x14ac:dyDescent="0.15">
      <c r="G41" s="205" t="s">
        <v>80</v>
      </c>
      <c r="H41" s="53" t="s">
        <v>81</v>
      </c>
      <c r="I41" s="45">
        <f t="shared" si="0"/>
        <v>0</v>
      </c>
      <c r="J41" s="45">
        <f t="shared" si="1"/>
        <v>0</v>
      </c>
      <c r="K41" s="8"/>
      <c r="L41" s="6"/>
      <c r="M41" s="6"/>
      <c r="N41" s="6"/>
      <c r="O41" s="6"/>
      <c r="P41" s="56">
        <f t="shared" si="2"/>
        <v>0</v>
      </c>
      <c r="Q41" s="6"/>
      <c r="R41" s="6"/>
      <c r="S41" s="6"/>
      <c r="T41" s="202"/>
      <c r="U41" s="56">
        <f t="shared" si="7"/>
        <v>0</v>
      </c>
      <c r="V41" s="56">
        <f t="shared" si="8"/>
        <v>0</v>
      </c>
      <c r="W41" s="6"/>
      <c r="X41" s="6"/>
      <c r="Y41" s="6"/>
      <c r="Z41" s="6"/>
      <c r="AA41" s="6"/>
      <c r="AB41" s="56">
        <f t="shared" si="5"/>
        <v>0</v>
      </c>
      <c r="AC41" s="6"/>
      <c r="AD41" s="6"/>
      <c r="AE41" s="6"/>
      <c r="AF41" s="202"/>
      <c r="AG41" s="16">
        <f t="shared" si="6"/>
        <v>0</v>
      </c>
    </row>
    <row r="42" spans="7:33" x14ac:dyDescent="0.15">
      <c r="G42" s="205" t="s">
        <v>82</v>
      </c>
      <c r="H42" s="4" t="s">
        <v>83</v>
      </c>
      <c r="I42" s="45">
        <f t="shared" si="0"/>
        <v>0</v>
      </c>
      <c r="J42" s="45">
        <f t="shared" si="1"/>
        <v>0</v>
      </c>
      <c r="K42" s="8"/>
      <c r="L42" s="6"/>
      <c r="M42" s="6"/>
      <c r="N42" s="6"/>
      <c r="O42" s="6"/>
      <c r="P42" s="56">
        <f t="shared" si="2"/>
        <v>0</v>
      </c>
      <c r="Q42" s="6"/>
      <c r="R42" s="6"/>
      <c r="S42" s="6"/>
      <c r="T42" s="202"/>
      <c r="U42" s="56">
        <f t="shared" si="7"/>
        <v>0</v>
      </c>
      <c r="V42" s="56">
        <f t="shared" si="8"/>
        <v>0</v>
      </c>
      <c r="W42" s="6"/>
      <c r="X42" s="6"/>
      <c r="Y42" s="6"/>
      <c r="Z42" s="6"/>
      <c r="AA42" s="6"/>
      <c r="AB42" s="56">
        <f t="shared" si="5"/>
        <v>0</v>
      </c>
      <c r="AC42" s="6"/>
      <c r="AD42" s="6"/>
      <c r="AE42" s="6"/>
      <c r="AF42" s="202"/>
      <c r="AG42" s="16">
        <f t="shared" si="6"/>
        <v>0</v>
      </c>
    </row>
    <row r="43" spans="7:33" x14ac:dyDescent="0.15">
      <c r="G43" s="205" t="s">
        <v>84</v>
      </c>
      <c r="H43" s="4" t="s">
        <v>85</v>
      </c>
      <c r="I43" s="45">
        <f t="shared" si="0"/>
        <v>0</v>
      </c>
      <c r="J43" s="45">
        <f t="shared" si="1"/>
        <v>0</v>
      </c>
      <c r="K43" s="8"/>
      <c r="L43" s="6"/>
      <c r="M43" s="6"/>
      <c r="N43" s="6"/>
      <c r="O43" s="6"/>
      <c r="P43" s="56">
        <f t="shared" si="2"/>
        <v>0</v>
      </c>
      <c r="Q43" s="6"/>
      <c r="R43" s="6"/>
      <c r="S43" s="6"/>
      <c r="T43" s="202"/>
      <c r="U43" s="56">
        <f t="shared" si="7"/>
        <v>0</v>
      </c>
      <c r="V43" s="56">
        <f t="shared" si="8"/>
        <v>0</v>
      </c>
      <c r="W43" s="6"/>
      <c r="X43" s="6"/>
      <c r="Y43" s="6"/>
      <c r="Z43" s="6"/>
      <c r="AA43" s="6"/>
      <c r="AB43" s="56">
        <f t="shared" si="5"/>
        <v>0</v>
      </c>
      <c r="AC43" s="6"/>
      <c r="AD43" s="6"/>
      <c r="AE43" s="6"/>
      <c r="AF43" s="202"/>
      <c r="AG43" s="16">
        <f t="shared" si="6"/>
        <v>0</v>
      </c>
    </row>
    <row r="44" spans="7:33" x14ac:dyDescent="0.15">
      <c r="G44" s="205" t="s">
        <v>86</v>
      </c>
      <c r="H44" s="53" t="s">
        <v>87</v>
      </c>
      <c r="I44" s="45">
        <f t="shared" si="0"/>
        <v>0</v>
      </c>
      <c r="J44" s="45">
        <f t="shared" si="1"/>
        <v>0</v>
      </c>
      <c r="K44" s="8"/>
      <c r="L44" s="6"/>
      <c r="M44" s="6"/>
      <c r="N44" s="6"/>
      <c r="O44" s="6"/>
      <c r="P44" s="56">
        <f t="shared" si="2"/>
        <v>0</v>
      </c>
      <c r="Q44" s="6"/>
      <c r="R44" s="6"/>
      <c r="S44" s="6"/>
      <c r="T44" s="202"/>
      <c r="U44" s="56">
        <f t="shared" si="7"/>
        <v>0</v>
      </c>
      <c r="V44" s="56">
        <f t="shared" si="8"/>
        <v>0</v>
      </c>
      <c r="W44" s="6"/>
      <c r="X44" s="6"/>
      <c r="Y44" s="6"/>
      <c r="Z44" s="6"/>
      <c r="AA44" s="6"/>
      <c r="AB44" s="56">
        <f t="shared" si="5"/>
        <v>0</v>
      </c>
      <c r="AC44" s="6"/>
      <c r="AD44" s="6"/>
      <c r="AE44" s="6"/>
      <c r="AF44" s="202"/>
      <c r="AG44" s="16">
        <f t="shared" si="6"/>
        <v>0</v>
      </c>
    </row>
    <row r="45" spans="7:33" x14ac:dyDescent="0.15">
      <c r="G45" s="205" t="s">
        <v>88</v>
      </c>
      <c r="H45" s="4" t="s">
        <v>89</v>
      </c>
      <c r="I45" s="45">
        <f t="shared" si="0"/>
        <v>0</v>
      </c>
      <c r="J45" s="45">
        <f t="shared" si="1"/>
        <v>0</v>
      </c>
      <c r="K45" s="46">
        <f t="shared" ref="K45:AF45" si="12">SUM(K46:K51)</f>
        <v>0</v>
      </c>
      <c r="L45" s="46">
        <f t="shared" si="12"/>
        <v>0</v>
      </c>
      <c r="M45" s="46">
        <f t="shared" si="12"/>
        <v>0</v>
      </c>
      <c r="N45" s="46">
        <f t="shared" si="12"/>
        <v>0</v>
      </c>
      <c r="O45" s="46">
        <f t="shared" si="12"/>
        <v>0</v>
      </c>
      <c r="P45" s="56">
        <f t="shared" si="2"/>
        <v>0</v>
      </c>
      <c r="Q45" s="46">
        <f t="shared" si="12"/>
        <v>0</v>
      </c>
      <c r="R45" s="46">
        <f t="shared" si="12"/>
        <v>0</v>
      </c>
      <c r="S45" s="46">
        <f t="shared" si="12"/>
        <v>0</v>
      </c>
      <c r="T45" s="46">
        <f t="shared" si="12"/>
        <v>0</v>
      </c>
      <c r="U45" s="56">
        <f t="shared" si="7"/>
        <v>0</v>
      </c>
      <c r="V45" s="56">
        <f t="shared" si="8"/>
        <v>0</v>
      </c>
      <c r="W45" s="46">
        <f t="shared" si="12"/>
        <v>0</v>
      </c>
      <c r="X45" s="46">
        <f t="shared" si="12"/>
        <v>0</v>
      </c>
      <c r="Y45" s="46">
        <f t="shared" si="12"/>
        <v>0</v>
      </c>
      <c r="Z45" s="46">
        <f t="shared" si="12"/>
        <v>0</v>
      </c>
      <c r="AA45" s="46">
        <f t="shared" si="12"/>
        <v>0</v>
      </c>
      <c r="AB45" s="56">
        <f t="shared" si="5"/>
        <v>0</v>
      </c>
      <c r="AC45" s="46">
        <f t="shared" si="12"/>
        <v>0</v>
      </c>
      <c r="AD45" s="46">
        <f t="shared" si="12"/>
        <v>0</v>
      </c>
      <c r="AE45" s="46">
        <f t="shared" si="12"/>
        <v>0</v>
      </c>
      <c r="AF45" s="46">
        <f t="shared" si="12"/>
        <v>0</v>
      </c>
      <c r="AG45" s="16">
        <f t="shared" si="6"/>
        <v>0</v>
      </c>
    </row>
    <row r="46" spans="7:33" ht="21" x14ac:dyDescent="0.15">
      <c r="G46" s="206" t="s">
        <v>90</v>
      </c>
      <c r="H46" s="4" t="s">
        <v>91</v>
      </c>
      <c r="I46" s="45">
        <f t="shared" si="0"/>
        <v>0</v>
      </c>
      <c r="J46" s="45">
        <f t="shared" si="1"/>
        <v>0</v>
      </c>
      <c r="K46" s="8"/>
      <c r="L46" s="6"/>
      <c r="M46" s="6"/>
      <c r="N46" s="6"/>
      <c r="O46" s="6"/>
      <c r="P46" s="56">
        <f t="shared" si="2"/>
        <v>0</v>
      </c>
      <c r="Q46" s="6"/>
      <c r="R46" s="6"/>
      <c r="S46" s="6"/>
      <c r="T46" s="202"/>
      <c r="U46" s="56">
        <f t="shared" si="7"/>
        <v>0</v>
      </c>
      <c r="V46" s="56">
        <f t="shared" si="8"/>
        <v>0</v>
      </c>
      <c r="W46" s="6"/>
      <c r="X46" s="6"/>
      <c r="Y46" s="6"/>
      <c r="Z46" s="6"/>
      <c r="AA46" s="6"/>
      <c r="AB46" s="56">
        <f t="shared" si="5"/>
        <v>0</v>
      </c>
      <c r="AC46" s="6"/>
      <c r="AD46" s="6"/>
      <c r="AE46" s="6"/>
      <c r="AF46" s="202"/>
      <c r="AG46" s="16">
        <f t="shared" si="6"/>
        <v>0</v>
      </c>
    </row>
    <row r="47" spans="7:33" x14ac:dyDescent="0.15">
      <c r="G47" s="206" t="s">
        <v>92</v>
      </c>
      <c r="H47" s="53" t="s">
        <v>93</v>
      </c>
      <c r="I47" s="45">
        <f t="shared" si="0"/>
        <v>0</v>
      </c>
      <c r="J47" s="45">
        <f t="shared" si="1"/>
        <v>0</v>
      </c>
      <c r="K47" s="8"/>
      <c r="L47" s="6"/>
      <c r="M47" s="6"/>
      <c r="N47" s="6"/>
      <c r="O47" s="6"/>
      <c r="P47" s="56">
        <f t="shared" si="2"/>
        <v>0</v>
      </c>
      <c r="Q47" s="6"/>
      <c r="R47" s="6"/>
      <c r="S47" s="6"/>
      <c r="T47" s="202"/>
      <c r="U47" s="56">
        <f t="shared" si="7"/>
        <v>0</v>
      </c>
      <c r="V47" s="56">
        <f t="shared" si="8"/>
        <v>0</v>
      </c>
      <c r="W47" s="6"/>
      <c r="X47" s="6"/>
      <c r="Y47" s="6"/>
      <c r="Z47" s="6"/>
      <c r="AA47" s="6"/>
      <c r="AB47" s="56">
        <f t="shared" si="5"/>
        <v>0</v>
      </c>
      <c r="AC47" s="6"/>
      <c r="AD47" s="6"/>
      <c r="AE47" s="6"/>
      <c r="AF47" s="202"/>
      <c r="AG47" s="16">
        <f t="shared" si="6"/>
        <v>0</v>
      </c>
    </row>
    <row r="48" spans="7:33" x14ac:dyDescent="0.15">
      <c r="G48" s="206" t="s">
        <v>94</v>
      </c>
      <c r="H48" s="4" t="s">
        <v>95</v>
      </c>
      <c r="I48" s="45">
        <f t="shared" si="0"/>
        <v>0</v>
      </c>
      <c r="J48" s="45">
        <f t="shared" si="1"/>
        <v>0</v>
      </c>
      <c r="K48" s="8"/>
      <c r="L48" s="6"/>
      <c r="M48" s="6"/>
      <c r="N48" s="6"/>
      <c r="O48" s="6"/>
      <c r="P48" s="56">
        <f t="shared" si="2"/>
        <v>0</v>
      </c>
      <c r="Q48" s="6"/>
      <c r="R48" s="6"/>
      <c r="S48" s="6"/>
      <c r="T48" s="202"/>
      <c r="U48" s="56">
        <f t="shared" si="7"/>
        <v>0</v>
      </c>
      <c r="V48" s="56">
        <f t="shared" si="8"/>
        <v>0</v>
      </c>
      <c r="W48" s="6"/>
      <c r="X48" s="6"/>
      <c r="Y48" s="6"/>
      <c r="Z48" s="6"/>
      <c r="AA48" s="6"/>
      <c r="AB48" s="56">
        <f t="shared" si="5"/>
        <v>0</v>
      </c>
      <c r="AC48" s="6"/>
      <c r="AD48" s="6"/>
      <c r="AE48" s="6"/>
      <c r="AF48" s="202"/>
      <c r="AG48" s="16">
        <f t="shared" si="6"/>
        <v>0</v>
      </c>
    </row>
    <row r="49" spans="7:33" x14ac:dyDescent="0.15">
      <c r="G49" s="206" t="s">
        <v>96</v>
      </c>
      <c r="H49" s="4" t="s">
        <v>97</v>
      </c>
      <c r="I49" s="45">
        <f t="shared" si="0"/>
        <v>0</v>
      </c>
      <c r="J49" s="45">
        <f t="shared" si="1"/>
        <v>0</v>
      </c>
      <c r="K49" s="8"/>
      <c r="L49" s="6"/>
      <c r="M49" s="6"/>
      <c r="N49" s="6"/>
      <c r="O49" s="6"/>
      <c r="P49" s="56">
        <f t="shared" si="2"/>
        <v>0</v>
      </c>
      <c r="Q49" s="6"/>
      <c r="R49" s="6"/>
      <c r="S49" s="6"/>
      <c r="T49" s="202"/>
      <c r="U49" s="56">
        <f t="shared" si="7"/>
        <v>0</v>
      </c>
      <c r="V49" s="56">
        <f t="shared" si="8"/>
        <v>0</v>
      </c>
      <c r="W49" s="6"/>
      <c r="X49" s="6"/>
      <c r="Y49" s="6"/>
      <c r="Z49" s="6"/>
      <c r="AA49" s="6"/>
      <c r="AB49" s="56">
        <f t="shared" si="5"/>
        <v>0</v>
      </c>
      <c r="AC49" s="6"/>
      <c r="AD49" s="6"/>
      <c r="AE49" s="6"/>
      <c r="AF49" s="202"/>
      <c r="AG49" s="16">
        <f t="shared" si="6"/>
        <v>0</v>
      </c>
    </row>
    <row r="50" spans="7:33" x14ac:dyDescent="0.15">
      <c r="G50" s="206" t="s">
        <v>98</v>
      </c>
      <c r="H50" s="53" t="s">
        <v>99</v>
      </c>
      <c r="I50" s="45">
        <f t="shared" si="0"/>
        <v>0</v>
      </c>
      <c r="J50" s="45">
        <f t="shared" si="1"/>
        <v>0</v>
      </c>
      <c r="K50" s="8"/>
      <c r="L50" s="6"/>
      <c r="M50" s="6"/>
      <c r="N50" s="6"/>
      <c r="O50" s="6"/>
      <c r="P50" s="56">
        <f t="shared" si="2"/>
        <v>0</v>
      </c>
      <c r="Q50" s="6"/>
      <c r="R50" s="6"/>
      <c r="S50" s="6"/>
      <c r="T50" s="202"/>
      <c r="U50" s="56">
        <f t="shared" si="7"/>
        <v>0</v>
      </c>
      <c r="V50" s="56">
        <f t="shared" si="8"/>
        <v>0</v>
      </c>
      <c r="W50" s="6"/>
      <c r="X50" s="6"/>
      <c r="Y50" s="6"/>
      <c r="Z50" s="6"/>
      <c r="AA50" s="6"/>
      <c r="AB50" s="56">
        <f t="shared" si="5"/>
        <v>0</v>
      </c>
      <c r="AC50" s="6"/>
      <c r="AD50" s="6"/>
      <c r="AE50" s="6"/>
      <c r="AF50" s="202"/>
      <c r="AG50" s="16">
        <f t="shared" si="6"/>
        <v>0</v>
      </c>
    </row>
    <row r="51" spans="7:33" x14ac:dyDescent="0.15">
      <c r="G51" s="206" t="s">
        <v>100</v>
      </c>
      <c r="H51" s="4" t="s">
        <v>101</v>
      </c>
      <c r="I51" s="45">
        <f t="shared" si="0"/>
        <v>0</v>
      </c>
      <c r="J51" s="45">
        <f t="shared" si="1"/>
        <v>0</v>
      </c>
      <c r="K51" s="8"/>
      <c r="L51" s="6"/>
      <c r="M51" s="6"/>
      <c r="N51" s="6"/>
      <c r="O51" s="6"/>
      <c r="P51" s="56">
        <f t="shared" si="2"/>
        <v>0</v>
      </c>
      <c r="Q51" s="6"/>
      <c r="R51" s="6"/>
      <c r="S51" s="6"/>
      <c r="T51" s="202"/>
      <c r="U51" s="56">
        <f t="shared" si="7"/>
        <v>0</v>
      </c>
      <c r="V51" s="56">
        <f t="shared" si="8"/>
        <v>0</v>
      </c>
      <c r="W51" s="6"/>
      <c r="X51" s="6"/>
      <c r="Y51" s="6"/>
      <c r="Z51" s="6"/>
      <c r="AA51" s="6"/>
      <c r="AB51" s="56">
        <f t="shared" si="5"/>
        <v>0</v>
      </c>
      <c r="AC51" s="6"/>
      <c r="AD51" s="6"/>
      <c r="AE51" s="6"/>
      <c r="AF51" s="202"/>
      <c r="AG51" s="16">
        <f t="shared" si="6"/>
        <v>0</v>
      </c>
    </row>
    <row r="52" spans="7:33" x14ac:dyDescent="0.15">
      <c r="G52" s="205" t="s">
        <v>102</v>
      </c>
      <c r="H52" s="4" t="s">
        <v>638</v>
      </c>
      <c r="I52" s="45">
        <f t="shared" si="0"/>
        <v>0</v>
      </c>
      <c r="J52" s="45">
        <f t="shared" si="1"/>
        <v>0</v>
      </c>
      <c r="K52" s="8"/>
      <c r="L52" s="6"/>
      <c r="M52" s="6"/>
      <c r="N52" s="6"/>
      <c r="O52" s="6"/>
      <c r="P52" s="56">
        <f t="shared" si="2"/>
        <v>0</v>
      </c>
      <c r="Q52" s="6"/>
      <c r="R52" s="6"/>
      <c r="S52" s="6"/>
      <c r="T52" s="202"/>
      <c r="U52" s="56">
        <f t="shared" si="7"/>
        <v>0</v>
      </c>
      <c r="V52" s="56">
        <f t="shared" si="8"/>
        <v>0</v>
      </c>
      <c r="W52" s="6"/>
      <c r="X52" s="6"/>
      <c r="Y52" s="6"/>
      <c r="Z52" s="6"/>
      <c r="AA52" s="6"/>
      <c r="AB52" s="56">
        <f t="shared" si="5"/>
        <v>0</v>
      </c>
      <c r="AC52" s="6"/>
      <c r="AD52" s="6"/>
      <c r="AE52" s="6"/>
      <c r="AF52" s="202"/>
      <c r="AG52" s="16">
        <f t="shared" si="6"/>
        <v>0</v>
      </c>
    </row>
    <row r="53" spans="7:33" x14ac:dyDescent="0.15">
      <c r="G53" s="205" t="s">
        <v>103</v>
      </c>
      <c r="H53" s="53" t="s">
        <v>104</v>
      </c>
      <c r="I53" s="45">
        <f t="shared" si="0"/>
        <v>0</v>
      </c>
      <c r="J53" s="45">
        <f t="shared" si="1"/>
        <v>0</v>
      </c>
      <c r="K53" s="46">
        <f t="shared" ref="K53:AF53" si="13">SUM(K54:K55)</f>
        <v>0</v>
      </c>
      <c r="L53" s="46">
        <f t="shared" si="13"/>
        <v>0</v>
      </c>
      <c r="M53" s="46">
        <f t="shared" si="13"/>
        <v>0</v>
      </c>
      <c r="N53" s="46">
        <f t="shared" si="13"/>
        <v>0</v>
      </c>
      <c r="O53" s="46">
        <f t="shared" si="13"/>
        <v>0</v>
      </c>
      <c r="P53" s="56">
        <f t="shared" si="2"/>
        <v>0</v>
      </c>
      <c r="Q53" s="46">
        <f t="shared" si="13"/>
        <v>0</v>
      </c>
      <c r="R53" s="46">
        <f t="shared" si="13"/>
        <v>0</v>
      </c>
      <c r="S53" s="46">
        <f t="shared" si="13"/>
        <v>0</v>
      </c>
      <c r="T53" s="46">
        <f t="shared" si="13"/>
        <v>0</v>
      </c>
      <c r="U53" s="56">
        <f t="shared" si="7"/>
        <v>0</v>
      </c>
      <c r="V53" s="56">
        <f t="shared" si="8"/>
        <v>0</v>
      </c>
      <c r="W53" s="46">
        <f t="shared" si="13"/>
        <v>0</v>
      </c>
      <c r="X53" s="46">
        <f t="shared" si="13"/>
        <v>0</v>
      </c>
      <c r="Y53" s="46">
        <f t="shared" si="13"/>
        <v>0</v>
      </c>
      <c r="Z53" s="46">
        <f t="shared" si="13"/>
        <v>0</v>
      </c>
      <c r="AA53" s="46">
        <f t="shared" si="13"/>
        <v>0</v>
      </c>
      <c r="AB53" s="56">
        <f t="shared" si="5"/>
        <v>0</v>
      </c>
      <c r="AC53" s="46">
        <f t="shared" si="13"/>
        <v>0</v>
      </c>
      <c r="AD53" s="46">
        <f t="shared" si="13"/>
        <v>0</v>
      </c>
      <c r="AE53" s="46">
        <f t="shared" si="13"/>
        <v>0</v>
      </c>
      <c r="AF53" s="46">
        <f t="shared" si="13"/>
        <v>0</v>
      </c>
      <c r="AG53" s="16">
        <f t="shared" si="6"/>
        <v>0</v>
      </c>
    </row>
    <row r="54" spans="7:33" ht="21" x14ac:dyDescent="0.15">
      <c r="G54" s="206" t="s">
        <v>866</v>
      </c>
      <c r="H54" s="4" t="s">
        <v>105</v>
      </c>
      <c r="I54" s="45">
        <f t="shared" si="0"/>
        <v>0</v>
      </c>
      <c r="J54" s="45">
        <f t="shared" si="1"/>
        <v>0</v>
      </c>
      <c r="K54" s="8"/>
      <c r="L54" s="6"/>
      <c r="M54" s="6"/>
      <c r="N54" s="6"/>
      <c r="O54" s="6"/>
      <c r="P54" s="56">
        <f t="shared" si="2"/>
        <v>0</v>
      </c>
      <c r="Q54" s="6"/>
      <c r="R54" s="6"/>
      <c r="S54" s="6"/>
      <c r="T54" s="202"/>
      <c r="U54" s="56">
        <f t="shared" si="7"/>
        <v>0</v>
      </c>
      <c r="V54" s="56">
        <f t="shared" si="8"/>
        <v>0</v>
      </c>
      <c r="W54" s="6"/>
      <c r="X54" s="6"/>
      <c r="Y54" s="6"/>
      <c r="Z54" s="6"/>
      <c r="AA54" s="6"/>
      <c r="AB54" s="56">
        <f t="shared" si="5"/>
        <v>0</v>
      </c>
      <c r="AC54" s="6"/>
      <c r="AD54" s="6"/>
      <c r="AE54" s="6"/>
      <c r="AF54" s="202"/>
      <c r="AG54" s="16">
        <f t="shared" si="6"/>
        <v>0</v>
      </c>
    </row>
    <row r="55" spans="7:33" ht="21" x14ac:dyDescent="0.15">
      <c r="G55" s="206" t="s">
        <v>106</v>
      </c>
      <c r="H55" s="4" t="s">
        <v>107</v>
      </c>
      <c r="I55" s="45">
        <f t="shared" si="0"/>
        <v>0</v>
      </c>
      <c r="J55" s="45">
        <f t="shared" si="1"/>
        <v>0</v>
      </c>
      <c r="K55" s="8"/>
      <c r="L55" s="6"/>
      <c r="M55" s="6"/>
      <c r="N55" s="6"/>
      <c r="O55" s="6"/>
      <c r="P55" s="56">
        <f t="shared" si="2"/>
        <v>0</v>
      </c>
      <c r="Q55" s="6"/>
      <c r="R55" s="6"/>
      <c r="S55" s="6"/>
      <c r="T55" s="202"/>
      <c r="U55" s="56">
        <f t="shared" si="7"/>
        <v>0</v>
      </c>
      <c r="V55" s="56">
        <f t="shared" si="8"/>
        <v>0</v>
      </c>
      <c r="W55" s="6"/>
      <c r="X55" s="6"/>
      <c r="Y55" s="6"/>
      <c r="Z55" s="6"/>
      <c r="AA55" s="6"/>
      <c r="AB55" s="56">
        <f t="shared" si="5"/>
        <v>0</v>
      </c>
      <c r="AC55" s="6"/>
      <c r="AD55" s="6"/>
      <c r="AE55" s="6"/>
      <c r="AF55" s="202"/>
      <c r="AG55" s="16">
        <f t="shared" si="6"/>
        <v>0</v>
      </c>
    </row>
    <row r="56" spans="7:33" x14ac:dyDescent="0.15">
      <c r="G56" s="205" t="s">
        <v>108</v>
      </c>
      <c r="H56" s="53" t="s">
        <v>109</v>
      </c>
      <c r="I56" s="45">
        <f t="shared" si="0"/>
        <v>0</v>
      </c>
      <c r="J56" s="45">
        <f t="shared" si="1"/>
        <v>0</v>
      </c>
      <c r="K56" s="8"/>
      <c r="L56" s="6"/>
      <c r="M56" s="6"/>
      <c r="N56" s="6"/>
      <c r="O56" s="6"/>
      <c r="P56" s="56">
        <f t="shared" si="2"/>
        <v>0</v>
      </c>
      <c r="Q56" s="6"/>
      <c r="R56" s="6"/>
      <c r="S56" s="6"/>
      <c r="T56" s="202"/>
      <c r="U56" s="56">
        <f t="shared" si="7"/>
        <v>0</v>
      </c>
      <c r="V56" s="56">
        <f t="shared" si="8"/>
        <v>0</v>
      </c>
      <c r="W56" s="6"/>
      <c r="X56" s="6"/>
      <c r="Y56" s="6"/>
      <c r="Z56" s="6"/>
      <c r="AA56" s="6"/>
      <c r="AB56" s="56">
        <f t="shared" si="5"/>
        <v>0</v>
      </c>
      <c r="AC56" s="6"/>
      <c r="AD56" s="6"/>
      <c r="AE56" s="6"/>
      <c r="AF56" s="202"/>
      <c r="AG56" s="16">
        <f t="shared" si="6"/>
        <v>0</v>
      </c>
    </row>
    <row r="57" spans="7:33" x14ac:dyDescent="0.15">
      <c r="G57" s="205" t="s">
        <v>110</v>
      </c>
      <c r="H57" s="4" t="s">
        <v>111</v>
      </c>
      <c r="I57" s="45">
        <f t="shared" si="0"/>
        <v>0</v>
      </c>
      <c r="J57" s="45">
        <f t="shared" si="1"/>
        <v>0</v>
      </c>
      <c r="K57" s="8"/>
      <c r="L57" s="6"/>
      <c r="M57" s="6"/>
      <c r="N57" s="6"/>
      <c r="O57" s="6"/>
      <c r="P57" s="56">
        <f t="shared" si="2"/>
        <v>0</v>
      </c>
      <c r="Q57" s="6"/>
      <c r="R57" s="6"/>
      <c r="S57" s="6"/>
      <c r="T57" s="202"/>
      <c r="U57" s="56">
        <f t="shared" si="7"/>
        <v>0</v>
      </c>
      <c r="V57" s="56">
        <f t="shared" si="8"/>
        <v>0</v>
      </c>
      <c r="W57" s="6"/>
      <c r="X57" s="6"/>
      <c r="Y57" s="6"/>
      <c r="Z57" s="6"/>
      <c r="AA57" s="6"/>
      <c r="AB57" s="56">
        <f t="shared" si="5"/>
        <v>0</v>
      </c>
      <c r="AC57" s="6"/>
      <c r="AD57" s="6"/>
      <c r="AE57" s="6"/>
      <c r="AF57" s="202"/>
      <c r="AG57" s="16">
        <f t="shared" si="6"/>
        <v>0</v>
      </c>
    </row>
    <row r="58" spans="7:33" x14ac:dyDescent="0.15">
      <c r="G58" s="205" t="s">
        <v>112</v>
      </c>
      <c r="H58" s="4" t="s">
        <v>113</v>
      </c>
      <c r="I58" s="45">
        <f t="shared" si="0"/>
        <v>0</v>
      </c>
      <c r="J58" s="45">
        <f t="shared" si="1"/>
        <v>0</v>
      </c>
      <c r="K58" s="8"/>
      <c r="L58" s="6"/>
      <c r="M58" s="6"/>
      <c r="N58" s="6"/>
      <c r="O58" s="6"/>
      <c r="P58" s="56">
        <f t="shared" si="2"/>
        <v>0</v>
      </c>
      <c r="Q58" s="6"/>
      <c r="R58" s="6"/>
      <c r="S58" s="6"/>
      <c r="T58" s="202"/>
      <c r="U58" s="56">
        <f t="shared" si="7"/>
        <v>0</v>
      </c>
      <c r="V58" s="56">
        <f t="shared" si="8"/>
        <v>0</v>
      </c>
      <c r="W58" s="6"/>
      <c r="X58" s="6"/>
      <c r="Y58" s="6"/>
      <c r="Z58" s="6"/>
      <c r="AA58" s="6"/>
      <c r="AB58" s="56">
        <f t="shared" si="5"/>
        <v>0</v>
      </c>
      <c r="AC58" s="6"/>
      <c r="AD58" s="6"/>
      <c r="AE58" s="6"/>
      <c r="AF58" s="202"/>
      <c r="AG58" s="16">
        <f t="shared" si="6"/>
        <v>0</v>
      </c>
    </row>
    <row r="59" spans="7:33" x14ac:dyDescent="0.15">
      <c r="G59" s="205" t="s">
        <v>114</v>
      </c>
      <c r="H59" s="53" t="s">
        <v>115</v>
      </c>
      <c r="I59" s="45">
        <f t="shared" si="0"/>
        <v>0</v>
      </c>
      <c r="J59" s="45">
        <f t="shared" si="1"/>
        <v>0</v>
      </c>
      <c r="K59" s="8"/>
      <c r="L59" s="6"/>
      <c r="M59" s="6"/>
      <c r="N59" s="6"/>
      <c r="O59" s="6"/>
      <c r="P59" s="56">
        <f t="shared" si="2"/>
        <v>0</v>
      </c>
      <c r="Q59" s="6"/>
      <c r="R59" s="6"/>
      <c r="S59" s="6"/>
      <c r="T59" s="202"/>
      <c r="U59" s="56">
        <f t="shared" si="7"/>
        <v>0</v>
      </c>
      <c r="V59" s="56">
        <f t="shared" si="8"/>
        <v>0</v>
      </c>
      <c r="W59" s="6"/>
      <c r="X59" s="6"/>
      <c r="Y59" s="6"/>
      <c r="Z59" s="6"/>
      <c r="AA59" s="6"/>
      <c r="AB59" s="56">
        <f t="shared" si="5"/>
        <v>0</v>
      </c>
      <c r="AC59" s="6"/>
      <c r="AD59" s="6"/>
      <c r="AE59" s="6"/>
      <c r="AF59" s="202"/>
      <c r="AG59" s="16">
        <f t="shared" si="6"/>
        <v>0</v>
      </c>
    </row>
    <row r="60" spans="7:33" x14ac:dyDescent="0.15">
      <c r="G60" s="205" t="s">
        <v>116</v>
      </c>
      <c r="H60" s="4" t="s">
        <v>117</v>
      </c>
      <c r="I60" s="45">
        <f t="shared" si="0"/>
        <v>0</v>
      </c>
      <c r="J60" s="45">
        <f t="shared" si="1"/>
        <v>0</v>
      </c>
      <c r="K60" s="8"/>
      <c r="L60" s="6"/>
      <c r="M60" s="6"/>
      <c r="N60" s="6"/>
      <c r="O60" s="6"/>
      <c r="P60" s="56">
        <f t="shared" si="2"/>
        <v>0</v>
      </c>
      <c r="Q60" s="6"/>
      <c r="R60" s="6"/>
      <c r="S60" s="6"/>
      <c r="T60" s="202"/>
      <c r="U60" s="56">
        <f t="shared" si="7"/>
        <v>0</v>
      </c>
      <c r="V60" s="56">
        <f t="shared" si="8"/>
        <v>0</v>
      </c>
      <c r="W60" s="6"/>
      <c r="X60" s="6"/>
      <c r="Y60" s="6"/>
      <c r="Z60" s="6"/>
      <c r="AA60" s="6"/>
      <c r="AB60" s="56">
        <f t="shared" si="5"/>
        <v>0</v>
      </c>
      <c r="AC60" s="6"/>
      <c r="AD60" s="6"/>
      <c r="AE60" s="6"/>
      <c r="AF60" s="202"/>
      <c r="AG60" s="16">
        <f t="shared" si="6"/>
        <v>0</v>
      </c>
    </row>
    <row r="61" spans="7:33" x14ac:dyDescent="0.15">
      <c r="G61" s="205" t="s">
        <v>118</v>
      </c>
      <c r="H61" s="4" t="s">
        <v>119</v>
      </c>
      <c r="I61" s="45">
        <f t="shared" si="0"/>
        <v>0</v>
      </c>
      <c r="J61" s="45">
        <f t="shared" si="1"/>
        <v>0</v>
      </c>
      <c r="K61" s="8"/>
      <c r="L61" s="6"/>
      <c r="M61" s="6"/>
      <c r="N61" s="6"/>
      <c r="O61" s="6"/>
      <c r="P61" s="56">
        <f t="shared" si="2"/>
        <v>0</v>
      </c>
      <c r="Q61" s="6"/>
      <c r="R61" s="6"/>
      <c r="S61" s="6"/>
      <c r="T61" s="202"/>
      <c r="U61" s="56">
        <f t="shared" si="7"/>
        <v>0</v>
      </c>
      <c r="V61" s="56">
        <f t="shared" si="8"/>
        <v>0</v>
      </c>
      <c r="W61" s="6"/>
      <c r="X61" s="6"/>
      <c r="Y61" s="6"/>
      <c r="Z61" s="6"/>
      <c r="AA61" s="6"/>
      <c r="AB61" s="56">
        <f t="shared" si="5"/>
        <v>0</v>
      </c>
      <c r="AC61" s="6"/>
      <c r="AD61" s="6"/>
      <c r="AE61" s="6"/>
      <c r="AF61" s="202"/>
      <c r="AG61" s="16">
        <f t="shared" si="6"/>
        <v>0</v>
      </c>
    </row>
    <row r="62" spans="7:33" x14ac:dyDescent="0.15">
      <c r="G62" s="205" t="s">
        <v>120</v>
      </c>
      <c r="H62" s="53" t="s">
        <v>121</v>
      </c>
      <c r="I62" s="45">
        <f t="shared" si="0"/>
        <v>0</v>
      </c>
      <c r="J62" s="45">
        <f t="shared" si="1"/>
        <v>0</v>
      </c>
      <c r="K62" s="8"/>
      <c r="L62" s="6"/>
      <c r="M62" s="6"/>
      <c r="N62" s="6"/>
      <c r="O62" s="6"/>
      <c r="P62" s="56">
        <f t="shared" si="2"/>
        <v>0</v>
      </c>
      <c r="Q62" s="6"/>
      <c r="R62" s="6"/>
      <c r="S62" s="6"/>
      <c r="T62" s="202"/>
      <c r="U62" s="56">
        <f t="shared" si="7"/>
        <v>0</v>
      </c>
      <c r="V62" s="56">
        <f t="shared" si="8"/>
        <v>0</v>
      </c>
      <c r="W62" s="6"/>
      <c r="X62" s="6"/>
      <c r="Y62" s="6"/>
      <c r="Z62" s="6"/>
      <c r="AA62" s="6"/>
      <c r="AB62" s="56">
        <f t="shared" si="5"/>
        <v>0</v>
      </c>
      <c r="AC62" s="6"/>
      <c r="AD62" s="6"/>
      <c r="AE62" s="6"/>
      <c r="AF62" s="202"/>
      <c r="AG62" s="16">
        <f t="shared" si="6"/>
        <v>0</v>
      </c>
    </row>
    <row r="63" spans="7:33" x14ac:dyDescent="0.15">
      <c r="G63" s="205" t="s">
        <v>122</v>
      </c>
      <c r="H63" s="4" t="s">
        <v>123</v>
      </c>
      <c r="I63" s="45">
        <f t="shared" si="0"/>
        <v>0</v>
      </c>
      <c r="J63" s="45">
        <f t="shared" si="1"/>
        <v>0</v>
      </c>
      <c r="K63" s="8"/>
      <c r="L63" s="6"/>
      <c r="M63" s="6"/>
      <c r="N63" s="6"/>
      <c r="O63" s="6"/>
      <c r="P63" s="56">
        <f t="shared" si="2"/>
        <v>0</v>
      </c>
      <c r="Q63" s="6"/>
      <c r="R63" s="6"/>
      <c r="S63" s="6"/>
      <c r="T63" s="202"/>
      <c r="U63" s="56">
        <f t="shared" si="7"/>
        <v>0</v>
      </c>
      <c r="V63" s="56">
        <f t="shared" si="8"/>
        <v>0</v>
      </c>
      <c r="W63" s="6"/>
      <c r="X63" s="6"/>
      <c r="Y63" s="6"/>
      <c r="Z63" s="6"/>
      <c r="AA63" s="6"/>
      <c r="AB63" s="56">
        <f t="shared" si="5"/>
        <v>0</v>
      </c>
      <c r="AC63" s="6"/>
      <c r="AD63" s="6"/>
      <c r="AE63" s="6"/>
      <c r="AF63" s="202"/>
      <c r="AG63" s="16">
        <f t="shared" si="6"/>
        <v>0</v>
      </c>
    </row>
    <row r="64" spans="7:33" x14ac:dyDescent="0.15">
      <c r="G64" s="205" t="s">
        <v>124</v>
      </c>
      <c r="H64" s="4" t="s">
        <v>125</v>
      </c>
      <c r="I64" s="45">
        <f t="shared" si="0"/>
        <v>0</v>
      </c>
      <c r="J64" s="45">
        <f t="shared" si="1"/>
        <v>0</v>
      </c>
      <c r="K64" s="46">
        <f t="shared" ref="K64:AF64" si="14">SUM(K65:K67)</f>
        <v>0</v>
      </c>
      <c r="L64" s="46">
        <f t="shared" si="14"/>
        <v>0</v>
      </c>
      <c r="M64" s="46">
        <f t="shared" si="14"/>
        <v>0</v>
      </c>
      <c r="N64" s="46">
        <f t="shared" si="14"/>
        <v>0</v>
      </c>
      <c r="O64" s="46">
        <f t="shared" si="14"/>
        <v>0</v>
      </c>
      <c r="P64" s="56">
        <f t="shared" si="2"/>
        <v>0</v>
      </c>
      <c r="Q64" s="46">
        <f t="shared" si="14"/>
        <v>0</v>
      </c>
      <c r="R64" s="46">
        <f t="shared" si="14"/>
        <v>0</v>
      </c>
      <c r="S64" s="46">
        <f t="shared" si="14"/>
        <v>0</v>
      </c>
      <c r="T64" s="46">
        <f t="shared" si="14"/>
        <v>0</v>
      </c>
      <c r="U64" s="56">
        <f t="shared" si="7"/>
        <v>0</v>
      </c>
      <c r="V64" s="56">
        <f t="shared" si="8"/>
        <v>0</v>
      </c>
      <c r="W64" s="46">
        <f t="shared" si="14"/>
        <v>0</v>
      </c>
      <c r="X64" s="46">
        <f t="shared" si="14"/>
        <v>0</v>
      </c>
      <c r="Y64" s="46">
        <f t="shared" si="14"/>
        <v>0</v>
      </c>
      <c r="Z64" s="46">
        <f t="shared" si="14"/>
        <v>0</v>
      </c>
      <c r="AA64" s="46">
        <f t="shared" si="14"/>
        <v>0</v>
      </c>
      <c r="AB64" s="56">
        <f t="shared" si="5"/>
        <v>0</v>
      </c>
      <c r="AC64" s="46">
        <f t="shared" si="14"/>
        <v>0</v>
      </c>
      <c r="AD64" s="46">
        <f t="shared" si="14"/>
        <v>0</v>
      </c>
      <c r="AE64" s="46">
        <f t="shared" si="14"/>
        <v>0</v>
      </c>
      <c r="AF64" s="46">
        <f t="shared" si="14"/>
        <v>0</v>
      </c>
      <c r="AG64" s="16">
        <f t="shared" si="6"/>
        <v>0</v>
      </c>
    </row>
    <row r="65" spans="7:33" ht="21" x14ac:dyDescent="0.15">
      <c r="G65" s="206" t="s">
        <v>867</v>
      </c>
      <c r="H65" s="53" t="s">
        <v>126</v>
      </c>
      <c r="I65" s="45">
        <f t="shared" si="0"/>
        <v>0</v>
      </c>
      <c r="J65" s="45">
        <f t="shared" si="1"/>
        <v>0</v>
      </c>
      <c r="K65" s="8"/>
      <c r="L65" s="6"/>
      <c r="M65" s="6"/>
      <c r="N65" s="6"/>
      <c r="O65" s="6"/>
      <c r="P65" s="56">
        <f t="shared" si="2"/>
        <v>0</v>
      </c>
      <c r="Q65" s="6"/>
      <c r="R65" s="6"/>
      <c r="S65" s="6"/>
      <c r="T65" s="202"/>
      <c r="U65" s="56">
        <f t="shared" si="7"/>
        <v>0</v>
      </c>
      <c r="V65" s="56">
        <f t="shared" si="8"/>
        <v>0</v>
      </c>
      <c r="W65" s="6"/>
      <c r="X65" s="6"/>
      <c r="Y65" s="6"/>
      <c r="Z65" s="6"/>
      <c r="AA65" s="6"/>
      <c r="AB65" s="56">
        <f t="shared" si="5"/>
        <v>0</v>
      </c>
      <c r="AC65" s="6"/>
      <c r="AD65" s="6"/>
      <c r="AE65" s="6"/>
      <c r="AF65" s="202"/>
      <c r="AG65" s="16">
        <f t="shared" si="6"/>
        <v>0</v>
      </c>
    </row>
    <row r="66" spans="7:33" x14ac:dyDescent="0.15">
      <c r="G66" s="206" t="s">
        <v>127</v>
      </c>
      <c r="H66" s="4" t="s">
        <v>128</v>
      </c>
      <c r="I66" s="45">
        <f t="shared" si="0"/>
        <v>0</v>
      </c>
      <c r="J66" s="45">
        <f t="shared" si="1"/>
        <v>0</v>
      </c>
      <c r="K66" s="8"/>
      <c r="L66" s="6"/>
      <c r="M66" s="6"/>
      <c r="N66" s="6"/>
      <c r="O66" s="6"/>
      <c r="P66" s="56">
        <f t="shared" si="2"/>
        <v>0</v>
      </c>
      <c r="Q66" s="6"/>
      <c r="R66" s="6"/>
      <c r="S66" s="6"/>
      <c r="T66" s="202"/>
      <c r="U66" s="56">
        <f t="shared" si="7"/>
        <v>0</v>
      </c>
      <c r="V66" s="56">
        <f t="shared" si="8"/>
        <v>0</v>
      </c>
      <c r="W66" s="6"/>
      <c r="X66" s="6"/>
      <c r="Y66" s="6"/>
      <c r="Z66" s="6"/>
      <c r="AA66" s="6"/>
      <c r="AB66" s="56">
        <f t="shared" si="5"/>
        <v>0</v>
      </c>
      <c r="AC66" s="6"/>
      <c r="AD66" s="6"/>
      <c r="AE66" s="6"/>
      <c r="AF66" s="202"/>
      <c r="AG66" s="16">
        <f t="shared" si="6"/>
        <v>0</v>
      </c>
    </row>
    <row r="67" spans="7:33" x14ac:dyDescent="0.15">
      <c r="G67" s="206" t="s">
        <v>129</v>
      </c>
      <c r="H67" s="4" t="s">
        <v>130</v>
      </c>
      <c r="I67" s="45">
        <f t="shared" si="0"/>
        <v>0</v>
      </c>
      <c r="J67" s="45">
        <f t="shared" si="1"/>
        <v>0</v>
      </c>
      <c r="K67" s="8"/>
      <c r="L67" s="6"/>
      <c r="M67" s="6"/>
      <c r="N67" s="6"/>
      <c r="O67" s="6"/>
      <c r="P67" s="56">
        <f t="shared" si="2"/>
        <v>0</v>
      </c>
      <c r="Q67" s="6"/>
      <c r="R67" s="6"/>
      <c r="S67" s="6"/>
      <c r="T67" s="202"/>
      <c r="U67" s="56">
        <f t="shared" si="7"/>
        <v>0</v>
      </c>
      <c r="V67" s="56">
        <f t="shared" si="8"/>
        <v>0</v>
      </c>
      <c r="W67" s="6"/>
      <c r="X67" s="6"/>
      <c r="Y67" s="6"/>
      <c r="Z67" s="6"/>
      <c r="AA67" s="6"/>
      <c r="AB67" s="56">
        <f t="shared" si="5"/>
        <v>0</v>
      </c>
      <c r="AC67" s="6"/>
      <c r="AD67" s="6"/>
      <c r="AE67" s="6"/>
      <c r="AF67" s="202"/>
      <c r="AG67" s="16">
        <f t="shared" si="6"/>
        <v>0</v>
      </c>
    </row>
    <row r="68" spans="7:33" x14ac:dyDescent="0.15">
      <c r="G68" s="205" t="s">
        <v>131</v>
      </c>
      <c r="H68" s="53" t="s">
        <v>132</v>
      </c>
      <c r="I68" s="45">
        <f t="shared" si="0"/>
        <v>0</v>
      </c>
      <c r="J68" s="45">
        <f t="shared" si="1"/>
        <v>0</v>
      </c>
      <c r="K68" s="8"/>
      <c r="L68" s="6"/>
      <c r="M68" s="6"/>
      <c r="N68" s="6"/>
      <c r="O68" s="6"/>
      <c r="P68" s="56">
        <f t="shared" si="2"/>
        <v>0</v>
      </c>
      <c r="Q68" s="6"/>
      <c r="R68" s="6"/>
      <c r="S68" s="6"/>
      <c r="T68" s="202"/>
      <c r="U68" s="56">
        <f t="shared" si="7"/>
        <v>0</v>
      </c>
      <c r="V68" s="56">
        <f t="shared" si="8"/>
        <v>0</v>
      </c>
      <c r="W68" s="6"/>
      <c r="X68" s="6"/>
      <c r="Y68" s="6"/>
      <c r="Z68" s="6"/>
      <c r="AA68" s="6"/>
      <c r="AB68" s="56">
        <f t="shared" si="5"/>
        <v>0</v>
      </c>
      <c r="AC68" s="6"/>
      <c r="AD68" s="6"/>
      <c r="AE68" s="6"/>
      <c r="AF68" s="202"/>
      <c r="AG68" s="16">
        <f t="shared" si="6"/>
        <v>0</v>
      </c>
    </row>
    <row r="69" spans="7:33" x14ac:dyDescent="0.15">
      <c r="G69" s="205" t="s">
        <v>133</v>
      </c>
      <c r="H69" s="4" t="s">
        <v>134</v>
      </c>
      <c r="I69" s="45">
        <f t="shared" si="0"/>
        <v>0</v>
      </c>
      <c r="J69" s="45">
        <f t="shared" si="1"/>
        <v>0</v>
      </c>
      <c r="K69" s="8"/>
      <c r="L69" s="6"/>
      <c r="M69" s="6"/>
      <c r="N69" s="6"/>
      <c r="O69" s="6"/>
      <c r="P69" s="56">
        <f t="shared" si="2"/>
        <v>0</v>
      </c>
      <c r="Q69" s="6"/>
      <c r="R69" s="6"/>
      <c r="S69" s="6"/>
      <c r="T69" s="202"/>
      <c r="U69" s="56">
        <f t="shared" si="7"/>
        <v>0</v>
      </c>
      <c r="V69" s="56">
        <f t="shared" si="8"/>
        <v>0</v>
      </c>
      <c r="W69" s="6"/>
      <c r="X69" s="6"/>
      <c r="Y69" s="6"/>
      <c r="Z69" s="6"/>
      <c r="AA69" s="6"/>
      <c r="AB69" s="56">
        <f t="shared" si="5"/>
        <v>0</v>
      </c>
      <c r="AC69" s="6"/>
      <c r="AD69" s="6"/>
      <c r="AE69" s="6"/>
      <c r="AF69" s="202"/>
      <c r="AG69" s="16">
        <f t="shared" si="6"/>
        <v>0</v>
      </c>
    </row>
    <row r="70" spans="7:33" x14ac:dyDescent="0.15">
      <c r="G70" s="205" t="s">
        <v>135</v>
      </c>
      <c r="H70" s="4" t="s">
        <v>136</v>
      </c>
      <c r="I70" s="45">
        <f t="shared" si="0"/>
        <v>0</v>
      </c>
      <c r="J70" s="45">
        <f t="shared" si="1"/>
        <v>0</v>
      </c>
      <c r="K70" s="46">
        <f t="shared" ref="K70:AF70" si="15">SUM(K71:K72)</f>
        <v>0</v>
      </c>
      <c r="L70" s="46">
        <f t="shared" si="15"/>
        <v>0</v>
      </c>
      <c r="M70" s="46">
        <f t="shared" si="15"/>
        <v>0</v>
      </c>
      <c r="N70" s="46">
        <f t="shared" si="15"/>
        <v>0</v>
      </c>
      <c r="O70" s="46">
        <f t="shared" si="15"/>
        <v>0</v>
      </c>
      <c r="P70" s="56">
        <f t="shared" si="2"/>
        <v>0</v>
      </c>
      <c r="Q70" s="46">
        <f t="shared" si="15"/>
        <v>0</v>
      </c>
      <c r="R70" s="46">
        <f t="shared" si="15"/>
        <v>0</v>
      </c>
      <c r="S70" s="46">
        <f t="shared" si="15"/>
        <v>0</v>
      </c>
      <c r="T70" s="46">
        <f t="shared" si="15"/>
        <v>0</v>
      </c>
      <c r="U70" s="56">
        <f t="shared" si="7"/>
        <v>0</v>
      </c>
      <c r="V70" s="56">
        <f t="shared" si="8"/>
        <v>0</v>
      </c>
      <c r="W70" s="46">
        <f t="shared" si="15"/>
        <v>0</v>
      </c>
      <c r="X70" s="46">
        <f t="shared" si="15"/>
        <v>0</v>
      </c>
      <c r="Y70" s="46">
        <f t="shared" si="15"/>
        <v>0</v>
      </c>
      <c r="Z70" s="46">
        <f t="shared" si="15"/>
        <v>0</v>
      </c>
      <c r="AA70" s="46">
        <f t="shared" si="15"/>
        <v>0</v>
      </c>
      <c r="AB70" s="56">
        <f t="shared" si="5"/>
        <v>0</v>
      </c>
      <c r="AC70" s="46">
        <f t="shared" si="15"/>
        <v>0</v>
      </c>
      <c r="AD70" s="46">
        <f t="shared" si="15"/>
        <v>0</v>
      </c>
      <c r="AE70" s="46">
        <f t="shared" si="15"/>
        <v>0</v>
      </c>
      <c r="AF70" s="46">
        <f t="shared" si="15"/>
        <v>0</v>
      </c>
      <c r="AG70" s="16">
        <f t="shared" si="6"/>
        <v>0</v>
      </c>
    </row>
    <row r="71" spans="7:33" ht="21" x14ac:dyDescent="0.15">
      <c r="G71" s="206" t="s">
        <v>868</v>
      </c>
      <c r="H71" s="53" t="s">
        <v>137</v>
      </c>
      <c r="I71" s="45">
        <f t="shared" si="0"/>
        <v>0</v>
      </c>
      <c r="J71" s="45">
        <f t="shared" si="1"/>
        <v>0</v>
      </c>
      <c r="K71" s="8"/>
      <c r="L71" s="6"/>
      <c r="M71" s="6"/>
      <c r="N71" s="6"/>
      <c r="O71" s="6"/>
      <c r="P71" s="56">
        <f t="shared" si="2"/>
        <v>0</v>
      </c>
      <c r="Q71" s="6"/>
      <c r="R71" s="6"/>
      <c r="S71" s="6"/>
      <c r="T71" s="202"/>
      <c r="U71" s="56">
        <f t="shared" si="7"/>
        <v>0</v>
      </c>
      <c r="V71" s="56">
        <f t="shared" si="8"/>
        <v>0</v>
      </c>
      <c r="W71" s="6"/>
      <c r="X71" s="6"/>
      <c r="Y71" s="6"/>
      <c r="Z71" s="6"/>
      <c r="AA71" s="6"/>
      <c r="AB71" s="56">
        <f t="shared" si="5"/>
        <v>0</v>
      </c>
      <c r="AC71" s="6"/>
      <c r="AD71" s="6"/>
      <c r="AE71" s="6"/>
      <c r="AF71" s="202"/>
      <c r="AG71" s="16">
        <f t="shared" si="6"/>
        <v>0</v>
      </c>
    </row>
    <row r="72" spans="7:33" x14ac:dyDescent="0.15">
      <c r="G72" s="206" t="s">
        <v>138</v>
      </c>
      <c r="H72" s="4" t="s">
        <v>139</v>
      </c>
      <c r="I72" s="45">
        <f t="shared" si="0"/>
        <v>0</v>
      </c>
      <c r="J72" s="45">
        <f t="shared" si="1"/>
        <v>0</v>
      </c>
      <c r="K72" s="8"/>
      <c r="L72" s="6"/>
      <c r="M72" s="6"/>
      <c r="N72" s="6"/>
      <c r="O72" s="6"/>
      <c r="P72" s="56">
        <f t="shared" si="2"/>
        <v>0</v>
      </c>
      <c r="Q72" s="6"/>
      <c r="R72" s="6"/>
      <c r="S72" s="6"/>
      <c r="T72" s="202"/>
      <c r="U72" s="56">
        <f t="shared" si="7"/>
        <v>0</v>
      </c>
      <c r="V72" s="56">
        <f t="shared" si="8"/>
        <v>0</v>
      </c>
      <c r="W72" s="6"/>
      <c r="X72" s="6"/>
      <c r="Y72" s="6"/>
      <c r="Z72" s="6"/>
      <c r="AA72" s="6"/>
      <c r="AB72" s="56">
        <f t="shared" si="5"/>
        <v>0</v>
      </c>
      <c r="AC72" s="6"/>
      <c r="AD72" s="6"/>
      <c r="AE72" s="6"/>
      <c r="AF72" s="202"/>
      <c r="AG72" s="16">
        <f t="shared" si="6"/>
        <v>0</v>
      </c>
    </row>
    <row r="73" spans="7:33" x14ac:dyDescent="0.15">
      <c r="G73" s="205" t="s">
        <v>140</v>
      </c>
      <c r="H73" s="4" t="s">
        <v>141</v>
      </c>
      <c r="I73" s="45">
        <f t="shared" si="0"/>
        <v>0</v>
      </c>
      <c r="J73" s="45">
        <f t="shared" si="1"/>
        <v>0</v>
      </c>
      <c r="K73" s="8"/>
      <c r="L73" s="6"/>
      <c r="M73" s="6"/>
      <c r="N73" s="6"/>
      <c r="O73" s="6"/>
      <c r="P73" s="56">
        <f t="shared" si="2"/>
        <v>0</v>
      </c>
      <c r="Q73" s="6"/>
      <c r="R73" s="6"/>
      <c r="S73" s="6"/>
      <c r="T73" s="202"/>
      <c r="U73" s="56">
        <f t="shared" si="7"/>
        <v>0</v>
      </c>
      <c r="V73" s="56">
        <f t="shared" si="8"/>
        <v>0</v>
      </c>
      <c r="W73" s="6"/>
      <c r="X73" s="6"/>
      <c r="Y73" s="6"/>
      <c r="Z73" s="6"/>
      <c r="AA73" s="6"/>
      <c r="AB73" s="56">
        <f t="shared" si="5"/>
        <v>0</v>
      </c>
      <c r="AC73" s="6"/>
      <c r="AD73" s="6"/>
      <c r="AE73" s="6"/>
      <c r="AF73" s="202"/>
      <c r="AG73" s="16">
        <f t="shared" si="6"/>
        <v>0</v>
      </c>
    </row>
    <row r="74" spans="7:33" x14ac:dyDescent="0.15">
      <c r="G74" s="205" t="s">
        <v>142</v>
      </c>
      <c r="H74" s="53" t="s">
        <v>143</v>
      </c>
      <c r="I74" s="45">
        <f t="shared" si="0"/>
        <v>0</v>
      </c>
      <c r="J74" s="45">
        <f t="shared" si="1"/>
        <v>0</v>
      </c>
      <c r="K74" s="8"/>
      <c r="L74" s="6"/>
      <c r="M74" s="6"/>
      <c r="N74" s="6"/>
      <c r="O74" s="6"/>
      <c r="P74" s="56">
        <f t="shared" si="2"/>
        <v>0</v>
      </c>
      <c r="Q74" s="6"/>
      <c r="R74" s="6"/>
      <c r="S74" s="6"/>
      <c r="T74" s="6"/>
      <c r="U74" s="56">
        <f t="shared" si="7"/>
        <v>0</v>
      </c>
      <c r="V74" s="56">
        <f t="shared" si="8"/>
        <v>0</v>
      </c>
      <c r="W74" s="6"/>
      <c r="X74" s="6"/>
      <c r="Y74" s="6"/>
      <c r="Z74" s="6"/>
      <c r="AA74" s="6"/>
      <c r="AB74" s="56">
        <f t="shared" si="5"/>
        <v>0</v>
      </c>
      <c r="AC74" s="6"/>
      <c r="AD74" s="6"/>
      <c r="AE74" s="6"/>
      <c r="AF74" s="6"/>
      <c r="AG74" s="16">
        <f t="shared" si="6"/>
        <v>0</v>
      </c>
    </row>
    <row r="75" spans="7:33" x14ac:dyDescent="0.15">
      <c r="G75" s="205" t="s">
        <v>144</v>
      </c>
      <c r="H75" s="4" t="s">
        <v>145</v>
      </c>
      <c r="I75" s="45">
        <f t="shared" ref="I75:I139" si="16">J75+P75</f>
        <v>0</v>
      </c>
      <c r="J75" s="45">
        <f t="shared" ref="J75:J139" si="17">SUM(K75:O75)</f>
        <v>0</v>
      </c>
      <c r="K75" s="8"/>
      <c r="L75" s="6"/>
      <c r="M75" s="6"/>
      <c r="N75" s="6"/>
      <c r="O75" s="6"/>
      <c r="P75" s="56">
        <f t="shared" ref="P75:P138" si="18">SUM(Q75:T75)</f>
        <v>0</v>
      </c>
      <c r="Q75" s="6"/>
      <c r="R75" s="6"/>
      <c r="S75" s="6"/>
      <c r="T75" s="202"/>
      <c r="U75" s="56">
        <f t="shared" si="7"/>
        <v>0</v>
      </c>
      <c r="V75" s="56">
        <f t="shared" si="8"/>
        <v>0</v>
      </c>
      <c r="W75" s="6"/>
      <c r="X75" s="6"/>
      <c r="Y75" s="6"/>
      <c r="Z75" s="6"/>
      <c r="AA75" s="6"/>
      <c r="AB75" s="56">
        <f t="shared" ref="AB75:AB138" si="19">SUM(AC75:AF75)</f>
        <v>0</v>
      </c>
      <c r="AC75" s="6"/>
      <c r="AD75" s="6"/>
      <c r="AE75" s="6"/>
      <c r="AF75" s="202"/>
      <c r="AG75" s="16">
        <f t="shared" ref="AG75:AG139" si="20">SUM(I75:AF75)</f>
        <v>0</v>
      </c>
    </row>
    <row r="76" spans="7:33" ht="21" x14ac:dyDescent="0.15">
      <c r="G76" s="205" t="s">
        <v>146</v>
      </c>
      <c r="H76" s="4" t="s">
        <v>147</v>
      </c>
      <c r="I76" s="45">
        <f t="shared" si="16"/>
        <v>0</v>
      </c>
      <c r="J76" s="45">
        <f t="shared" si="17"/>
        <v>0</v>
      </c>
      <c r="K76" s="48">
        <f t="shared" ref="K76:AF76" si="21">SUM(K77:K80)</f>
        <v>0</v>
      </c>
      <c r="L76" s="48">
        <f t="shared" si="21"/>
        <v>0</v>
      </c>
      <c r="M76" s="48">
        <f t="shared" si="21"/>
        <v>0</v>
      </c>
      <c r="N76" s="48">
        <f t="shared" si="21"/>
        <v>0</v>
      </c>
      <c r="O76" s="48">
        <f t="shared" si="21"/>
        <v>0</v>
      </c>
      <c r="P76" s="56">
        <f t="shared" si="18"/>
        <v>0</v>
      </c>
      <c r="Q76" s="48">
        <f t="shared" si="21"/>
        <v>0</v>
      </c>
      <c r="R76" s="48">
        <f t="shared" si="21"/>
        <v>0</v>
      </c>
      <c r="S76" s="48">
        <f t="shared" si="21"/>
        <v>0</v>
      </c>
      <c r="T76" s="48">
        <f t="shared" si="21"/>
        <v>0</v>
      </c>
      <c r="U76" s="56">
        <f t="shared" ref="U76:U139" si="22">V76+AB76</f>
        <v>0</v>
      </c>
      <c r="V76" s="56">
        <f t="shared" ref="V76:V139" si="23">SUM(W76:AA76)</f>
        <v>0</v>
      </c>
      <c r="W76" s="48">
        <f t="shared" si="21"/>
        <v>0</v>
      </c>
      <c r="X76" s="48">
        <f t="shared" si="21"/>
        <v>0</v>
      </c>
      <c r="Y76" s="48">
        <f t="shared" si="21"/>
        <v>0</v>
      </c>
      <c r="Z76" s="48">
        <f t="shared" si="21"/>
        <v>0</v>
      </c>
      <c r="AA76" s="48">
        <f t="shared" si="21"/>
        <v>0</v>
      </c>
      <c r="AB76" s="56">
        <f t="shared" si="19"/>
        <v>0</v>
      </c>
      <c r="AC76" s="48">
        <f t="shared" si="21"/>
        <v>0</v>
      </c>
      <c r="AD76" s="48">
        <f t="shared" si="21"/>
        <v>0</v>
      </c>
      <c r="AE76" s="48">
        <f t="shared" si="21"/>
        <v>0</v>
      </c>
      <c r="AF76" s="48">
        <f t="shared" si="21"/>
        <v>0</v>
      </c>
      <c r="AG76" s="16">
        <f t="shared" si="20"/>
        <v>0</v>
      </c>
    </row>
    <row r="77" spans="7:33" ht="21" x14ac:dyDescent="0.15">
      <c r="G77" s="206" t="s">
        <v>148</v>
      </c>
      <c r="H77" s="53" t="s">
        <v>149</v>
      </c>
      <c r="I77" s="45">
        <f t="shared" si="16"/>
        <v>0</v>
      </c>
      <c r="J77" s="45">
        <f t="shared" si="17"/>
        <v>0</v>
      </c>
      <c r="K77" s="8"/>
      <c r="L77" s="6"/>
      <c r="M77" s="6"/>
      <c r="N77" s="6"/>
      <c r="O77" s="6"/>
      <c r="P77" s="56">
        <f t="shared" si="18"/>
        <v>0</v>
      </c>
      <c r="Q77" s="6"/>
      <c r="R77" s="6"/>
      <c r="S77" s="6"/>
      <c r="T77" s="202"/>
      <c r="U77" s="56">
        <f t="shared" si="22"/>
        <v>0</v>
      </c>
      <c r="V77" s="56">
        <f t="shared" si="23"/>
        <v>0</v>
      </c>
      <c r="W77" s="6"/>
      <c r="X77" s="6"/>
      <c r="Y77" s="6"/>
      <c r="Z77" s="6"/>
      <c r="AA77" s="6"/>
      <c r="AB77" s="56">
        <f t="shared" si="19"/>
        <v>0</v>
      </c>
      <c r="AC77" s="6"/>
      <c r="AD77" s="6"/>
      <c r="AE77" s="6"/>
      <c r="AF77" s="202"/>
      <c r="AG77" s="16">
        <f t="shared" si="20"/>
        <v>0</v>
      </c>
    </row>
    <row r="78" spans="7:33" x14ac:dyDescent="0.15">
      <c r="G78" s="206" t="s">
        <v>150</v>
      </c>
      <c r="H78" s="4" t="s">
        <v>151</v>
      </c>
      <c r="I78" s="45">
        <f t="shared" si="16"/>
        <v>0</v>
      </c>
      <c r="J78" s="45">
        <f t="shared" si="17"/>
        <v>0</v>
      </c>
      <c r="K78" s="8"/>
      <c r="L78" s="6"/>
      <c r="M78" s="6"/>
      <c r="N78" s="6"/>
      <c r="O78" s="6"/>
      <c r="P78" s="56">
        <f t="shared" si="18"/>
        <v>0</v>
      </c>
      <c r="Q78" s="6"/>
      <c r="R78" s="6"/>
      <c r="S78" s="6"/>
      <c r="T78" s="202"/>
      <c r="U78" s="56">
        <f t="shared" si="22"/>
        <v>0</v>
      </c>
      <c r="V78" s="56">
        <f t="shared" si="23"/>
        <v>0</v>
      </c>
      <c r="W78" s="6"/>
      <c r="X78" s="6"/>
      <c r="Y78" s="6"/>
      <c r="Z78" s="6"/>
      <c r="AA78" s="6"/>
      <c r="AB78" s="56">
        <f t="shared" si="19"/>
        <v>0</v>
      </c>
      <c r="AC78" s="6"/>
      <c r="AD78" s="6"/>
      <c r="AE78" s="6"/>
      <c r="AF78" s="202"/>
      <c r="AG78" s="16">
        <f t="shared" si="20"/>
        <v>0</v>
      </c>
    </row>
    <row r="79" spans="7:33" x14ac:dyDescent="0.15">
      <c r="G79" s="206" t="s">
        <v>152</v>
      </c>
      <c r="H79" s="4" t="s">
        <v>153</v>
      </c>
      <c r="I79" s="45">
        <f t="shared" si="16"/>
        <v>0</v>
      </c>
      <c r="J79" s="45">
        <f t="shared" si="17"/>
        <v>0</v>
      </c>
      <c r="K79" s="8"/>
      <c r="L79" s="6"/>
      <c r="M79" s="6"/>
      <c r="N79" s="6"/>
      <c r="O79" s="6"/>
      <c r="P79" s="56">
        <f t="shared" si="18"/>
        <v>0</v>
      </c>
      <c r="Q79" s="6"/>
      <c r="R79" s="6"/>
      <c r="S79" s="6"/>
      <c r="T79" s="202"/>
      <c r="U79" s="56">
        <f t="shared" si="22"/>
        <v>0</v>
      </c>
      <c r="V79" s="56">
        <f t="shared" si="23"/>
        <v>0</v>
      </c>
      <c r="W79" s="6"/>
      <c r="X79" s="6"/>
      <c r="Y79" s="6"/>
      <c r="Z79" s="6"/>
      <c r="AA79" s="6"/>
      <c r="AB79" s="56">
        <f t="shared" si="19"/>
        <v>0</v>
      </c>
      <c r="AC79" s="6"/>
      <c r="AD79" s="6"/>
      <c r="AE79" s="6"/>
      <c r="AF79" s="202"/>
      <c r="AG79" s="16">
        <f t="shared" si="20"/>
        <v>0</v>
      </c>
    </row>
    <row r="80" spans="7:33" x14ac:dyDescent="0.15">
      <c r="G80" s="206" t="s">
        <v>154</v>
      </c>
      <c r="H80" s="53" t="s">
        <v>155</v>
      </c>
      <c r="I80" s="45">
        <f t="shared" si="16"/>
        <v>0</v>
      </c>
      <c r="J80" s="45">
        <f t="shared" si="17"/>
        <v>0</v>
      </c>
      <c r="K80" s="8"/>
      <c r="L80" s="6"/>
      <c r="M80" s="6"/>
      <c r="N80" s="6"/>
      <c r="O80" s="6"/>
      <c r="P80" s="56">
        <f t="shared" si="18"/>
        <v>0</v>
      </c>
      <c r="Q80" s="6"/>
      <c r="R80" s="6"/>
      <c r="S80" s="6"/>
      <c r="T80" s="202"/>
      <c r="U80" s="56">
        <f t="shared" si="22"/>
        <v>0</v>
      </c>
      <c r="V80" s="56">
        <f t="shared" si="23"/>
        <v>0</v>
      </c>
      <c r="W80" s="6"/>
      <c r="X80" s="6"/>
      <c r="Y80" s="6"/>
      <c r="Z80" s="6"/>
      <c r="AA80" s="6"/>
      <c r="AB80" s="56">
        <f t="shared" si="19"/>
        <v>0</v>
      </c>
      <c r="AC80" s="6"/>
      <c r="AD80" s="6"/>
      <c r="AE80" s="6"/>
      <c r="AF80" s="202"/>
      <c r="AG80" s="16">
        <f t="shared" si="20"/>
        <v>0</v>
      </c>
    </row>
    <row r="81" spans="7:33" x14ac:dyDescent="0.15">
      <c r="G81" s="205" t="s">
        <v>156</v>
      </c>
      <c r="H81" s="4" t="s">
        <v>157</v>
      </c>
      <c r="I81" s="45">
        <f t="shared" si="16"/>
        <v>0</v>
      </c>
      <c r="J81" s="45">
        <f t="shared" si="17"/>
        <v>0</v>
      </c>
      <c r="K81" s="8"/>
      <c r="L81" s="6"/>
      <c r="M81" s="6"/>
      <c r="N81" s="6"/>
      <c r="O81" s="6"/>
      <c r="P81" s="56">
        <f t="shared" si="18"/>
        <v>0</v>
      </c>
      <c r="Q81" s="6"/>
      <c r="R81" s="6"/>
      <c r="S81" s="6"/>
      <c r="T81" s="202"/>
      <c r="U81" s="56">
        <f t="shared" si="22"/>
        <v>0</v>
      </c>
      <c r="V81" s="56">
        <f t="shared" si="23"/>
        <v>0</v>
      </c>
      <c r="W81" s="6"/>
      <c r="X81" s="6"/>
      <c r="Y81" s="6"/>
      <c r="Z81" s="6"/>
      <c r="AA81" s="6"/>
      <c r="AB81" s="56">
        <f t="shared" si="19"/>
        <v>0</v>
      </c>
      <c r="AC81" s="6"/>
      <c r="AD81" s="6"/>
      <c r="AE81" s="6"/>
      <c r="AF81" s="202"/>
      <c r="AG81" s="16">
        <f t="shared" si="20"/>
        <v>0</v>
      </c>
    </row>
    <row r="82" spans="7:33" x14ac:dyDescent="0.15">
      <c r="G82" s="205" t="s">
        <v>158</v>
      </c>
      <c r="H82" s="4" t="s">
        <v>159</v>
      </c>
      <c r="I82" s="45">
        <f t="shared" si="16"/>
        <v>0</v>
      </c>
      <c r="J82" s="45">
        <f t="shared" si="17"/>
        <v>0</v>
      </c>
      <c r="K82" s="8"/>
      <c r="L82" s="6"/>
      <c r="M82" s="6"/>
      <c r="N82" s="6"/>
      <c r="O82" s="6"/>
      <c r="P82" s="56">
        <f t="shared" si="18"/>
        <v>0</v>
      </c>
      <c r="Q82" s="6"/>
      <c r="R82" s="6"/>
      <c r="S82" s="6"/>
      <c r="T82" s="202"/>
      <c r="U82" s="56">
        <f t="shared" si="22"/>
        <v>0</v>
      </c>
      <c r="V82" s="56">
        <f t="shared" si="23"/>
        <v>0</v>
      </c>
      <c r="W82" s="6"/>
      <c r="X82" s="6"/>
      <c r="Y82" s="6"/>
      <c r="Z82" s="6"/>
      <c r="AA82" s="6"/>
      <c r="AB82" s="56">
        <f t="shared" si="19"/>
        <v>0</v>
      </c>
      <c r="AC82" s="6"/>
      <c r="AD82" s="6"/>
      <c r="AE82" s="6"/>
      <c r="AF82" s="202"/>
      <c r="AG82" s="16">
        <f t="shared" si="20"/>
        <v>0</v>
      </c>
    </row>
    <row r="83" spans="7:33" x14ac:dyDescent="0.15">
      <c r="G83" s="205" t="s">
        <v>160</v>
      </c>
      <c r="H83" s="53" t="s">
        <v>161</v>
      </c>
      <c r="I83" s="45">
        <f t="shared" si="16"/>
        <v>0</v>
      </c>
      <c r="J83" s="45">
        <f t="shared" si="17"/>
        <v>0</v>
      </c>
      <c r="K83" s="8"/>
      <c r="L83" s="6"/>
      <c r="M83" s="6"/>
      <c r="N83" s="6"/>
      <c r="O83" s="6"/>
      <c r="P83" s="56">
        <f t="shared" si="18"/>
        <v>0</v>
      </c>
      <c r="Q83" s="6"/>
      <c r="R83" s="6"/>
      <c r="S83" s="6"/>
      <c r="T83" s="202"/>
      <c r="U83" s="56">
        <f t="shared" si="22"/>
        <v>0</v>
      </c>
      <c r="V83" s="56">
        <f t="shared" si="23"/>
        <v>0</v>
      </c>
      <c r="W83" s="6"/>
      <c r="X83" s="6"/>
      <c r="Y83" s="6"/>
      <c r="Z83" s="6"/>
      <c r="AA83" s="6"/>
      <c r="AB83" s="56">
        <f t="shared" si="19"/>
        <v>0</v>
      </c>
      <c r="AC83" s="6"/>
      <c r="AD83" s="6"/>
      <c r="AE83" s="6"/>
      <c r="AF83" s="202"/>
      <c r="AG83" s="16">
        <f t="shared" si="20"/>
        <v>0</v>
      </c>
    </row>
    <row r="84" spans="7:33" x14ac:dyDescent="0.15">
      <c r="G84" s="205" t="s">
        <v>162</v>
      </c>
      <c r="H84" s="4" t="s">
        <v>163</v>
      </c>
      <c r="I84" s="45">
        <f t="shared" si="16"/>
        <v>0</v>
      </c>
      <c r="J84" s="45">
        <f t="shared" si="17"/>
        <v>0</v>
      </c>
      <c r="K84" s="8"/>
      <c r="L84" s="6"/>
      <c r="M84" s="6"/>
      <c r="N84" s="6"/>
      <c r="O84" s="6"/>
      <c r="P84" s="56">
        <f t="shared" si="18"/>
        <v>0</v>
      </c>
      <c r="Q84" s="6"/>
      <c r="R84" s="6"/>
      <c r="S84" s="6"/>
      <c r="T84" s="202"/>
      <c r="U84" s="56">
        <f t="shared" si="22"/>
        <v>0</v>
      </c>
      <c r="V84" s="56">
        <f t="shared" si="23"/>
        <v>0</v>
      </c>
      <c r="W84" s="6"/>
      <c r="X84" s="6"/>
      <c r="Y84" s="6"/>
      <c r="Z84" s="6"/>
      <c r="AA84" s="6"/>
      <c r="AB84" s="56">
        <f t="shared" si="19"/>
        <v>0</v>
      </c>
      <c r="AC84" s="6"/>
      <c r="AD84" s="6"/>
      <c r="AE84" s="6"/>
      <c r="AF84" s="202"/>
      <c r="AG84" s="16">
        <f t="shared" si="20"/>
        <v>0</v>
      </c>
    </row>
    <row r="85" spans="7:33" x14ac:dyDescent="0.15">
      <c r="G85" s="205" t="s">
        <v>164</v>
      </c>
      <c r="H85" s="4" t="s">
        <v>165</v>
      </c>
      <c r="I85" s="45">
        <f t="shared" si="16"/>
        <v>0</v>
      </c>
      <c r="J85" s="45">
        <f t="shared" si="17"/>
        <v>0</v>
      </c>
      <c r="K85" s="8"/>
      <c r="L85" s="6"/>
      <c r="M85" s="6"/>
      <c r="N85" s="6"/>
      <c r="O85" s="6"/>
      <c r="P85" s="56">
        <f t="shared" si="18"/>
        <v>0</v>
      </c>
      <c r="Q85" s="6"/>
      <c r="R85" s="6"/>
      <c r="S85" s="6"/>
      <c r="T85" s="202"/>
      <c r="U85" s="56">
        <f t="shared" si="22"/>
        <v>0</v>
      </c>
      <c r="V85" s="56">
        <f t="shared" si="23"/>
        <v>0</v>
      </c>
      <c r="W85" s="6"/>
      <c r="X85" s="6"/>
      <c r="Y85" s="6"/>
      <c r="Z85" s="6"/>
      <c r="AA85" s="6"/>
      <c r="AB85" s="56">
        <f t="shared" si="19"/>
        <v>0</v>
      </c>
      <c r="AC85" s="6"/>
      <c r="AD85" s="6"/>
      <c r="AE85" s="6"/>
      <c r="AF85" s="202"/>
      <c r="AG85" s="16">
        <f t="shared" si="20"/>
        <v>0</v>
      </c>
    </row>
    <row r="86" spans="7:33" x14ac:dyDescent="0.15">
      <c r="G86" s="205" t="s">
        <v>166</v>
      </c>
      <c r="H86" s="53" t="s">
        <v>167</v>
      </c>
      <c r="I86" s="45">
        <f t="shared" si="16"/>
        <v>0</v>
      </c>
      <c r="J86" s="45">
        <f t="shared" si="17"/>
        <v>0</v>
      </c>
      <c r="K86" s="8"/>
      <c r="L86" s="6"/>
      <c r="M86" s="6"/>
      <c r="N86" s="6"/>
      <c r="O86" s="6"/>
      <c r="P86" s="56">
        <f t="shared" si="18"/>
        <v>0</v>
      </c>
      <c r="Q86" s="6"/>
      <c r="R86" s="6"/>
      <c r="S86" s="6"/>
      <c r="T86" s="202"/>
      <c r="U86" s="56">
        <f t="shared" si="22"/>
        <v>0</v>
      </c>
      <c r="V86" s="56">
        <f t="shared" si="23"/>
        <v>0</v>
      </c>
      <c r="W86" s="6"/>
      <c r="X86" s="6"/>
      <c r="Y86" s="6"/>
      <c r="Z86" s="6"/>
      <c r="AA86" s="6"/>
      <c r="AB86" s="56">
        <f t="shared" si="19"/>
        <v>0</v>
      </c>
      <c r="AC86" s="6"/>
      <c r="AD86" s="6"/>
      <c r="AE86" s="6"/>
      <c r="AF86" s="202"/>
      <c r="AG86" s="16">
        <f t="shared" si="20"/>
        <v>0</v>
      </c>
    </row>
    <row r="87" spans="7:33" x14ac:dyDescent="0.15">
      <c r="G87" s="205" t="s">
        <v>168</v>
      </c>
      <c r="H87" s="4" t="s">
        <v>169</v>
      </c>
      <c r="I87" s="45">
        <f t="shared" si="16"/>
        <v>0</v>
      </c>
      <c r="J87" s="45">
        <f t="shared" si="17"/>
        <v>0</v>
      </c>
      <c r="K87" s="8"/>
      <c r="L87" s="6"/>
      <c r="M87" s="6"/>
      <c r="N87" s="6"/>
      <c r="O87" s="6"/>
      <c r="P87" s="56">
        <f t="shared" si="18"/>
        <v>0</v>
      </c>
      <c r="Q87" s="6"/>
      <c r="R87" s="6"/>
      <c r="S87" s="6"/>
      <c r="T87" s="202"/>
      <c r="U87" s="56">
        <f t="shared" si="22"/>
        <v>0</v>
      </c>
      <c r="V87" s="56">
        <f t="shared" si="23"/>
        <v>0</v>
      </c>
      <c r="W87" s="6"/>
      <c r="X87" s="6"/>
      <c r="Y87" s="6"/>
      <c r="Z87" s="6"/>
      <c r="AA87" s="6"/>
      <c r="AB87" s="56">
        <f t="shared" si="19"/>
        <v>0</v>
      </c>
      <c r="AC87" s="6"/>
      <c r="AD87" s="6"/>
      <c r="AE87" s="6"/>
      <c r="AF87" s="202"/>
      <c r="AG87" s="16">
        <f t="shared" si="20"/>
        <v>0</v>
      </c>
    </row>
    <row r="88" spans="7:33" x14ac:dyDescent="0.15">
      <c r="G88" s="205" t="s">
        <v>170</v>
      </c>
      <c r="H88" s="4" t="s">
        <v>171</v>
      </c>
      <c r="I88" s="45">
        <f t="shared" si="16"/>
        <v>0</v>
      </c>
      <c r="J88" s="45">
        <f t="shared" si="17"/>
        <v>0</v>
      </c>
      <c r="K88" s="46">
        <f t="shared" ref="K88:AF88" si="24">SUM(K89:K90)</f>
        <v>0</v>
      </c>
      <c r="L88" s="46">
        <f t="shared" si="24"/>
        <v>0</v>
      </c>
      <c r="M88" s="46">
        <f t="shared" si="24"/>
        <v>0</v>
      </c>
      <c r="N88" s="46">
        <f t="shared" si="24"/>
        <v>0</v>
      </c>
      <c r="O88" s="46">
        <f t="shared" si="24"/>
        <v>0</v>
      </c>
      <c r="P88" s="56">
        <f t="shared" si="18"/>
        <v>0</v>
      </c>
      <c r="Q88" s="46">
        <f t="shared" si="24"/>
        <v>0</v>
      </c>
      <c r="R88" s="46">
        <f t="shared" si="24"/>
        <v>0</v>
      </c>
      <c r="S88" s="46">
        <f t="shared" si="24"/>
        <v>0</v>
      </c>
      <c r="T88" s="46">
        <f t="shared" si="24"/>
        <v>0</v>
      </c>
      <c r="U88" s="56">
        <f t="shared" si="22"/>
        <v>0</v>
      </c>
      <c r="V88" s="56">
        <f t="shared" si="23"/>
        <v>0</v>
      </c>
      <c r="W88" s="46">
        <f t="shared" si="24"/>
        <v>0</v>
      </c>
      <c r="X88" s="46">
        <f t="shared" si="24"/>
        <v>0</v>
      </c>
      <c r="Y88" s="46">
        <f t="shared" si="24"/>
        <v>0</v>
      </c>
      <c r="Z88" s="46">
        <f t="shared" si="24"/>
        <v>0</v>
      </c>
      <c r="AA88" s="46">
        <f t="shared" si="24"/>
        <v>0</v>
      </c>
      <c r="AB88" s="56">
        <f t="shared" si="19"/>
        <v>0</v>
      </c>
      <c r="AC88" s="46">
        <f t="shared" si="24"/>
        <v>0</v>
      </c>
      <c r="AD88" s="46">
        <f t="shared" si="24"/>
        <v>0</v>
      </c>
      <c r="AE88" s="46">
        <f t="shared" si="24"/>
        <v>0</v>
      </c>
      <c r="AF88" s="46">
        <f t="shared" si="24"/>
        <v>0</v>
      </c>
      <c r="AG88" s="16">
        <f t="shared" si="20"/>
        <v>0</v>
      </c>
    </row>
    <row r="89" spans="7:33" ht="21" x14ac:dyDescent="0.15">
      <c r="G89" s="206" t="s">
        <v>172</v>
      </c>
      <c r="H89" s="53" t="s">
        <v>173</v>
      </c>
      <c r="I89" s="45">
        <f t="shared" si="16"/>
        <v>0</v>
      </c>
      <c r="J89" s="45">
        <f t="shared" si="17"/>
        <v>0</v>
      </c>
      <c r="K89" s="8"/>
      <c r="L89" s="6"/>
      <c r="M89" s="6"/>
      <c r="N89" s="6"/>
      <c r="O89" s="6"/>
      <c r="P89" s="56">
        <f t="shared" si="18"/>
        <v>0</v>
      </c>
      <c r="Q89" s="6"/>
      <c r="R89" s="6"/>
      <c r="S89" s="6"/>
      <c r="T89" s="202"/>
      <c r="U89" s="56">
        <f t="shared" si="22"/>
        <v>0</v>
      </c>
      <c r="V89" s="56">
        <f t="shared" si="23"/>
        <v>0</v>
      </c>
      <c r="W89" s="6"/>
      <c r="X89" s="6"/>
      <c r="Y89" s="6"/>
      <c r="Z89" s="6"/>
      <c r="AA89" s="6"/>
      <c r="AB89" s="56">
        <f t="shared" si="19"/>
        <v>0</v>
      </c>
      <c r="AC89" s="6"/>
      <c r="AD89" s="6"/>
      <c r="AE89" s="6"/>
      <c r="AF89" s="202"/>
      <c r="AG89" s="16">
        <f t="shared" si="20"/>
        <v>0</v>
      </c>
    </row>
    <row r="90" spans="7:33" ht="21" x14ac:dyDescent="0.15">
      <c r="G90" s="206" t="s">
        <v>174</v>
      </c>
      <c r="H90" s="4" t="s">
        <v>175</v>
      </c>
      <c r="I90" s="45">
        <f t="shared" si="16"/>
        <v>0</v>
      </c>
      <c r="J90" s="45">
        <f t="shared" si="17"/>
        <v>0</v>
      </c>
      <c r="K90" s="8"/>
      <c r="L90" s="6"/>
      <c r="M90" s="6"/>
      <c r="N90" s="6"/>
      <c r="O90" s="6"/>
      <c r="P90" s="56">
        <f t="shared" si="18"/>
        <v>0</v>
      </c>
      <c r="Q90" s="6"/>
      <c r="R90" s="6"/>
      <c r="S90" s="6"/>
      <c r="T90" s="202"/>
      <c r="U90" s="56">
        <f t="shared" si="22"/>
        <v>0</v>
      </c>
      <c r="V90" s="56">
        <f t="shared" si="23"/>
        <v>0</v>
      </c>
      <c r="W90" s="6"/>
      <c r="X90" s="6"/>
      <c r="Y90" s="6"/>
      <c r="Z90" s="6"/>
      <c r="AA90" s="6"/>
      <c r="AB90" s="56">
        <f t="shared" si="19"/>
        <v>0</v>
      </c>
      <c r="AC90" s="6"/>
      <c r="AD90" s="6"/>
      <c r="AE90" s="6"/>
      <c r="AF90" s="202"/>
      <c r="AG90" s="16">
        <f t="shared" si="20"/>
        <v>0</v>
      </c>
    </row>
    <row r="91" spans="7:33" x14ac:dyDescent="0.15">
      <c r="G91" s="205" t="s">
        <v>176</v>
      </c>
      <c r="H91" s="4" t="s">
        <v>177</v>
      </c>
      <c r="I91" s="45">
        <f t="shared" si="16"/>
        <v>0</v>
      </c>
      <c r="J91" s="45">
        <f t="shared" si="17"/>
        <v>0</v>
      </c>
      <c r="K91" s="8"/>
      <c r="L91" s="6"/>
      <c r="M91" s="6"/>
      <c r="N91" s="6"/>
      <c r="O91" s="6"/>
      <c r="P91" s="56">
        <f t="shared" si="18"/>
        <v>0</v>
      </c>
      <c r="Q91" s="6"/>
      <c r="R91" s="6"/>
      <c r="S91" s="6"/>
      <c r="T91" s="202"/>
      <c r="U91" s="56">
        <f t="shared" si="22"/>
        <v>0</v>
      </c>
      <c r="V91" s="56">
        <f t="shared" si="23"/>
        <v>0</v>
      </c>
      <c r="W91" s="6"/>
      <c r="X91" s="6"/>
      <c r="Y91" s="6"/>
      <c r="Z91" s="6"/>
      <c r="AA91" s="6"/>
      <c r="AB91" s="56">
        <f t="shared" si="19"/>
        <v>0</v>
      </c>
      <c r="AC91" s="6"/>
      <c r="AD91" s="6"/>
      <c r="AE91" s="6"/>
      <c r="AF91" s="202"/>
      <c r="AG91" s="16">
        <f t="shared" si="20"/>
        <v>0</v>
      </c>
    </row>
    <row r="92" spans="7:33" x14ac:dyDescent="0.15">
      <c r="G92" s="205" t="s">
        <v>178</v>
      </c>
      <c r="H92" s="53" t="s">
        <v>179</v>
      </c>
      <c r="I92" s="45">
        <f t="shared" si="16"/>
        <v>0</v>
      </c>
      <c r="J92" s="45">
        <f t="shared" si="17"/>
        <v>0</v>
      </c>
      <c r="K92" s="8"/>
      <c r="L92" s="6"/>
      <c r="M92" s="6"/>
      <c r="N92" s="6"/>
      <c r="O92" s="6"/>
      <c r="P92" s="56">
        <f t="shared" si="18"/>
        <v>0</v>
      </c>
      <c r="Q92" s="6"/>
      <c r="R92" s="6"/>
      <c r="S92" s="6"/>
      <c r="T92" s="202"/>
      <c r="U92" s="56">
        <f t="shared" si="22"/>
        <v>0</v>
      </c>
      <c r="V92" s="56">
        <f t="shared" si="23"/>
        <v>0</v>
      </c>
      <c r="W92" s="6"/>
      <c r="X92" s="6"/>
      <c r="Y92" s="6"/>
      <c r="Z92" s="6"/>
      <c r="AA92" s="6"/>
      <c r="AB92" s="56">
        <f t="shared" si="19"/>
        <v>0</v>
      </c>
      <c r="AC92" s="6"/>
      <c r="AD92" s="6"/>
      <c r="AE92" s="6"/>
      <c r="AF92" s="202"/>
      <c r="AG92" s="16">
        <f t="shared" si="20"/>
        <v>0</v>
      </c>
    </row>
    <row r="93" spans="7:33" x14ac:dyDescent="0.15">
      <c r="G93" s="205" t="s">
        <v>180</v>
      </c>
      <c r="H93" s="4" t="s">
        <v>181</v>
      </c>
      <c r="I93" s="45">
        <f t="shared" si="16"/>
        <v>0</v>
      </c>
      <c r="J93" s="45">
        <f t="shared" si="17"/>
        <v>0</v>
      </c>
      <c r="K93" s="8"/>
      <c r="L93" s="6"/>
      <c r="M93" s="6"/>
      <c r="N93" s="6"/>
      <c r="O93" s="6"/>
      <c r="P93" s="56">
        <f t="shared" si="18"/>
        <v>0</v>
      </c>
      <c r="Q93" s="6"/>
      <c r="R93" s="6"/>
      <c r="S93" s="6"/>
      <c r="T93" s="202"/>
      <c r="U93" s="56">
        <f t="shared" si="22"/>
        <v>0</v>
      </c>
      <c r="V93" s="56">
        <f t="shared" si="23"/>
        <v>0</v>
      </c>
      <c r="W93" s="6"/>
      <c r="X93" s="6"/>
      <c r="Y93" s="6"/>
      <c r="Z93" s="6"/>
      <c r="AA93" s="6"/>
      <c r="AB93" s="56">
        <f t="shared" si="19"/>
        <v>0</v>
      </c>
      <c r="AC93" s="6"/>
      <c r="AD93" s="6"/>
      <c r="AE93" s="6"/>
      <c r="AF93" s="202"/>
      <c r="AG93" s="16">
        <f t="shared" si="20"/>
        <v>0</v>
      </c>
    </row>
    <row r="94" spans="7:33" x14ac:dyDescent="0.15">
      <c r="G94" s="205" t="s">
        <v>182</v>
      </c>
      <c r="H94" s="4" t="s">
        <v>183</v>
      </c>
      <c r="I94" s="45">
        <f t="shared" si="16"/>
        <v>0</v>
      </c>
      <c r="J94" s="45">
        <f t="shared" si="17"/>
        <v>0</v>
      </c>
      <c r="K94" s="8"/>
      <c r="L94" s="6"/>
      <c r="M94" s="6"/>
      <c r="N94" s="6"/>
      <c r="O94" s="6"/>
      <c r="P94" s="56">
        <f t="shared" si="18"/>
        <v>0</v>
      </c>
      <c r="Q94" s="6"/>
      <c r="R94" s="6"/>
      <c r="S94" s="6"/>
      <c r="T94" s="202"/>
      <c r="U94" s="56">
        <f t="shared" si="22"/>
        <v>0</v>
      </c>
      <c r="V94" s="56">
        <f t="shared" si="23"/>
        <v>0</v>
      </c>
      <c r="W94" s="6"/>
      <c r="X94" s="6"/>
      <c r="Y94" s="6"/>
      <c r="Z94" s="6"/>
      <c r="AA94" s="6"/>
      <c r="AB94" s="56">
        <f t="shared" si="19"/>
        <v>0</v>
      </c>
      <c r="AC94" s="6"/>
      <c r="AD94" s="6"/>
      <c r="AE94" s="6"/>
      <c r="AF94" s="202"/>
      <c r="AG94" s="16">
        <f t="shared" si="20"/>
        <v>0</v>
      </c>
    </row>
    <row r="95" spans="7:33" x14ac:dyDescent="0.15">
      <c r="G95" s="205" t="s">
        <v>184</v>
      </c>
      <c r="H95" s="53" t="s">
        <v>185</v>
      </c>
      <c r="I95" s="45">
        <f t="shared" si="16"/>
        <v>0</v>
      </c>
      <c r="J95" s="45">
        <f t="shared" si="17"/>
        <v>0</v>
      </c>
      <c r="K95" s="8"/>
      <c r="L95" s="6"/>
      <c r="M95" s="6"/>
      <c r="N95" s="6"/>
      <c r="O95" s="6"/>
      <c r="P95" s="56">
        <f t="shared" si="18"/>
        <v>0</v>
      </c>
      <c r="Q95" s="6"/>
      <c r="R95" s="6"/>
      <c r="S95" s="6"/>
      <c r="T95" s="202"/>
      <c r="U95" s="56">
        <f t="shared" si="22"/>
        <v>0</v>
      </c>
      <c r="V95" s="56">
        <f t="shared" si="23"/>
        <v>0</v>
      </c>
      <c r="W95" s="6"/>
      <c r="X95" s="6"/>
      <c r="Y95" s="6"/>
      <c r="Z95" s="6"/>
      <c r="AA95" s="6"/>
      <c r="AB95" s="56">
        <f t="shared" si="19"/>
        <v>0</v>
      </c>
      <c r="AC95" s="6"/>
      <c r="AD95" s="6"/>
      <c r="AE95" s="6"/>
      <c r="AF95" s="202"/>
      <c r="AG95" s="16">
        <f t="shared" si="20"/>
        <v>0</v>
      </c>
    </row>
    <row r="96" spans="7:33" x14ac:dyDescent="0.15">
      <c r="G96" s="205" t="s">
        <v>186</v>
      </c>
      <c r="H96" s="4" t="s">
        <v>187</v>
      </c>
      <c r="I96" s="45">
        <f t="shared" si="16"/>
        <v>0</v>
      </c>
      <c r="J96" s="45">
        <f t="shared" si="17"/>
        <v>0</v>
      </c>
      <c r="K96" s="8"/>
      <c r="L96" s="6"/>
      <c r="M96" s="6"/>
      <c r="N96" s="6"/>
      <c r="O96" s="6"/>
      <c r="P96" s="56">
        <f t="shared" si="18"/>
        <v>0</v>
      </c>
      <c r="Q96" s="6"/>
      <c r="R96" s="6"/>
      <c r="S96" s="6"/>
      <c r="T96" s="202"/>
      <c r="U96" s="56">
        <f t="shared" si="22"/>
        <v>0</v>
      </c>
      <c r="V96" s="56">
        <f t="shared" si="23"/>
        <v>0</v>
      </c>
      <c r="W96" s="6"/>
      <c r="X96" s="6"/>
      <c r="Y96" s="6"/>
      <c r="Z96" s="6"/>
      <c r="AA96" s="6"/>
      <c r="AB96" s="56">
        <f t="shared" si="19"/>
        <v>0</v>
      </c>
      <c r="AC96" s="6"/>
      <c r="AD96" s="6"/>
      <c r="AE96" s="6"/>
      <c r="AF96" s="202"/>
      <c r="AG96" s="16">
        <f t="shared" si="20"/>
        <v>0</v>
      </c>
    </row>
    <row r="97" spans="7:33" x14ac:dyDescent="0.15">
      <c r="G97" s="205" t="s">
        <v>188</v>
      </c>
      <c r="H97" s="4" t="s">
        <v>189</v>
      </c>
      <c r="I97" s="45">
        <f t="shared" si="16"/>
        <v>0</v>
      </c>
      <c r="J97" s="45">
        <f t="shared" si="17"/>
        <v>0</v>
      </c>
      <c r="K97" s="8"/>
      <c r="L97" s="6"/>
      <c r="M97" s="6"/>
      <c r="N97" s="6"/>
      <c r="O97" s="6"/>
      <c r="P97" s="56">
        <f t="shared" si="18"/>
        <v>0</v>
      </c>
      <c r="Q97" s="6"/>
      <c r="R97" s="6"/>
      <c r="S97" s="6"/>
      <c r="T97" s="202"/>
      <c r="U97" s="56">
        <f t="shared" si="22"/>
        <v>0</v>
      </c>
      <c r="V97" s="56">
        <f t="shared" si="23"/>
        <v>0</v>
      </c>
      <c r="W97" s="6"/>
      <c r="X97" s="6"/>
      <c r="Y97" s="6"/>
      <c r="Z97" s="6"/>
      <c r="AA97" s="6"/>
      <c r="AB97" s="56">
        <f t="shared" si="19"/>
        <v>0</v>
      </c>
      <c r="AC97" s="6"/>
      <c r="AD97" s="6"/>
      <c r="AE97" s="6"/>
      <c r="AF97" s="202"/>
      <c r="AG97" s="16">
        <f t="shared" si="20"/>
        <v>0</v>
      </c>
    </row>
    <row r="98" spans="7:33" x14ac:dyDescent="0.15">
      <c r="G98" s="205" t="s">
        <v>190</v>
      </c>
      <c r="H98" s="53" t="s">
        <v>191</v>
      </c>
      <c r="I98" s="45">
        <f t="shared" si="16"/>
        <v>0</v>
      </c>
      <c r="J98" s="45">
        <f t="shared" si="17"/>
        <v>0</v>
      </c>
      <c r="K98" s="8"/>
      <c r="L98" s="6"/>
      <c r="M98" s="6"/>
      <c r="N98" s="6"/>
      <c r="O98" s="6"/>
      <c r="P98" s="56">
        <f t="shared" si="18"/>
        <v>0</v>
      </c>
      <c r="Q98" s="6"/>
      <c r="R98" s="6"/>
      <c r="S98" s="6"/>
      <c r="T98" s="202"/>
      <c r="U98" s="56">
        <f t="shared" si="22"/>
        <v>0</v>
      </c>
      <c r="V98" s="56">
        <f t="shared" si="23"/>
        <v>0</v>
      </c>
      <c r="W98" s="6"/>
      <c r="X98" s="6"/>
      <c r="Y98" s="6"/>
      <c r="Z98" s="6"/>
      <c r="AA98" s="6"/>
      <c r="AB98" s="56">
        <f t="shared" si="19"/>
        <v>0</v>
      </c>
      <c r="AC98" s="6"/>
      <c r="AD98" s="6"/>
      <c r="AE98" s="6"/>
      <c r="AF98" s="202"/>
      <c r="AG98" s="16">
        <f t="shared" si="20"/>
        <v>0</v>
      </c>
    </row>
    <row r="99" spans="7:33" x14ac:dyDescent="0.15">
      <c r="G99" s="205" t="s">
        <v>192</v>
      </c>
      <c r="H99" s="4" t="s">
        <v>193</v>
      </c>
      <c r="I99" s="45">
        <f t="shared" si="16"/>
        <v>0</v>
      </c>
      <c r="J99" s="45">
        <f t="shared" si="17"/>
        <v>0</v>
      </c>
      <c r="K99" s="8"/>
      <c r="L99" s="6"/>
      <c r="M99" s="6"/>
      <c r="N99" s="6"/>
      <c r="O99" s="6"/>
      <c r="P99" s="56">
        <f t="shared" si="18"/>
        <v>0</v>
      </c>
      <c r="Q99" s="6"/>
      <c r="R99" s="6"/>
      <c r="S99" s="6"/>
      <c r="T99" s="202"/>
      <c r="U99" s="56">
        <f t="shared" si="22"/>
        <v>0</v>
      </c>
      <c r="V99" s="56">
        <f t="shared" si="23"/>
        <v>0</v>
      </c>
      <c r="W99" s="6"/>
      <c r="X99" s="6"/>
      <c r="Y99" s="6"/>
      <c r="Z99" s="6"/>
      <c r="AA99" s="6"/>
      <c r="AB99" s="56">
        <f t="shared" si="19"/>
        <v>0</v>
      </c>
      <c r="AC99" s="6"/>
      <c r="AD99" s="6"/>
      <c r="AE99" s="6"/>
      <c r="AF99" s="202"/>
      <c r="AG99" s="16">
        <f t="shared" si="20"/>
        <v>0</v>
      </c>
    </row>
    <row r="100" spans="7:33" x14ac:dyDescent="0.15">
      <c r="G100" s="205" t="s">
        <v>194</v>
      </c>
      <c r="H100" s="4" t="s">
        <v>195</v>
      </c>
      <c r="I100" s="45">
        <f t="shared" si="16"/>
        <v>0</v>
      </c>
      <c r="J100" s="45">
        <f t="shared" si="17"/>
        <v>0</v>
      </c>
      <c r="K100" s="8"/>
      <c r="L100" s="6"/>
      <c r="M100" s="6"/>
      <c r="N100" s="6"/>
      <c r="O100" s="6"/>
      <c r="P100" s="56">
        <f t="shared" si="18"/>
        <v>0</v>
      </c>
      <c r="Q100" s="6"/>
      <c r="R100" s="6"/>
      <c r="S100" s="6"/>
      <c r="T100" s="202"/>
      <c r="U100" s="56">
        <f t="shared" si="22"/>
        <v>0</v>
      </c>
      <c r="V100" s="56">
        <f t="shared" si="23"/>
        <v>0</v>
      </c>
      <c r="W100" s="6"/>
      <c r="X100" s="6"/>
      <c r="Y100" s="6"/>
      <c r="Z100" s="6"/>
      <c r="AA100" s="6"/>
      <c r="AB100" s="56">
        <f t="shared" si="19"/>
        <v>0</v>
      </c>
      <c r="AC100" s="6"/>
      <c r="AD100" s="6"/>
      <c r="AE100" s="6"/>
      <c r="AF100" s="202"/>
      <c r="AG100" s="16">
        <f t="shared" si="20"/>
        <v>0</v>
      </c>
    </row>
    <row r="101" spans="7:33" x14ac:dyDescent="0.15">
      <c r="G101" s="205" t="s">
        <v>196</v>
      </c>
      <c r="H101" s="53" t="s">
        <v>197</v>
      </c>
      <c r="I101" s="45">
        <f t="shared" si="16"/>
        <v>0</v>
      </c>
      <c r="J101" s="45">
        <f t="shared" si="17"/>
        <v>0</v>
      </c>
      <c r="K101" s="8"/>
      <c r="L101" s="6"/>
      <c r="M101" s="6"/>
      <c r="N101" s="6"/>
      <c r="O101" s="6"/>
      <c r="P101" s="56">
        <f t="shared" si="18"/>
        <v>0</v>
      </c>
      <c r="Q101" s="6"/>
      <c r="R101" s="6"/>
      <c r="S101" s="6"/>
      <c r="T101" s="202"/>
      <c r="U101" s="56">
        <f t="shared" si="22"/>
        <v>0</v>
      </c>
      <c r="V101" s="56">
        <f t="shared" si="23"/>
        <v>0</v>
      </c>
      <c r="W101" s="6"/>
      <c r="X101" s="6"/>
      <c r="Y101" s="6"/>
      <c r="Z101" s="6"/>
      <c r="AA101" s="6"/>
      <c r="AB101" s="56">
        <f t="shared" si="19"/>
        <v>0</v>
      </c>
      <c r="AC101" s="6"/>
      <c r="AD101" s="6"/>
      <c r="AE101" s="6"/>
      <c r="AF101" s="202"/>
      <c r="AG101" s="16">
        <f t="shared" si="20"/>
        <v>0</v>
      </c>
    </row>
    <row r="102" spans="7:33" x14ac:dyDescent="0.15">
      <c r="G102" s="205" t="s">
        <v>198</v>
      </c>
      <c r="H102" s="4" t="s">
        <v>199</v>
      </c>
      <c r="I102" s="45">
        <f t="shared" si="16"/>
        <v>0</v>
      </c>
      <c r="J102" s="45">
        <f t="shared" si="17"/>
        <v>0</v>
      </c>
      <c r="K102" s="46">
        <f t="shared" ref="K102:AF102" si="25">SUM(K103:K104)</f>
        <v>0</v>
      </c>
      <c r="L102" s="46">
        <f t="shared" si="25"/>
        <v>0</v>
      </c>
      <c r="M102" s="46">
        <f t="shared" si="25"/>
        <v>0</v>
      </c>
      <c r="N102" s="46">
        <f t="shared" si="25"/>
        <v>0</v>
      </c>
      <c r="O102" s="46">
        <f t="shared" si="25"/>
        <v>0</v>
      </c>
      <c r="P102" s="56">
        <f t="shared" si="18"/>
        <v>0</v>
      </c>
      <c r="Q102" s="46">
        <f t="shared" si="25"/>
        <v>0</v>
      </c>
      <c r="R102" s="46">
        <f t="shared" si="25"/>
        <v>0</v>
      </c>
      <c r="S102" s="46">
        <f t="shared" si="25"/>
        <v>0</v>
      </c>
      <c r="T102" s="46">
        <f t="shared" si="25"/>
        <v>0</v>
      </c>
      <c r="U102" s="56">
        <f t="shared" si="22"/>
        <v>0</v>
      </c>
      <c r="V102" s="56">
        <f t="shared" si="23"/>
        <v>0</v>
      </c>
      <c r="W102" s="46">
        <f t="shared" si="25"/>
        <v>0</v>
      </c>
      <c r="X102" s="46">
        <f t="shared" si="25"/>
        <v>0</v>
      </c>
      <c r="Y102" s="46">
        <f t="shared" si="25"/>
        <v>0</v>
      </c>
      <c r="Z102" s="46">
        <f t="shared" si="25"/>
        <v>0</v>
      </c>
      <c r="AA102" s="46">
        <f t="shared" si="25"/>
        <v>0</v>
      </c>
      <c r="AB102" s="56">
        <f t="shared" si="19"/>
        <v>0</v>
      </c>
      <c r="AC102" s="46">
        <f t="shared" si="25"/>
        <v>0</v>
      </c>
      <c r="AD102" s="46">
        <f t="shared" si="25"/>
        <v>0</v>
      </c>
      <c r="AE102" s="46">
        <f t="shared" si="25"/>
        <v>0</v>
      </c>
      <c r="AF102" s="46">
        <f t="shared" si="25"/>
        <v>0</v>
      </c>
      <c r="AG102" s="16">
        <f t="shared" si="20"/>
        <v>0</v>
      </c>
    </row>
    <row r="103" spans="7:33" ht="21" x14ac:dyDescent="0.15">
      <c r="G103" s="206" t="s">
        <v>869</v>
      </c>
      <c r="H103" s="4" t="s">
        <v>200</v>
      </c>
      <c r="I103" s="45">
        <f t="shared" si="16"/>
        <v>0</v>
      </c>
      <c r="J103" s="45">
        <f t="shared" si="17"/>
        <v>0</v>
      </c>
      <c r="K103" s="8"/>
      <c r="L103" s="6"/>
      <c r="M103" s="6"/>
      <c r="N103" s="6"/>
      <c r="O103" s="6"/>
      <c r="P103" s="56">
        <f t="shared" si="18"/>
        <v>0</v>
      </c>
      <c r="Q103" s="6"/>
      <c r="R103" s="6"/>
      <c r="S103" s="6"/>
      <c r="T103" s="202"/>
      <c r="U103" s="56">
        <f t="shared" si="22"/>
        <v>0</v>
      </c>
      <c r="V103" s="56">
        <f t="shared" si="23"/>
        <v>0</v>
      </c>
      <c r="W103" s="6"/>
      <c r="X103" s="6"/>
      <c r="Y103" s="6"/>
      <c r="Z103" s="6"/>
      <c r="AA103" s="6"/>
      <c r="AB103" s="56">
        <f t="shared" si="19"/>
        <v>0</v>
      </c>
      <c r="AC103" s="6"/>
      <c r="AD103" s="6"/>
      <c r="AE103" s="6"/>
      <c r="AF103" s="202"/>
      <c r="AG103" s="16">
        <f t="shared" si="20"/>
        <v>0</v>
      </c>
    </row>
    <row r="104" spans="7:33" x14ac:dyDescent="0.15">
      <c r="G104" s="206" t="s">
        <v>863</v>
      </c>
      <c r="H104" s="53" t="s">
        <v>201</v>
      </c>
      <c r="I104" s="45">
        <f t="shared" si="16"/>
        <v>0</v>
      </c>
      <c r="J104" s="45">
        <f t="shared" si="17"/>
        <v>0</v>
      </c>
      <c r="K104" s="8"/>
      <c r="L104" s="6"/>
      <c r="M104" s="6"/>
      <c r="N104" s="6"/>
      <c r="O104" s="6"/>
      <c r="P104" s="56">
        <f t="shared" si="18"/>
        <v>0</v>
      </c>
      <c r="Q104" s="6"/>
      <c r="R104" s="6"/>
      <c r="S104" s="6"/>
      <c r="T104" s="202"/>
      <c r="U104" s="56">
        <f t="shared" si="22"/>
        <v>0</v>
      </c>
      <c r="V104" s="56">
        <f t="shared" si="23"/>
        <v>0</v>
      </c>
      <c r="W104" s="6"/>
      <c r="X104" s="6"/>
      <c r="Y104" s="6"/>
      <c r="Z104" s="6"/>
      <c r="AA104" s="6"/>
      <c r="AB104" s="56">
        <f t="shared" si="19"/>
        <v>0</v>
      </c>
      <c r="AC104" s="6"/>
      <c r="AD104" s="6"/>
      <c r="AE104" s="6"/>
      <c r="AF104" s="202"/>
      <c r="AG104" s="16">
        <f t="shared" si="20"/>
        <v>0</v>
      </c>
    </row>
    <row r="105" spans="7:33" x14ac:dyDescent="0.15">
      <c r="G105" s="205" t="s">
        <v>202</v>
      </c>
      <c r="H105" s="4" t="s">
        <v>203</v>
      </c>
      <c r="I105" s="45">
        <f t="shared" si="16"/>
        <v>0</v>
      </c>
      <c r="J105" s="45">
        <f t="shared" si="17"/>
        <v>0</v>
      </c>
      <c r="K105" s="8"/>
      <c r="L105" s="6"/>
      <c r="M105" s="6"/>
      <c r="N105" s="6"/>
      <c r="O105" s="6"/>
      <c r="P105" s="56">
        <f t="shared" si="18"/>
        <v>0</v>
      </c>
      <c r="Q105" s="6"/>
      <c r="R105" s="6"/>
      <c r="S105" s="6"/>
      <c r="T105" s="202"/>
      <c r="U105" s="56">
        <f t="shared" si="22"/>
        <v>0</v>
      </c>
      <c r="V105" s="56">
        <f t="shared" si="23"/>
        <v>0</v>
      </c>
      <c r="W105" s="6"/>
      <c r="X105" s="6"/>
      <c r="Y105" s="6"/>
      <c r="Z105" s="6"/>
      <c r="AA105" s="6"/>
      <c r="AB105" s="56">
        <f t="shared" si="19"/>
        <v>0</v>
      </c>
      <c r="AC105" s="6"/>
      <c r="AD105" s="6"/>
      <c r="AE105" s="6"/>
      <c r="AF105" s="202"/>
      <c r="AG105" s="16">
        <f t="shared" si="20"/>
        <v>0</v>
      </c>
    </row>
    <row r="106" spans="7:33" x14ac:dyDescent="0.15">
      <c r="G106" s="205" t="s">
        <v>204</v>
      </c>
      <c r="H106" s="4" t="s">
        <v>205</v>
      </c>
      <c r="I106" s="45">
        <f t="shared" si="16"/>
        <v>0</v>
      </c>
      <c r="J106" s="45">
        <f t="shared" si="17"/>
        <v>0</v>
      </c>
      <c r="K106" s="8"/>
      <c r="L106" s="6"/>
      <c r="M106" s="6"/>
      <c r="N106" s="6"/>
      <c r="O106" s="6"/>
      <c r="P106" s="56">
        <f t="shared" si="18"/>
        <v>0</v>
      </c>
      <c r="Q106" s="6"/>
      <c r="R106" s="6"/>
      <c r="S106" s="6"/>
      <c r="T106" s="202"/>
      <c r="U106" s="56">
        <f t="shared" si="22"/>
        <v>0</v>
      </c>
      <c r="V106" s="56">
        <f t="shared" si="23"/>
        <v>0</v>
      </c>
      <c r="W106" s="6"/>
      <c r="X106" s="6"/>
      <c r="Y106" s="6"/>
      <c r="Z106" s="6"/>
      <c r="AA106" s="6"/>
      <c r="AB106" s="56">
        <f t="shared" si="19"/>
        <v>0</v>
      </c>
      <c r="AC106" s="6"/>
      <c r="AD106" s="6"/>
      <c r="AE106" s="6"/>
      <c r="AF106" s="202"/>
      <c r="AG106" s="16">
        <f t="shared" si="20"/>
        <v>0</v>
      </c>
    </row>
    <row r="107" spans="7:33" x14ac:dyDescent="0.15">
      <c r="G107" s="205" t="s">
        <v>206</v>
      </c>
      <c r="H107" s="53" t="s">
        <v>207</v>
      </c>
      <c r="I107" s="45">
        <f t="shared" si="16"/>
        <v>0</v>
      </c>
      <c r="J107" s="45">
        <f t="shared" si="17"/>
        <v>0</v>
      </c>
      <c r="K107" s="8"/>
      <c r="L107" s="6"/>
      <c r="M107" s="6"/>
      <c r="N107" s="6"/>
      <c r="O107" s="6"/>
      <c r="P107" s="56">
        <f t="shared" si="18"/>
        <v>0</v>
      </c>
      <c r="Q107" s="6"/>
      <c r="R107" s="6"/>
      <c r="S107" s="6"/>
      <c r="T107" s="202"/>
      <c r="U107" s="56">
        <f t="shared" si="22"/>
        <v>0</v>
      </c>
      <c r="V107" s="56">
        <f t="shared" si="23"/>
        <v>0</v>
      </c>
      <c r="W107" s="6"/>
      <c r="X107" s="6"/>
      <c r="Y107" s="6"/>
      <c r="Z107" s="6"/>
      <c r="AA107" s="6"/>
      <c r="AB107" s="56">
        <f t="shared" si="19"/>
        <v>0</v>
      </c>
      <c r="AC107" s="6"/>
      <c r="AD107" s="6"/>
      <c r="AE107" s="6"/>
      <c r="AF107" s="202"/>
      <c r="AG107" s="16">
        <f t="shared" si="20"/>
        <v>0</v>
      </c>
    </row>
    <row r="108" spans="7:33" x14ac:dyDescent="0.15">
      <c r="G108" s="205" t="s">
        <v>208</v>
      </c>
      <c r="H108" s="4" t="s">
        <v>209</v>
      </c>
      <c r="I108" s="45">
        <f t="shared" si="16"/>
        <v>0</v>
      </c>
      <c r="J108" s="45">
        <f t="shared" si="17"/>
        <v>0</v>
      </c>
      <c r="K108" s="8"/>
      <c r="L108" s="6"/>
      <c r="M108" s="6"/>
      <c r="N108" s="6"/>
      <c r="O108" s="6"/>
      <c r="P108" s="56">
        <f t="shared" si="18"/>
        <v>0</v>
      </c>
      <c r="Q108" s="6"/>
      <c r="R108" s="6"/>
      <c r="S108" s="6"/>
      <c r="T108" s="202"/>
      <c r="U108" s="56">
        <f t="shared" si="22"/>
        <v>0</v>
      </c>
      <c r="V108" s="56">
        <f t="shared" si="23"/>
        <v>0</v>
      </c>
      <c r="W108" s="6"/>
      <c r="X108" s="6"/>
      <c r="Y108" s="6"/>
      <c r="Z108" s="6"/>
      <c r="AA108" s="6"/>
      <c r="AB108" s="56">
        <f t="shared" si="19"/>
        <v>0</v>
      </c>
      <c r="AC108" s="6"/>
      <c r="AD108" s="6"/>
      <c r="AE108" s="6"/>
      <c r="AF108" s="202"/>
      <c r="AG108" s="16">
        <f t="shared" si="20"/>
        <v>0</v>
      </c>
    </row>
    <row r="109" spans="7:33" x14ac:dyDescent="0.15">
      <c r="G109" s="205" t="s">
        <v>210</v>
      </c>
      <c r="H109" s="4" t="s">
        <v>211</v>
      </c>
      <c r="I109" s="45">
        <f t="shared" si="16"/>
        <v>0</v>
      </c>
      <c r="J109" s="45">
        <f t="shared" si="17"/>
        <v>0</v>
      </c>
      <c r="K109" s="8"/>
      <c r="L109" s="6"/>
      <c r="M109" s="6"/>
      <c r="N109" s="6"/>
      <c r="O109" s="6"/>
      <c r="P109" s="56">
        <f t="shared" si="18"/>
        <v>0</v>
      </c>
      <c r="Q109" s="6"/>
      <c r="R109" s="6"/>
      <c r="S109" s="6"/>
      <c r="T109" s="202"/>
      <c r="U109" s="56">
        <f t="shared" si="22"/>
        <v>0</v>
      </c>
      <c r="V109" s="56">
        <f t="shared" si="23"/>
        <v>0</v>
      </c>
      <c r="W109" s="6"/>
      <c r="X109" s="6"/>
      <c r="Y109" s="6"/>
      <c r="Z109" s="6"/>
      <c r="AA109" s="6"/>
      <c r="AB109" s="56">
        <f t="shared" si="19"/>
        <v>0</v>
      </c>
      <c r="AC109" s="6"/>
      <c r="AD109" s="6"/>
      <c r="AE109" s="6"/>
      <c r="AF109" s="202"/>
      <c r="AG109" s="16">
        <f t="shared" si="20"/>
        <v>0</v>
      </c>
    </row>
    <row r="110" spans="7:33" x14ac:dyDescent="0.15">
      <c r="G110" s="205" t="s">
        <v>212</v>
      </c>
      <c r="H110" s="53" t="s">
        <v>213</v>
      </c>
      <c r="I110" s="45">
        <f t="shared" si="16"/>
        <v>0</v>
      </c>
      <c r="J110" s="45">
        <f t="shared" si="17"/>
        <v>0</v>
      </c>
      <c r="K110" s="48">
        <f t="shared" ref="K110:AF110" si="26">SUM(K111:K117)</f>
        <v>0</v>
      </c>
      <c r="L110" s="48">
        <f t="shared" si="26"/>
        <v>0</v>
      </c>
      <c r="M110" s="48">
        <f t="shared" si="26"/>
        <v>0</v>
      </c>
      <c r="N110" s="48">
        <f t="shared" si="26"/>
        <v>0</v>
      </c>
      <c r="O110" s="48">
        <f t="shared" si="26"/>
        <v>0</v>
      </c>
      <c r="P110" s="56">
        <f t="shared" si="18"/>
        <v>0</v>
      </c>
      <c r="Q110" s="48">
        <f t="shared" si="26"/>
        <v>0</v>
      </c>
      <c r="R110" s="48">
        <f t="shared" si="26"/>
        <v>0</v>
      </c>
      <c r="S110" s="48">
        <f t="shared" si="26"/>
        <v>0</v>
      </c>
      <c r="T110" s="48">
        <f t="shared" si="26"/>
        <v>0</v>
      </c>
      <c r="U110" s="56">
        <f t="shared" si="22"/>
        <v>0</v>
      </c>
      <c r="V110" s="56">
        <f t="shared" si="23"/>
        <v>0</v>
      </c>
      <c r="W110" s="48">
        <f t="shared" si="26"/>
        <v>0</v>
      </c>
      <c r="X110" s="48">
        <f t="shared" si="26"/>
        <v>0</v>
      </c>
      <c r="Y110" s="48">
        <f t="shared" si="26"/>
        <v>0</v>
      </c>
      <c r="Z110" s="48">
        <f t="shared" si="26"/>
        <v>0</v>
      </c>
      <c r="AA110" s="48">
        <f t="shared" si="26"/>
        <v>0</v>
      </c>
      <c r="AB110" s="56">
        <f t="shared" si="19"/>
        <v>0</v>
      </c>
      <c r="AC110" s="48">
        <f t="shared" si="26"/>
        <v>0</v>
      </c>
      <c r="AD110" s="48">
        <f t="shared" si="26"/>
        <v>0</v>
      </c>
      <c r="AE110" s="48">
        <f t="shared" si="26"/>
        <v>0</v>
      </c>
      <c r="AF110" s="48">
        <f t="shared" si="26"/>
        <v>0</v>
      </c>
      <c r="AG110" s="16">
        <f t="shared" si="20"/>
        <v>0</v>
      </c>
    </row>
    <row r="111" spans="7:33" ht="21" x14ac:dyDescent="0.15">
      <c r="G111" s="206" t="s">
        <v>214</v>
      </c>
      <c r="H111" s="4" t="s">
        <v>215</v>
      </c>
      <c r="I111" s="45">
        <f t="shared" si="16"/>
        <v>0</v>
      </c>
      <c r="J111" s="45">
        <f t="shared" si="17"/>
        <v>0</v>
      </c>
      <c r="K111" s="8"/>
      <c r="L111" s="6"/>
      <c r="M111" s="6"/>
      <c r="N111" s="6"/>
      <c r="O111" s="6"/>
      <c r="P111" s="56">
        <f t="shared" si="18"/>
        <v>0</v>
      </c>
      <c r="Q111" s="6"/>
      <c r="R111" s="6"/>
      <c r="S111" s="6"/>
      <c r="T111" s="202"/>
      <c r="U111" s="56">
        <f t="shared" si="22"/>
        <v>0</v>
      </c>
      <c r="V111" s="56">
        <f t="shared" si="23"/>
        <v>0</v>
      </c>
      <c r="W111" s="6"/>
      <c r="X111" s="6"/>
      <c r="Y111" s="6"/>
      <c r="Z111" s="6"/>
      <c r="AA111" s="6"/>
      <c r="AB111" s="56">
        <f t="shared" si="19"/>
        <v>0</v>
      </c>
      <c r="AC111" s="6"/>
      <c r="AD111" s="6"/>
      <c r="AE111" s="6"/>
      <c r="AF111" s="202"/>
      <c r="AG111" s="16">
        <f t="shared" si="20"/>
        <v>0</v>
      </c>
    </row>
    <row r="112" spans="7:33" x14ac:dyDescent="0.15">
      <c r="G112" s="206" t="s">
        <v>216</v>
      </c>
      <c r="H112" s="4" t="s">
        <v>217</v>
      </c>
      <c r="I112" s="45">
        <f t="shared" si="16"/>
        <v>0</v>
      </c>
      <c r="J112" s="45">
        <f t="shared" si="17"/>
        <v>0</v>
      </c>
      <c r="K112" s="8"/>
      <c r="L112" s="6"/>
      <c r="M112" s="6"/>
      <c r="N112" s="6"/>
      <c r="O112" s="6"/>
      <c r="P112" s="56">
        <f t="shared" si="18"/>
        <v>0</v>
      </c>
      <c r="Q112" s="6"/>
      <c r="R112" s="6"/>
      <c r="S112" s="6"/>
      <c r="T112" s="202"/>
      <c r="U112" s="56">
        <f t="shared" si="22"/>
        <v>0</v>
      </c>
      <c r="V112" s="56">
        <f t="shared" si="23"/>
        <v>0</v>
      </c>
      <c r="W112" s="6"/>
      <c r="X112" s="6"/>
      <c r="Y112" s="6"/>
      <c r="Z112" s="6"/>
      <c r="AA112" s="6"/>
      <c r="AB112" s="56">
        <f t="shared" si="19"/>
        <v>0</v>
      </c>
      <c r="AC112" s="6"/>
      <c r="AD112" s="6"/>
      <c r="AE112" s="6"/>
      <c r="AF112" s="202"/>
      <c r="AG112" s="16">
        <f t="shared" si="20"/>
        <v>0</v>
      </c>
    </row>
    <row r="113" spans="7:33" x14ac:dyDescent="0.15">
      <c r="G113" s="206" t="s">
        <v>218</v>
      </c>
      <c r="H113" s="53" t="s">
        <v>219</v>
      </c>
      <c r="I113" s="45">
        <f t="shared" si="16"/>
        <v>0</v>
      </c>
      <c r="J113" s="45">
        <f t="shared" si="17"/>
        <v>0</v>
      </c>
      <c r="K113" s="8"/>
      <c r="L113" s="6"/>
      <c r="M113" s="6"/>
      <c r="N113" s="6"/>
      <c r="O113" s="6"/>
      <c r="P113" s="56">
        <f t="shared" si="18"/>
        <v>0</v>
      </c>
      <c r="Q113" s="6"/>
      <c r="R113" s="6"/>
      <c r="S113" s="6"/>
      <c r="T113" s="202"/>
      <c r="U113" s="56">
        <f t="shared" si="22"/>
        <v>0</v>
      </c>
      <c r="V113" s="56">
        <f t="shared" si="23"/>
        <v>0</v>
      </c>
      <c r="W113" s="6"/>
      <c r="X113" s="6"/>
      <c r="Y113" s="6"/>
      <c r="Z113" s="6"/>
      <c r="AA113" s="6"/>
      <c r="AB113" s="56">
        <f t="shared" si="19"/>
        <v>0</v>
      </c>
      <c r="AC113" s="6"/>
      <c r="AD113" s="6"/>
      <c r="AE113" s="6"/>
      <c r="AF113" s="202"/>
      <c r="AG113" s="16">
        <f t="shared" si="20"/>
        <v>0</v>
      </c>
    </row>
    <row r="114" spans="7:33" x14ac:dyDescent="0.15">
      <c r="G114" s="206" t="s">
        <v>220</v>
      </c>
      <c r="H114" s="4" t="s">
        <v>221</v>
      </c>
      <c r="I114" s="45">
        <f t="shared" si="16"/>
        <v>0</v>
      </c>
      <c r="J114" s="45">
        <f t="shared" si="17"/>
        <v>0</v>
      </c>
      <c r="K114" s="8"/>
      <c r="L114" s="6"/>
      <c r="M114" s="6"/>
      <c r="N114" s="6"/>
      <c r="O114" s="6"/>
      <c r="P114" s="56">
        <f t="shared" si="18"/>
        <v>0</v>
      </c>
      <c r="Q114" s="6"/>
      <c r="R114" s="6"/>
      <c r="S114" s="6"/>
      <c r="T114" s="202"/>
      <c r="U114" s="56">
        <f t="shared" si="22"/>
        <v>0</v>
      </c>
      <c r="V114" s="56">
        <f t="shared" si="23"/>
        <v>0</v>
      </c>
      <c r="W114" s="6"/>
      <c r="X114" s="6"/>
      <c r="Y114" s="6"/>
      <c r="Z114" s="6"/>
      <c r="AA114" s="6"/>
      <c r="AB114" s="56">
        <f t="shared" si="19"/>
        <v>0</v>
      </c>
      <c r="AC114" s="6"/>
      <c r="AD114" s="6"/>
      <c r="AE114" s="6"/>
      <c r="AF114" s="202"/>
      <c r="AG114" s="16">
        <f t="shared" si="20"/>
        <v>0</v>
      </c>
    </row>
    <row r="115" spans="7:33" x14ac:dyDescent="0.15">
      <c r="G115" s="206" t="s">
        <v>222</v>
      </c>
      <c r="H115" s="4" t="s">
        <v>223</v>
      </c>
      <c r="I115" s="45">
        <f t="shared" si="16"/>
        <v>0</v>
      </c>
      <c r="J115" s="45">
        <f t="shared" si="17"/>
        <v>0</v>
      </c>
      <c r="K115" s="8"/>
      <c r="L115" s="6"/>
      <c r="M115" s="6"/>
      <c r="N115" s="6"/>
      <c r="O115" s="6"/>
      <c r="P115" s="56">
        <f t="shared" si="18"/>
        <v>0</v>
      </c>
      <c r="Q115" s="6"/>
      <c r="R115" s="6"/>
      <c r="S115" s="6"/>
      <c r="T115" s="202"/>
      <c r="U115" s="56">
        <f t="shared" si="22"/>
        <v>0</v>
      </c>
      <c r="V115" s="56">
        <f t="shared" si="23"/>
        <v>0</v>
      </c>
      <c r="W115" s="6"/>
      <c r="X115" s="6"/>
      <c r="Y115" s="6"/>
      <c r="Z115" s="6"/>
      <c r="AA115" s="6"/>
      <c r="AB115" s="56">
        <f t="shared" si="19"/>
        <v>0</v>
      </c>
      <c r="AC115" s="6"/>
      <c r="AD115" s="6"/>
      <c r="AE115" s="6"/>
      <c r="AF115" s="202"/>
      <c r="AG115" s="16">
        <f t="shared" si="20"/>
        <v>0</v>
      </c>
    </row>
    <row r="116" spans="7:33" x14ac:dyDescent="0.15">
      <c r="G116" s="206" t="s">
        <v>154</v>
      </c>
      <c r="H116" s="53" t="s">
        <v>224</v>
      </c>
      <c r="I116" s="45">
        <f t="shared" si="16"/>
        <v>0</v>
      </c>
      <c r="J116" s="45">
        <f t="shared" si="17"/>
        <v>0</v>
      </c>
      <c r="K116" s="8"/>
      <c r="L116" s="6"/>
      <c r="M116" s="6"/>
      <c r="N116" s="6"/>
      <c r="O116" s="6"/>
      <c r="P116" s="56">
        <f t="shared" si="18"/>
        <v>0</v>
      </c>
      <c r="Q116" s="6"/>
      <c r="R116" s="6"/>
      <c r="S116" s="6"/>
      <c r="T116" s="202"/>
      <c r="U116" s="56">
        <f t="shared" si="22"/>
        <v>0</v>
      </c>
      <c r="V116" s="56">
        <f t="shared" si="23"/>
        <v>0</v>
      </c>
      <c r="W116" s="6"/>
      <c r="X116" s="6"/>
      <c r="Y116" s="6"/>
      <c r="Z116" s="6"/>
      <c r="AA116" s="6"/>
      <c r="AB116" s="56">
        <f t="shared" si="19"/>
        <v>0</v>
      </c>
      <c r="AC116" s="6"/>
      <c r="AD116" s="6"/>
      <c r="AE116" s="6"/>
      <c r="AF116" s="202"/>
      <c r="AG116" s="16">
        <f t="shared" si="20"/>
        <v>0</v>
      </c>
    </row>
    <row r="117" spans="7:33" x14ac:dyDescent="0.15">
      <c r="G117" s="206" t="s">
        <v>225</v>
      </c>
      <c r="H117" s="4" t="s">
        <v>226</v>
      </c>
      <c r="I117" s="45">
        <f t="shared" si="16"/>
        <v>0</v>
      </c>
      <c r="J117" s="45">
        <f t="shared" si="17"/>
        <v>0</v>
      </c>
      <c r="K117" s="8"/>
      <c r="L117" s="6"/>
      <c r="M117" s="6"/>
      <c r="N117" s="6"/>
      <c r="O117" s="6"/>
      <c r="P117" s="56">
        <f t="shared" si="18"/>
        <v>0</v>
      </c>
      <c r="Q117" s="6"/>
      <c r="R117" s="6"/>
      <c r="S117" s="6"/>
      <c r="T117" s="202"/>
      <c r="U117" s="56">
        <f t="shared" si="22"/>
        <v>0</v>
      </c>
      <c r="V117" s="56">
        <f t="shared" si="23"/>
        <v>0</v>
      </c>
      <c r="W117" s="6"/>
      <c r="X117" s="6"/>
      <c r="Y117" s="6"/>
      <c r="Z117" s="6"/>
      <c r="AA117" s="6"/>
      <c r="AB117" s="56">
        <f t="shared" si="19"/>
        <v>0</v>
      </c>
      <c r="AC117" s="6"/>
      <c r="AD117" s="6"/>
      <c r="AE117" s="6"/>
      <c r="AF117" s="202"/>
      <c r="AG117" s="16">
        <f t="shared" si="20"/>
        <v>0</v>
      </c>
    </row>
    <row r="118" spans="7:33" x14ac:dyDescent="0.15">
      <c r="G118" s="205" t="s">
        <v>227</v>
      </c>
      <c r="H118" s="4" t="s">
        <v>228</v>
      </c>
      <c r="I118" s="45">
        <f t="shared" si="16"/>
        <v>0</v>
      </c>
      <c r="J118" s="45">
        <f t="shared" si="17"/>
        <v>0</v>
      </c>
      <c r="K118" s="8"/>
      <c r="L118" s="6"/>
      <c r="M118" s="6"/>
      <c r="N118" s="6"/>
      <c r="O118" s="6"/>
      <c r="P118" s="56">
        <f t="shared" si="18"/>
        <v>0</v>
      </c>
      <c r="Q118" s="6"/>
      <c r="R118" s="6"/>
      <c r="S118" s="6"/>
      <c r="T118" s="202"/>
      <c r="U118" s="56">
        <f t="shared" si="22"/>
        <v>0</v>
      </c>
      <c r="V118" s="56">
        <f t="shared" si="23"/>
        <v>0</v>
      </c>
      <c r="W118" s="6"/>
      <c r="X118" s="6"/>
      <c r="Y118" s="6"/>
      <c r="Z118" s="6"/>
      <c r="AA118" s="6"/>
      <c r="AB118" s="56">
        <f t="shared" si="19"/>
        <v>0</v>
      </c>
      <c r="AC118" s="6"/>
      <c r="AD118" s="6"/>
      <c r="AE118" s="6"/>
      <c r="AF118" s="202"/>
      <c r="AG118" s="16">
        <f t="shared" si="20"/>
        <v>0</v>
      </c>
    </row>
    <row r="119" spans="7:33" x14ac:dyDescent="0.15">
      <c r="G119" s="205" t="s">
        <v>229</v>
      </c>
      <c r="H119" s="53" t="s">
        <v>230</v>
      </c>
      <c r="I119" s="45">
        <f t="shared" si="16"/>
        <v>0</v>
      </c>
      <c r="J119" s="45">
        <f t="shared" si="17"/>
        <v>0</v>
      </c>
      <c r="K119" s="46">
        <f t="shared" ref="K119:AF119" si="27">SUM(K120:K123)</f>
        <v>0</v>
      </c>
      <c r="L119" s="46">
        <f t="shared" si="27"/>
        <v>0</v>
      </c>
      <c r="M119" s="46">
        <f t="shared" si="27"/>
        <v>0</v>
      </c>
      <c r="N119" s="46">
        <f t="shared" si="27"/>
        <v>0</v>
      </c>
      <c r="O119" s="46">
        <f t="shared" si="27"/>
        <v>0</v>
      </c>
      <c r="P119" s="56">
        <f t="shared" si="18"/>
        <v>0</v>
      </c>
      <c r="Q119" s="46">
        <f t="shared" si="27"/>
        <v>0</v>
      </c>
      <c r="R119" s="46">
        <f t="shared" si="27"/>
        <v>0</v>
      </c>
      <c r="S119" s="46">
        <f t="shared" si="27"/>
        <v>0</v>
      </c>
      <c r="T119" s="46">
        <f t="shared" si="27"/>
        <v>0</v>
      </c>
      <c r="U119" s="56">
        <f t="shared" si="22"/>
        <v>0</v>
      </c>
      <c r="V119" s="56">
        <f t="shared" si="23"/>
        <v>0</v>
      </c>
      <c r="W119" s="46">
        <f t="shared" si="27"/>
        <v>0</v>
      </c>
      <c r="X119" s="46">
        <f t="shared" si="27"/>
        <v>0</v>
      </c>
      <c r="Y119" s="46">
        <f t="shared" si="27"/>
        <v>0</v>
      </c>
      <c r="Z119" s="46">
        <f t="shared" si="27"/>
        <v>0</v>
      </c>
      <c r="AA119" s="46">
        <f t="shared" si="27"/>
        <v>0</v>
      </c>
      <c r="AB119" s="56">
        <f t="shared" si="19"/>
        <v>0</v>
      </c>
      <c r="AC119" s="46">
        <f t="shared" si="27"/>
        <v>0</v>
      </c>
      <c r="AD119" s="46">
        <f t="shared" si="27"/>
        <v>0</v>
      </c>
      <c r="AE119" s="46">
        <f t="shared" si="27"/>
        <v>0</v>
      </c>
      <c r="AF119" s="46">
        <f t="shared" si="27"/>
        <v>0</v>
      </c>
      <c r="AG119" s="16">
        <f t="shared" si="20"/>
        <v>0</v>
      </c>
    </row>
    <row r="120" spans="7:33" ht="21" x14ac:dyDescent="0.15">
      <c r="G120" s="206" t="s">
        <v>870</v>
      </c>
      <c r="H120" s="4" t="s">
        <v>231</v>
      </c>
      <c r="I120" s="45">
        <f t="shared" si="16"/>
        <v>0</v>
      </c>
      <c r="J120" s="45">
        <f t="shared" si="17"/>
        <v>0</v>
      </c>
      <c r="K120" s="8"/>
      <c r="L120" s="6"/>
      <c r="M120" s="6"/>
      <c r="N120" s="6"/>
      <c r="O120" s="6"/>
      <c r="P120" s="56">
        <f t="shared" si="18"/>
        <v>0</v>
      </c>
      <c r="Q120" s="6"/>
      <c r="R120" s="6"/>
      <c r="S120" s="6"/>
      <c r="T120" s="202"/>
      <c r="U120" s="56">
        <f t="shared" si="22"/>
        <v>0</v>
      </c>
      <c r="V120" s="56">
        <f t="shared" si="23"/>
        <v>0</v>
      </c>
      <c r="W120" s="6"/>
      <c r="X120" s="6"/>
      <c r="Y120" s="6"/>
      <c r="Z120" s="6"/>
      <c r="AA120" s="6"/>
      <c r="AB120" s="56">
        <f t="shared" si="19"/>
        <v>0</v>
      </c>
      <c r="AC120" s="6"/>
      <c r="AD120" s="6"/>
      <c r="AE120" s="6"/>
      <c r="AF120" s="202"/>
      <c r="AG120" s="16">
        <f t="shared" si="20"/>
        <v>0</v>
      </c>
    </row>
    <row r="121" spans="7:33" x14ac:dyDescent="0.15">
      <c r="G121" s="206" t="s">
        <v>232</v>
      </c>
      <c r="H121" s="4" t="s">
        <v>233</v>
      </c>
      <c r="I121" s="45">
        <f t="shared" si="16"/>
        <v>0</v>
      </c>
      <c r="J121" s="45">
        <f t="shared" si="17"/>
        <v>0</v>
      </c>
      <c r="K121" s="8"/>
      <c r="L121" s="6"/>
      <c r="M121" s="6"/>
      <c r="N121" s="6"/>
      <c r="O121" s="6"/>
      <c r="P121" s="56">
        <f t="shared" si="18"/>
        <v>0</v>
      </c>
      <c r="Q121" s="6"/>
      <c r="R121" s="6"/>
      <c r="S121" s="6"/>
      <c r="T121" s="202"/>
      <c r="U121" s="56">
        <f t="shared" si="22"/>
        <v>0</v>
      </c>
      <c r="V121" s="56">
        <f t="shared" si="23"/>
        <v>0</v>
      </c>
      <c r="W121" s="6"/>
      <c r="X121" s="6"/>
      <c r="Y121" s="6"/>
      <c r="Z121" s="6"/>
      <c r="AA121" s="6"/>
      <c r="AB121" s="56">
        <f t="shared" si="19"/>
        <v>0</v>
      </c>
      <c r="AC121" s="6"/>
      <c r="AD121" s="6"/>
      <c r="AE121" s="6"/>
      <c r="AF121" s="202"/>
      <c r="AG121" s="16">
        <f t="shared" si="20"/>
        <v>0</v>
      </c>
    </row>
    <row r="122" spans="7:33" x14ac:dyDescent="0.15">
      <c r="G122" s="206" t="s">
        <v>234</v>
      </c>
      <c r="H122" s="53" t="s">
        <v>235</v>
      </c>
      <c r="I122" s="45">
        <f t="shared" si="16"/>
        <v>0</v>
      </c>
      <c r="J122" s="45">
        <f t="shared" si="17"/>
        <v>0</v>
      </c>
      <c r="K122" s="8"/>
      <c r="L122" s="6"/>
      <c r="M122" s="6"/>
      <c r="N122" s="6"/>
      <c r="O122" s="6"/>
      <c r="P122" s="56">
        <f t="shared" si="18"/>
        <v>0</v>
      </c>
      <c r="Q122" s="6"/>
      <c r="R122" s="6"/>
      <c r="S122" s="6"/>
      <c r="T122" s="202"/>
      <c r="U122" s="56">
        <f t="shared" si="22"/>
        <v>0</v>
      </c>
      <c r="V122" s="56">
        <f t="shared" si="23"/>
        <v>0</v>
      </c>
      <c r="W122" s="6"/>
      <c r="X122" s="6"/>
      <c r="Y122" s="6"/>
      <c r="Z122" s="6"/>
      <c r="AA122" s="6"/>
      <c r="AB122" s="56">
        <f t="shared" si="19"/>
        <v>0</v>
      </c>
      <c r="AC122" s="6"/>
      <c r="AD122" s="6"/>
      <c r="AE122" s="6"/>
      <c r="AF122" s="202"/>
      <c r="AG122" s="16">
        <f t="shared" si="20"/>
        <v>0</v>
      </c>
    </row>
    <row r="123" spans="7:33" ht="21" x14ac:dyDescent="0.15">
      <c r="G123" s="206" t="s">
        <v>236</v>
      </c>
      <c r="H123" s="4" t="s">
        <v>237</v>
      </c>
      <c r="I123" s="45">
        <f t="shared" si="16"/>
        <v>0</v>
      </c>
      <c r="J123" s="45">
        <f t="shared" si="17"/>
        <v>0</v>
      </c>
      <c r="K123" s="8"/>
      <c r="L123" s="6"/>
      <c r="M123" s="6"/>
      <c r="N123" s="6"/>
      <c r="O123" s="6"/>
      <c r="P123" s="56">
        <f t="shared" si="18"/>
        <v>0</v>
      </c>
      <c r="Q123" s="6"/>
      <c r="R123" s="6"/>
      <c r="S123" s="6"/>
      <c r="T123" s="202"/>
      <c r="U123" s="56">
        <f t="shared" si="22"/>
        <v>0</v>
      </c>
      <c r="V123" s="56">
        <f t="shared" si="23"/>
        <v>0</v>
      </c>
      <c r="W123" s="6"/>
      <c r="X123" s="6"/>
      <c r="Y123" s="6"/>
      <c r="Z123" s="6"/>
      <c r="AA123" s="6"/>
      <c r="AB123" s="56">
        <f t="shared" si="19"/>
        <v>0</v>
      </c>
      <c r="AC123" s="6"/>
      <c r="AD123" s="6"/>
      <c r="AE123" s="6"/>
      <c r="AF123" s="202"/>
      <c r="AG123" s="16">
        <f t="shared" si="20"/>
        <v>0</v>
      </c>
    </row>
    <row r="124" spans="7:33" x14ac:dyDescent="0.15">
      <c r="G124" s="205" t="s">
        <v>238</v>
      </c>
      <c r="H124" s="4" t="s">
        <v>239</v>
      </c>
      <c r="I124" s="45">
        <f t="shared" si="16"/>
        <v>0</v>
      </c>
      <c r="J124" s="45">
        <f t="shared" si="17"/>
        <v>0</v>
      </c>
      <c r="K124" s="8"/>
      <c r="L124" s="6"/>
      <c r="M124" s="6"/>
      <c r="N124" s="6"/>
      <c r="O124" s="6"/>
      <c r="P124" s="56">
        <f t="shared" si="18"/>
        <v>0</v>
      </c>
      <c r="Q124" s="6"/>
      <c r="R124" s="6"/>
      <c r="S124" s="6"/>
      <c r="T124" s="202"/>
      <c r="U124" s="56">
        <f t="shared" si="22"/>
        <v>0</v>
      </c>
      <c r="V124" s="56">
        <f t="shared" si="23"/>
        <v>0</v>
      </c>
      <c r="W124" s="6"/>
      <c r="X124" s="6"/>
      <c r="Y124" s="6"/>
      <c r="Z124" s="6"/>
      <c r="AA124" s="6"/>
      <c r="AB124" s="56">
        <f t="shared" si="19"/>
        <v>0</v>
      </c>
      <c r="AC124" s="6"/>
      <c r="AD124" s="6"/>
      <c r="AE124" s="6"/>
      <c r="AF124" s="202"/>
      <c r="AG124" s="16">
        <f t="shared" si="20"/>
        <v>0</v>
      </c>
    </row>
    <row r="125" spans="7:33" x14ac:dyDescent="0.15">
      <c r="G125" s="205" t="s">
        <v>240</v>
      </c>
      <c r="H125" s="53" t="s">
        <v>241</v>
      </c>
      <c r="I125" s="45">
        <f t="shared" si="16"/>
        <v>0</v>
      </c>
      <c r="J125" s="45">
        <f t="shared" si="17"/>
        <v>0</v>
      </c>
      <c r="K125" s="8"/>
      <c r="L125" s="6"/>
      <c r="M125" s="6"/>
      <c r="N125" s="6"/>
      <c r="O125" s="6"/>
      <c r="P125" s="56">
        <f t="shared" si="18"/>
        <v>0</v>
      </c>
      <c r="Q125" s="6"/>
      <c r="R125" s="6"/>
      <c r="S125" s="6"/>
      <c r="T125" s="202"/>
      <c r="U125" s="56">
        <f t="shared" si="22"/>
        <v>0</v>
      </c>
      <c r="V125" s="56">
        <f t="shared" si="23"/>
        <v>0</v>
      </c>
      <c r="W125" s="6"/>
      <c r="X125" s="6"/>
      <c r="Y125" s="6"/>
      <c r="Z125" s="6"/>
      <c r="AA125" s="6"/>
      <c r="AB125" s="56">
        <f t="shared" si="19"/>
        <v>0</v>
      </c>
      <c r="AC125" s="6"/>
      <c r="AD125" s="6"/>
      <c r="AE125" s="6"/>
      <c r="AF125" s="202"/>
      <c r="AG125" s="16">
        <f t="shared" si="20"/>
        <v>0</v>
      </c>
    </row>
    <row r="126" spans="7:33" x14ac:dyDescent="0.15">
      <c r="G126" s="205" t="s">
        <v>242</v>
      </c>
      <c r="H126" s="4" t="s">
        <v>243</v>
      </c>
      <c r="I126" s="45">
        <f t="shared" si="16"/>
        <v>0</v>
      </c>
      <c r="J126" s="45">
        <f t="shared" si="17"/>
        <v>0</v>
      </c>
      <c r="K126" s="8"/>
      <c r="L126" s="6"/>
      <c r="M126" s="6"/>
      <c r="N126" s="6"/>
      <c r="O126" s="6"/>
      <c r="P126" s="56">
        <f t="shared" si="18"/>
        <v>0</v>
      </c>
      <c r="Q126" s="6"/>
      <c r="R126" s="6"/>
      <c r="S126" s="6"/>
      <c r="T126" s="202"/>
      <c r="U126" s="56">
        <f t="shared" si="22"/>
        <v>0</v>
      </c>
      <c r="V126" s="56">
        <f t="shared" si="23"/>
        <v>0</v>
      </c>
      <c r="W126" s="6"/>
      <c r="X126" s="6"/>
      <c r="Y126" s="6"/>
      <c r="Z126" s="6"/>
      <c r="AA126" s="6"/>
      <c r="AB126" s="56">
        <f t="shared" si="19"/>
        <v>0</v>
      </c>
      <c r="AC126" s="6"/>
      <c r="AD126" s="6"/>
      <c r="AE126" s="6"/>
      <c r="AF126" s="202"/>
      <c r="AG126" s="16">
        <f t="shared" si="20"/>
        <v>0</v>
      </c>
    </row>
    <row r="127" spans="7:33" x14ac:dyDescent="0.15">
      <c r="G127" s="205" t="s">
        <v>244</v>
      </c>
      <c r="H127" s="4" t="s">
        <v>245</v>
      </c>
      <c r="I127" s="45">
        <f t="shared" si="16"/>
        <v>0</v>
      </c>
      <c r="J127" s="45">
        <f t="shared" si="17"/>
        <v>0</v>
      </c>
      <c r="K127" s="8"/>
      <c r="L127" s="6"/>
      <c r="M127" s="6"/>
      <c r="N127" s="6"/>
      <c r="O127" s="6"/>
      <c r="P127" s="56">
        <f t="shared" si="18"/>
        <v>0</v>
      </c>
      <c r="Q127" s="6"/>
      <c r="R127" s="6"/>
      <c r="S127" s="6"/>
      <c r="T127" s="202"/>
      <c r="U127" s="56">
        <f t="shared" si="22"/>
        <v>0</v>
      </c>
      <c r="V127" s="56">
        <f t="shared" si="23"/>
        <v>0</v>
      </c>
      <c r="W127" s="6"/>
      <c r="X127" s="6"/>
      <c r="Y127" s="6"/>
      <c r="Z127" s="6"/>
      <c r="AA127" s="6"/>
      <c r="AB127" s="56">
        <f t="shared" si="19"/>
        <v>0</v>
      </c>
      <c r="AC127" s="6"/>
      <c r="AD127" s="6"/>
      <c r="AE127" s="6"/>
      <c r="AF127" s="202"/>
      <c r="AG127" s="16">
        <f t="shared" si="20"/>
        <v>0</v>
      </c>
    </row>
    <row r="128" spans="7:33" x14ac:dyDescent="0.15">
      <c r="G128" s="205" t="s">
        <v>246</v>
      </c>
      <c r="H128" s="53" t="s">
        <v>247</v>
      </c>
      <c r="I128" s="45">
        <f t="shared" si="16"/>
        <v>0</v>
      </c>
      <c r="J128" s="45">
        <f t="shared" si="17"/>
        <v>0</v>
      </c>
      <c r="K128" s="8"/>
      <c r="L128" s="6"/>
      <c r="M128" s="6"/>
      <c r="N128" s="6"/>
      <c r="O128" s="6"/>
      <c r="P128" s="56">
        <f t="shared" si="18"/>
        <v>0</v>
      </c>
      <c r="Q128" s="6"/>
      <c r="R128" s="6"/>
      <c r="S128" s="6"/>
      <c r="T128" s="202"/>
      <c r="U128" s="56">
        <f t="shared" si="22"/>
        <v>0</v>
      </c>
      <c r="V128" s="56">
        <f t="shared" si="23"/>
        <v>0</v>
      </c>
      <c r="W128" s="6"/>
      <c r="X128" s="6"/>
      <c r="Y128" s="6"/>
      <c r="Z128" s="6"/>
      <c r="AA128" s="6"/>
      <c r="AB128" s="56">
        <f t="shared" si="19"/>
        <v>0</v>
      </c>
      <c r="AC128" s="6"/>
      <c r="AD128" s="6"/>
      <c r="AE128" s="6"/>
      <c r="AF128" s="202"/>
      <c r="AG128" s="16">
        <f t="shared" si="20"/>
        <v>0</v>
      </c>
    </row>
    <row r="129" spans="7:33" x14ac:dyDescent="0.15">
      <c r="G129" s="205" t="s">
        <v>248</v>
      </c>
      <c r="H129" s="4" t="s">
        <v>249</v>
      </c>
      <c r="I129" s="45">
        <f t="shared" si="16"/>
        <v>0</v>
      </c>
      <c r="J129" s="45">
        <f t="shared" si="17"/>
        <v>0</v>
      </c>
      <c r="K129" s="8"/>
      <c r="L129" s="6"/>
      <c r="M129" s="6"/>
      <c r="N129" s="6"/>
      <c r="O129" s="6"/>
      <c r="P129" s="56">
        <f t="shared" si="18"/>
        <v>0</v>
      </c>
      <c r="Q129" s="6"/>
      <c r="R129" s="6"/>
      <c r="S129" s="6"/>
      <c r="T129" s="202"/>
      <c r="U129" s="56">
        <f t="shared" si="22"/>
        <v>0</v>
      </c>
      <c r="V129" s="56">
        <f t="shared" si="23"/>
        <v>0</v>
      </c>
      <c r="W129" s="6"/>
      <c r="X129" s="6"/>
      <c r="Y129" s="6"/>
      <c r="Z129" s="6"/>
      <c r="AA129" s="6"/>
      <c r="AB129" s="56">
        <f t="shared" si="19"/>
        <v>0</v>
      </c>
      <c r="AC129" s="6"/>
      <c r="AD129" s="6"/>
      <c r="AE129" s="6"/>
      <c r="AF129" s="202"/>
      <c r="AG129" s="16">
        <f t="shared" si="20"/>
        <v>0</v>
      </c>
    </row>
    <row r="130" spans="7:33" x14ac:dyDescent="0.15">
      <c r="G130" s="205" t="s">
        <v>895</v>
      </c>
      <c r="H130" s="4" t="s">
        <v>251</v>
      </c>
      <c r="I130" s="45">
        <f t="shared" ref="I130" si="28">J130+P130</f>
        <v>0</v>
      </c>
      <c r="J130" s="45">
        <f t="shared" ref="J130" si="29">SUM(K130:O130)</f>
        <v>0</v>
      </c>
      <c r="K130" s="8"/>
      <c r="L130" s="6"/>
      <c r="M130" s="6"/>
      <c r="N130" s="6"/>
      <c r="O130" s="6"/>
      <c r="P130" s="56">
        <f t="shared" si="18"/>
        <v>0</v>
      </c>
      <c r="Q130" s="6"/>
      <c r="R130" s="6"/>
      <c r="S130" s="6"/>
      <c r="T130" s="202"/>
      <c r="U130" s="56">
        <f t="shared" si="22"/>
        <v>0</v>
      </c>
      <c r="V130" s="56">
        <f t="shared" si="23"/>
        <v>0</v>
      </c>
      <c r="W130" s="6"/>
      <c r="X130" s="6"/>
      <c r="Y130" s="6"/>
      <c r="Z130" s="6"/>
      <c r="AA130" s="6"/>
      <c r="AB130" s="56">
        <f t="shared" si="19"/>
        <v>0</v>
      </c>
      <c r="AC130" s="6"/>
      <c r="AD130" s="6"/>
      <c r="AE130" s="6"/>
      <c r="AF130" s="202"/>
      <c r="AG130" s="16">
        <f t="shared" ref="AG130" si="30">SUM(I130:AF130)</f>
        <v>0</v>
      </c>
    </row>
    <row r="131" spans="7:33" x14ac:dyDescent="0.15">
      <c r="G131" s="205" t="s">
        <v>250</v>
      </c>
      <c r="H131" s="53" t="s">
        <v>253</v>
      </c>
      <c r="I131" s="45">
        <f t="shared" si="16"/>
        <v>0</v>
      </c>
      <c r="J131" s="45">
        <f t="shared" si="17"/>
        <v>0</v>
      </c>
      <c r="K131" s="8"/>
      <c r="L131" s="6"/>
      <c r="M131" s="6"/>
      <c r="N131" s="6"/>
      <c r="O131" s="6"/>
      <c r="P131" s="56">
        <f t="shared" si="18"/>
        <v>0</v>
      </c>
      <c r="Q131" s="6"/>
      <c r="R131" s="6"/>
      <c r="S131" s="6"/>
      <c r="T131" s="202"/>
      <c r="U131" s="56">
        <f t="shared" si="22"/>
        <v>0</v>
      </c>
      <c r="V131" s="56">
        <f t="shared" si="23"/>
        <v>0</v>
      </c>
      <c r="W131" s="6"/>
      <c r="X131" s="6"/>
      <c r="Y131" s="6"/>
      <c r="Z131" s="6"/>
      <c r="AA131" s="6"/>
      <c r="AB131" s="56">
        <f t="shared" si="19"/>
        <v>0</v>
      </c>
      <c r="AC131" s="6"/>
      <c r="AD131" s="6"/>
      <c r="AE131" s="6"/>
      <c r="AF131" s="202"/>
      <c r="AG131" s="16">
        <f t="shared" si="20"/>
        <v>0</v>
      </c>
    </row>
    <row r="132" spans="7:33" x14ac:dyDescent="0.15">
      <c r="G132" s="205" t="s">
        <v>252</v>
      </c>
      <c r="H132" s="4" t="s">
        <v>255</v>
      </c>
      <c r="I132" s="45">
        <f t="shared" si="16"/>
        <v>0</v>
      </c>
      <c r="J132" s="45">
        <f t="shared" si="17"/>
        <v>0</v>
      </c>
      <c r="K132" s="8"/>
      <c r="L132" s="6"/>
      <c r="M132" s="6"/>
      <c r="N132" s="6"/>
      <c r="O132" s="6"/>
      <c r="P132" s="56">
        <f t="shared" si="18"/>
        <v>0</v>
      </c>
      <c r="Q132" s="6"/>
      <c r="R132" s="6"/>
      <c r="S132" s="6"/>
      <c r="T132" s="202"/>
      <c r="U132" s="56">
        <f t="shared" si="22"/>
        <v>0</v>
      </c>
      <c r="V132" s="56">
        <f t="shared" si="23"/>
        <v>0</v>
      </c>
      <c r="W132" s="6"/>
      <c r="X132" s="6"/>
      <c r="Y132" s="6"/>
      <c r="Z132" s="6"/>
      <c r="AA132" s="6"/>
      <c r="AB132" s="56">
        <f t="shared" si="19"/>
        <v>0</v>
      </c>
      <c r="AC132" s="6"/>
      <c r="AD132" s="6"/>
      <c r="AE132" s="6"/>
      <c r="AF132" s="202"/>
      <c r="AG132" s="16">
        <f t="shared" si="20"/>
        <v>0</v>
      </c>
    </row>
    <row r="133" spans="7:33" x14ac:dyDescent="0.15">
      <c r="G133" s="205" t="s">
        <v>254</v>
      </c>
      <c r="H133" s="4" t="s">
        <v>257</v>
      </c>
      <c r="I133" s="45">
        <f t="shared" si="16"/>
        <v>0</v>
      </c>
      <c r="J133" s="45">
        <f t="shared" si="17"/>
        <v>0</v>
      </c>
      <c r="K133" s="8"/>
      <c r="L133" s="6"/>
      <c r="M133" s="6"/>
      <c r="N133" s="6"/>
      <c r="O133" s="6"/>
      <c r="P133" s="56">
        <f t="shared" si="18"/>
        <v>0</v>
      </c>
      <c r="Q133" s="6"/>
      <c r="R133" s="6"/>
      <c r="S133" s="6"/>
      <c r="T133" s="202"/>
      <c r="U133" s="56">
        <f t="shared" si="22"/>
        <v>0</v>
      </c>
      <c r="V133" s="56">
        <f t="shared" si="23"/>
        <v>0</v>
      </c>
      <c r="W133" s="6"/>
      <c r="X133" s="6"/>
      <c r="Y133" s="6"/>
      <c r="Z133" s="6"/>
      <c r="AA133" s="6"/>
      <c r="AB133" s="56">
        <f t="shared" si="19"/>
        <v>0</v>
      </c>
      <c r="AC133" s="6"/>
      <c r="AD133" s="6"/>
      <c r="AE133" s="6"/>
      <c r="AF133" s="202"/>
      <c r="AG133" s="16">
        <f t="shared" si="20"/>
        <v>0</v>
      </c>
    </row>
    <row r="134" spans="7:33" ht="21" x14ac:dyDescent="0.15">
      <c r="G134" s="207" t="s">
        <v>256</v>
      </c>
      <c r="H134" s="53" t="s">
        <v>259</v>
      </c>
      <c r="I134" s="45">
        <f t="shared" si="16"/>
        <v>0</v>
      </c>
      <c r="J134" s="45">
        <f t="shared" si="17"/>
        <v>0</v>
      </c>
      <c r="K134" s="8"/>
      <c r="L134" s="6"/>
      <c r="M134" s="6"/>
      <c r="N134" s="6"/>
      <c r="O134" s="6"/>
      <c r="P134" s="56">
        <f t="shared" si="18"/>
        <v>0</v>
      </c>
      <c r="Q134" s="6"/>
      <c r="R134" s="6"/>
      <c r="S134" s="6"/>
      <c r="T134" s="202"/>
      <c r="U134" s="56">
        <f t="shared" si="22"/>
        <v>0</v>
      </c>
      <c r="V134" s="56">
        <f t="shared" si="23"/>
        <v>0</v>
      </c>
      <c r="W134" s="6"/>
      <c r="X134" s="6"/>
      <c r="Y134" s="6"/>
      <c r="Z134" s="6"/>
      <c r="AA134" s="6"/>
      <c r="AB134" s="56">
        <f t="shared" si="19"/>
        <v>0</v>
      </c>
      <c r="AC134" s="6"/>
      <c r="AD134" s="6"/>
      <c r="AE134" s="6"/>
      <c r="AF134" s="202"/>
      <c r="AG134" s="16">
        <f t="shared" si="20"/>
        <v>0</v>
      </c>
    </row>
    <row r="135" spans="7:33" x14ac:dyDescent="0.15">
      <c r="G135" s="207" t="s">
        <v>258</v>
      </c>
      <c r="H135" s="4" t="s">
        <v>261</v>
      </c>
      <c r="I135" s="45">
        <f t="shared" si="16"/>
        <v>0</v>
      </c>
      <c r="J135" s="45">
        <f t="shared" si="17"/>
        <v>0</v>
      </c>
      <c r="K135" s="8"/>
      <c r="L135" s="6"/>
      <c r="M135" s="6"/>
      <c r="N135" s="6"/>
      <c r="O135" s="6"/>
      <c r="P135" s="56">
        <f t="shared" si="18"/>
        <v>0</v>
      </c>
      <c r="Q135" s="6"/>
      <c r="R135" s="6"/>
      <c r="S135" s="6"/>
      <c r="T135" s="202"/>
      <c r="U135" s="56">
        <f t="shared" si="22"/>
        <v>0</v>
      </c>
      <c r="V135" s="56">
        <f t="shared" si="23"/>
        <v>0</v>
      </c>
      <c r="W135" s="6"/>
      <c r="X135" s="6"/>
      <c r="Y135" s="6"/>
      <c r="Z135" s="6"/>
      <c r="AA135" s="6"/>
      <c r="AB135" s="56">
        <f t="shared" si="19"/>
        <v>0</v>
      </c>
      <c r="AC135" s="6"/>
      <c r="AD135" s="6"/>
      <c r="AE135" s="6"/>
      <c r="AF135" s="202"/>
      <c r="AG135" s="16">
        <f t="shared" si="20"/>
        <v>0</v>
      </c>
    </row>
    <row r="136" spans="7:33" x14ac:dyDescent="0.15">
      <c r="G136" s="207" t="s">
        <v>260</v>
      </c>
      <c r="H136" s="4" t="s">
        <v>263</v>
      </c>
      <c r="I136" s="45">
        <f t="shared" si="16"/>
        <v>0</v>
      </c>
      <c r="J136" s="45">
        <f t="shared" si="17"/>
        <v>0</v>
      </c>
      <c r="K136" s="8"/>
      <c r="L136" s="6"/>
      <c r="M136" s="6"/>
      <c r="N136" s="6"/>
      <c r="O136" s="6"/>
      <c r="P136" s="56">
        <f t="shared" si="18"/>
        <v>0</v>
      </c>
      <c r="Q136" s="6"/>
      <c r="R136" s="6"/>
      <c r="S136" s="6"/>
      <c r="T136" s="202"/>
      <c r="U136" s="56">
        <f t="shared" si="22"/>
        <v>0</v>
      </c>
      <c r="V136" s="56">
        <f t="shared" si="23"/>
        <v>0</v>
      </c>
      <c r="W136" s="6"/>
      <c r="X136" s="6"/>
      <c r="Y136" s="6"/>
      <c r="Z136" s="6"/>
      <c r="AA136" s="6"/>
      <c r="AB136" s="56">
        <f t="shared" si="19"/>
        <v>0</v>
      </c>
      <c r="AC136" s="6"/>
      <c r="AD136" s="6"/>
      <c r="AE136" s="6"/>
      <c r="AF136" s="202"/>
      <c r="AG136" s="16">
        <f t="shared" si="20"/>
        <v>0</v>
      </c>
    </row>
    <row r="137" spans="7:33" x14ac:dyDescent="0.15">
      <c r="G137" s="205" t="s">
        <v>262</v>
      </c>
      <c r="H137" s="53" t="s">
        <v>265</v>
      </c>
      <c r="I137" s="45">
        <f t="shared" si="16"/>
        <v>0</v>
      </c>
      <c r="J137" s="45">
        <f t="shared" si="17"/>
        <v>0</v>
      </c>
      <c r="K137" s="8"/>
      <c r="L137" s="6"/>
      <c r="M137" s="6"/>
      <c r="N137" s="6"/>
      <c r="O137" s="6"/>
      <c r="P137" s="56">
        <f t="shared" si="18"/>
        <v>0</v>
      </c>
      <c r="Q137" s="6"/>
      <c r="R137" s="6"/>
      <c r="S137" s="6"/>
      <c r="T137" s="202"/>
      <c r="U137" s="56">
        <f t="shared" si="22"/>
        <v>0</v>
      </c>
      <c r="V137" s="56">
        <f t="shared" si="23"/>
        <v>0</v>
      </c>
      <c r="W137" s="6"/>
      <c r="X137" s="6"/>
      <c r="Y137" s="6"/>
      <c r="Z137" s="6"/>
      <c r="AA137" s="6"/>
      <c r="AB137" s="56">
        <f t="shared" si="19"/>
        <v>0</v>
      </c>
      <c r="AC137" s="6"/>
      <c r="AD137" s="6"/>
      <c r="AE137" s="6"/>
      <c r="AF137" s="202"/>
      <c r="AG137" s="16">
        <f t="shared" si="20"/>
        <v>0</v>
      </c>
    </row>
    <row r="138" spans="7:33" x14ac:dyDescent="0.15">
      <c r="G138" s="205" t="s">
        <v>264</v>
      </c>
      <c r="H138" s="4" t="s">
        <v>267</v>
      </c>
      <c r="I138" s="45">
        <f t="shared" si="16"/>
        <v>0</v>
      </c>
      <c r="J138" s="45">
        <f t="shared" si="17"/>
        <v>0</v>
      </c>
      <c r="K138" s="8"/>
      <c r="L138" s="6"/>
      <c r="M138" s="6"/>
      <c r="N138" s="6"/>
      <c r="O138" s="6"/>
      <c r="P138" s="56">
        <f t="shared" si="18"/>
        <v>0</v>
      </c>
      <c r="Q138" s="6"/>
      <c r="R138" s="6"/>
      <c r="S138" s="6"/>
      <c r="T138" s="202"/>
      <c r="U138" s="56">
        <f t="shared" si="22"/>
        <v>0</v>
      </c>
      <c r="V138" s="56">
        <f t="shared" si="23"/>
        <v>0</v>
      </c>
      <c r="W138" s="6"/>
      <c r="X138" s="6"/>
      <c r="Y138" s="6"/>
      <c r="Z138" s="6"/>
      <c r="AA138" s="6"/>
      <c r="AB138" s="56">
        <f t="shared" si="19"/>
        <v>0</v>
      </c>
      <c r="AC138" s="6"/>
      <c r="AD138" s="6"/>
      <c r="AE138" s="6"/>
      <c r="AF138" s="202"/>
      <c r="AG138" s="16">
        <f t="shared" si="20"/>
        <v>0</v>
      </c>
    </row>
    <row r="139" spans="7:33" x14ac:dyDescent="0.15">
      <c r="G139" s="205" t="s">
        <v>266</v>
      </c>
      <c r="H139" s="4" t="s">
        <v>269</v>
      </c>
      <c r="I139" s="45">
        <f t="shared" si="16"/>
        <v>0</v>
      </c>
      <c r="J139" s="45">
        <f t="shared" si="17"/>
        <v>0</v>
      </c>
      <c r="K139" s="8"/>
      <c r="L139" s="6"/>
      <c r="M139" s="6"/>
      <c r="N139" s="6"/>
      <c r="O139" s="6"/>
      <c r="P139" s="56">
        <f t="shared" ref="P139:P202" si="31">SUM(Q139:T139)</f>
        <v>0</v>
      </c>
      <c r="Q139" s="6"/>
      <c r="R139" s="6"/>
      <c r="S139" s="6"/>
      <c r="T139" s="202"/>
      <c r="U139" s="56">
        <f t="shared" si="22"/>
        <v>0</v>
      </c>
      <c r="V139" s="56">
        <f t="shared" si="23"/>
        <v>0</v>
      </c>
      <c r="W139" s="6"/>
      <c r="X139" s="6"/>
      <c r="Y139" s="6"/>
      <c r="Z139" s="6"/>
      <c r="AA139" s="6"/>
      <c r="AB139" s="56">
        <f t="shared" ref="AB139:AB202" si="32">SUM(AC139:AF139)</f>
        <v>0</v>
      </c>
      <c r="AC139" s="6"/>
      <c r="AD139" s="6"/>
      <c r="AE139" s="6"/>
      <c r="AF139" s="202"/>
      <c r="AG139" s="16">
        <f t="shared" si="20"/>
        <v>0</v>
      </c>
    </row>
    <row r="140" spans="7:33" x14ac:dyDescent="0.15">
      <c r="G140" s="205" t="s">
        <v>268</v>
      </c>
      <c r="H140" s="53" t="s">
        <v>271</v>
      </c>
      <c r="I140" s="45">
        <f t="shared" ref="I140:I203" si="33">J140+P140</f>
        <v>0</v>
      </c>
      <c r="J140" s="45">
        <f t="shared" ref="J140:J203" si="34">SUM(K140:O140)</f>
        <v>0</v>
      </c>
      <c r="K140" s="8"/>
      <c r="L140" s="6"/>
      <c r="M140" s="6"/>
      <c r="N140" s="6"/>
      <c r="O140" s="6"/>
      <c r="P140" s="56">
        <f t="shared" si="31"/>
        <v>0</v>
      </c>
      <c r="Q140" s="6"/>
      <c r="R140" s="6"/>
      <c r="S140" s="6"/>
      <c r="T140" s="202"/>
      <c r="U140" s="56">
        <f t="shared" ref="U140:U203" si="35">V140+AB140</f>
        <v>0</v>
      </c>
      <c r="V140" s="56">
        <f t="shared" ref="V140:V203" si="36">SUM(W140:AA140)</f>
        <v>0</v>
      </c>
      <c r="W140" s="6"/>
      <c r="X140" s="6"/>
      <c r="Y140" s="6"/>
      <c r="Z140" s="6"/>
      <c r="AA140" s="6"/>
      <c r="AB140" s="56">
        <f t="shared" si="32"/>
        <v>0</v>
      </c>
      <c r="AC140" s="6"/>
      <c r="AD140" s="6"/>
      <c r="AE140" s="6"/>
      <c r="AF140" s="202"/>
      <c r="AG140" s="16">
        <f t="shared" ref="AG140:AG203" si="37">SUM(I140:AF140)</f>
        <v>0</v>
      </c>
    </row>
    <row r="141" spans="7:33" x14ac:dyDescent="0.15">
      <c r="G141" s="205" t="s">
        <v>270</v>
      </c>
      <c r="H141" s="4" t="s">
        <v>273</v>
      </c>
      <c r="I141" s="45">
        <f t="shared" si="33"/>
        <v>0</v>
      </c>
      <c r="J141" s="45">
        <f t="shared" si="34"/>
        <v>0</v>
      </c>
      <c r="K141" s="8"/>
      <c r="L141" s="6"/>
      <c r="M141" s="6"/>
      <c r="N141" s="6"/>
      <c r="O141" s="6"/>
      <c r="P141" s="56">
        <f t="shared" si="31"/>
        <v>0</v>
      </c>
      <c r="Q141" s="6"/>
      <c r="R141" s="6"/>
      <c r="S141" s="6"/>
      <c r="T141" s="202"/>
      <c r="U141" s="56">
        <f t="shared" si="35"/>
        <v>0</v>
      </c>
      <c r="V141" s="56">
        <f t="shared" si="36"/>
        <v>0</v>
      </c>
      <c r="W141" s="6"/>
      <c r="X141" s="6"/>
      <c r="Y141" s="6"/>
      <c r="Z141" s="6"/>
      <c r="AA141" s="6"/>
      <c r="AB141" s="56">
        <f t="shared" si="32"/>
        <v>0</v>
      </c>
      <c r="AC141" s="6"/>
      <c r="AD141" s="6"/>
      <c r="AE141" s="6"/>
      <c r="AF141" s="202"/>
      <c r="AG141" s="16">
        <f t="shared" si="37"/>
        <v>0</v>
      </c>
    </row>
    <row r="142" spans="7:33" x14ac:dyDescent="0.15">
      <c r="G142" s="205" t="s">
        <v>272</v>
      </c>
      <c r="H142" s="4" t="s">
        <v>275</v>
      </c>
      <c r="I142" s="45">
        <f t="shared" si="33"/>
        <v>0</v>
      </c>
      <c r="J142" s="45">
        <f t="shared" si="34"/>
        <v>0</v>
      </c>
      <c r="K142" s="8"/>
      <c r="L142" s="6"/>
      <c r="M142" s="6"/>
      <c r="N142" s="6"/>
      <c r="O142" s="6"/>
      <c r="P142" s="56">
        <f t="shared" si="31"/>
        <v>0</v>
      </c>
      <c r="Q142" s="6"/>
      <c r="R142" s="6"/>
      <c r="S142" s="6"/>
      <c r="T142" s="202"/>
      <c r="U142" s="56">
        <f t="shared" si="35"/>
        <v>0</v>
      </c>
      <c r="V142" s="56">
        <f t="shared" si="36"/>
        <v>0</v>
      </c>
      <c r="W142" s="6"/>
      <c r="X142" s="6"/>
      <c r="Y142" s="6"/>
      <c r="Z142" s="6"/>
      <c r="AA142" s="6"/>
      <c r="AB142" s="56">
        <f t="shared" si="32"/>
        <v>0</v>
      </c>
      <c r="AC142" s="6"/>
      <c r="AD142" s="6"/>
      <c r="AE142" s="6"/>
      <c r="AF142" s="202"/>
      <c r="AG142" s="16">
        <f t="shared" si="37"/>
        <v>0</v>
      </c>
    </row>
    <row r="143" spans="7:33" x14ac:dyDescent="0.15">
      <c r="G143" s="205" t="s">
        <v>274</v>
      </c>
      <c r="H143" s="53" t="s">
        <v>277</v>
      </c>
      <c r="I143" s="45">
        <f t="shared" si="33"/>
        <v>0</v>
      </c>
      <c r="J143" s="45">
        <f t="shared" si="34"/>
        <v>0</v>
      </c>
      <c r="K143" s="8"/>
      <c r="L143" s="6"/>
      <c r="M143" s="6"/>
      <c r="N143" s="6"/>
      <c r="O143" s="6"/>
      <c r="P143" s="56">
        <f t="shared" si="31"/>
        <v>0</v>
      </c>
      <c r="Q143" s="6"/>
      <c r="R143" s="6"/>
      <c r="S143" s="6"/>
      <c r="T143" s="202"/>
      <c r="U143" s="56">
        <f t="shared" si="35"/>
        <v>0</v>
      </c>
      <c r="V143" s="56">
        <f t="shared" si="36"/>
        <v>0</v>
      </c>
      <c r="W143" s="6"/>
      <c r="X143" s="6"/>
      <c r="Y143" s="6"/>
      <c r="Z143" s="6"/>
      <c r="AA143" s="6"/>
      <c r="AB143" s="56">
        <f t="shared" si="32"/>
        <v>0</v>
      </c>
      <c r="AC143" s="6"/>
      <c r="AD143" s="6"/>
      <c r="AE143" s="6"/>
      <c r="AF143" s="202"/>
      <c r="AG143" s="16">
        <f t="shared" si="37"/>
        <v>0</v>
      </c>
    </row>
    <row r="144" spans="7:33" x14ac:dyDescent="0.15">
      <c r="G144" s="205" t="s">
        <v>276</v>
      </c>
      <c r="H144" s="4" t="s">
        <v>279</v>
      </c>
      <c r="I144" s="45">
        <f t="shared" si="33"/>
        <v>0</v>
      </c>
      <c r="J144" s="45">
        <f t="shared" si="34"/>
        <v>0</v>
      </c>
      <c r="K144" s="8"/>
      <c r="L144" s="6"/>
      <c r="M144" s="6"/>
      <c r="N144" s="6"/>
      <c r="O144" s="6"/>
      <c r="P144" s="56">
        <f t="shared" si="31"/>
        <v>0</v>
      </c>
      <c r="Q144" s="6"/>
      <c r="R144" s="6"/>
      <c r="S144" s="6"/>
      <c r="T144" s="202"/>
      <c r="U144" s="56">
        <f t="shared" si="35"/>
        <v>0</v>
      </c>
      <c r="V144" s="56">
        <f t="shared" si="36"/>
        <v>0</v>
      </c>
      <c r="W144" s="6"/>
      <c r="X144" s="6"/>
      <c r="Y144" s="6"/>
      <c r="Z144" s="6"/>
      <c r="AA144" s="6"/>
      <c r="AB144" s="56">
        <f t="shared" si="32"/>
        <v>0</v>
      </c>
      <c r="AC144" s="6"/>
      <c r="AD144" s="6"/>
      <c r="AE144" s="6"/>
      <c r="AF144" s="202"/>
      <c r="AG144" s="16">
        <f t="shared" si="37"/>
        <v>0</v>
      </c>
    </row>
    <row r="145" spans="7:33" x14ac:dyDescent="0.15">
      <c r="G145" s="205" t="s">
        <v>278</v>
      </c>
      <c r="H145" s="4" t="s">
        <v>281</v>
      </c>
      <c r="I145" s="45">
        <f t="shared" si="33"/>
        <v>0</v>
      </c>
      <c r="J145" s="45">
        <f t="shared" si="34"/>
        <v>0</v>
      </c>
      <c r="K145" s="8"/>
      <c r="L145" s="6"/>
      <c r="M145" s="6"/>
      <c r="N145" s="6"/>
      <c r="O145" s="6"/>
      <c r="P145" s="56">
        <f t="shared" si="31"/>
        <v>0</v>
      </c>
      <c r="Q145" s="6"/>
      <c r="R145" s="6"/>
      <c r="S145" s="6"/>
      <c r="T145" s="202"/>
      <c r="U145" s="56">
        <f t="shared" si="35"/>
        <v>0</v>
      </c>
      <c r="V145" s="56">
        <f t="shared" si="36"/>
        <v>0</v>
      </c>
      <c r="W145" s="6"/>
      <c r="X145" s="6"/>
      <c r="Y145" s="6"/>
      <c r="Z145" s="6"/>
      <c r="AA145" s="6"/>
      <c r="AB145" s="56">
        <f t="shared" si="32"/>
        <v>0</v>
      </c>
      <c r="AC145" s="6"/>
      <c r="AD145" s="6"/>
      <c r="AE145" s="6"/>
      <c r="AF145" s="202"/>
      <c r="AG145" s="16">
        <f t="shared" si="37"/>
        <v>0</v>
      </c>
    </row>
    <row r="146" spans="7:33" x14ac:dyDescent="0.15">
      <c r="G146" s="205" t="s">
        <v>280</v>
      </c>
      <c r="H146" s="53" t="s">
        <v>283</v>
      </c>
      <c r="I146" s="45">
        <f t="shared" si="33"/>
        <v>0</v>
      </c>
      <c r="J146" s="45">
        <f t="shared" si="34"/>
        <v>0</v>
      </c>
      <c r="K146" s="8"/>
      <c r="L146" s="6"/>
      <c r="M146" s="6"/>
      <c r="N146" s="6"/>
      <c r="O146" s="6"/>
      <c r="P146" s="56">
        <f t="shared" si="31"/>
        <v>0</v>
      </c>
      <c r="Q146" s="6"/>
      <c r="R146" s="6"/>
      <c r="S146" s="6"/>
      <c r="T146" s="202"/>
      <c r="U146" s="56">
        <f t="shared" si="35"/>
        <v>0</v>
      </c>
      <c r="V146" s="56">
        <f t="shared" si="36"/>
        <v>0</v>
      </c>
      <c r="W146" s="6"/>
      <c r="X146" s="6"/>
      <c r="Y146" s="6"/>
      <c r="Z146" s="6"/>
      <c r="AA146" s="6"/>
      <c r="AB146" s="56">
        <f t="shared" si="32"/>
        <v>0</v>
      </c>
      <c r="AC146" s="6"/>
      <c r="AD146" s="6"/>
      <c r="AE146" s="6"/>
      <c r="AF146" s="202"/>
      <c r="AG146" s="16">
        <f t="shared" si="37"/>
        <v>0</v>
      </c>
    </row>
    <row r="147" spans="7:33" x14ac:dyDescent="0.15">
      <c r="G147" s="205" t="s">
        <v>282</v>
      </c>
      <c r="H147" s="4" t="s">
        <v>285</v>
      </c>
      <c r="I147" s="45">
        <f t="shared" si="33"/>
        <v>0</v>
      </c>
      <c r="J147" s="45">
        <f t="shared" si="34"/>
        <v>0</v>
      </c>
      <c r="K147" s="8"/>
      <c r="L147" s="6"/>
      <c r="M147" s="6"/>
      <c r="N147" s="6"/>
      <c r="O147" s="6"/>
      <c r="P147" s="56">
        <f t="shared" si="31"/>
        <v>0</v>
      </c>
      <c r="Q147" s="6"/>
      <c r="R147" s="6"/>
      <c r="S147" s="6"/>
      <c r="T147" s="202"/>
      <c r="U147" s="56">
        <f t="shared" si="35"/>
        <v>0</v>
      </c>
      <c r="V147" s="56">
        <f t="shared" si="36"/>
        <v>0</v>
      </c>
      <c r="W147" s="6"/>
      <c r="X147" s="6"/>
      <c r="Y147" s="6"/>
      <c r="Z147" s="6"/>
      <c r="AA147" s="6"/>
      <c r="AB147" s="56">
        <f t="shared" si="32"/>
        <v>0</v>
      </c>
      <c r="AC147" s="6"/>
      <c r="AD147" s="6"/>
      <c r="AE147" s="6"/>
      <c r="AF147" s="202"/>
      <c r="AG147" s="16">
        <f t="shared" si="37"/>
        <v>0</v>
      </c>
    </row>
    <row r="148" spans="7:33" x14ac:dyDescent="0.15">
      <c r="G148" s="205" t="s">
        <v>284</v>
      </c>
      <c r="H148" s="4" t="s">
        <v>287</v>
      </c>
      <c r="I148" s="45">
        <f t="shared" si="33"/>
        <v>0</v>
      </c>
      <c r="J148" s="45">
        <f t="shared" si="34"/>
        <v>0</v>
      </c>
      <c r="K148" s="8"/>
      <c r="L148" s="6"/>
      <c r="M148" s="6"/>
      <c r="N148" s="6"/>
      <c r="O148" s="6"/>
      <c r="P148" s="56">
        <f t="shared" si="31"/>
        <v>0</v>
      </c>
      <c r="Q148" s="6"/>
      <c r="R148" s="6"/>
      <c r="S148" s="6"/>
      <c r="T148" s="202"/>
      <c r="U148" s="56">
        <f t="shared" si="35"/>
        <v>0</v>
      </c>
      <c r="V148" s="56">
        <f t="shared" si="36"/>
        <v>0</v>
      </c>
      <c r="W148" s="6"/>
      <c r="X148" s="6"/>
      <c r="Y148" s="6"/>
      <c r="Z148" s="6"/>
      <c r="AA148" s="6"/>
      <c r="AB148" s="56">
        <f t="shared" si="32"/>
        <v>0</v>
      </c>
      <c r="AC148" s="6"/>
      <c r="AD148" s="6"/>
      <c r="AE148" s="6"/>
      <c r="AF148" s="202"/>
      <c r="AG148" s="16">
        <f t="shared" si="37"/>
        <v>0</v>
      </c>
    </row>
    <row r="149" spans="7:33" x14ac:dyDescent="0.15">
      <c r="G149" s="205" t="s">
        <v>286</v>
      </c>
      <c r="H149" s="53" t="s">
        <v>289</v>
      </c>
      <c r="I149" s="45">
        <f t="shared" si="33"/>
        <v>0</v>
      </c>
      <c r="J149" s="45">
        <f t="shared" si="34"/>
        <v>0</v>
      </c>
      <c r="K149" s="8"/>
      <c r="L149" s="6"/>
      <c r="M149" s="6"/>
      <c r="N149" s="6"/>
      <c r="O149" s="6"/>
      <c r="P149" s="56">
        <f t="shared" si="31"/>
        <v>0</v>
      </c>
      <c r="Q149" s="6"/>
      <c r="R149" s="6"/>
      <c r="S149" s="6"/>
      <c r="T149" s="202"/>
      <c r="U149" s="56">
        <f t="shared" si="35"/>
        <v>0</v>
      </c>
      <c r="V149" s="56">
        <f t="shared" si="36"/>
        <v>0</v>
      </c>
      <c r="W149" s="6"/>
      <c r="X149" s="6"/>
      <c r="Y149" s="6"/>
      <c r="Z149" s="6"/>
      <c r="AA149" s="6"/>
      <c r="AB149" s="56">
        <f t="shared" si="32"/>
        <v>0</v>
      </c>
      <c r="AC149" s="6"/>
      <c r="AD149" s="6"/>
      <c r="AE149" s="6"/>
      <c r="AF149" s="202"/>
      <c r="AG149" s="16">
        <f t="shared" si="37"/>
        <v>0</v>
      </c>
    </row>
    <row r="150" spans="7:33" x14ac:dyDescent="0.15">
      <c r="G150" s="205" t="s">
        <v>288</v>
      </c>
      <c r="H150" s="4" t="s">
        <v>291</v>
      </c>
      <c r="I150" s="45">
        <f t="shared" si="33"/>
        <v>0</v>
      </c>
      <c r="J150" s="45">
        <f t="shared" si="34"/>
        <v>0</v>
      </c>
      <c r="K150" s="48">
        <f t="shared" ref="K150:AF150" si="38">SUM(K151:K152)</f>
        <v>0</v>
      </c>
      <c r="L150" s="48">
        <f t="shared" si="38"/>
        <v>0</v>
      </c>
      <c r="M150" s="48">
        <f t="shared" si="38"/>
        <v>0</v>
      </c>
      <c r="N150" s="48">
        <f t="shared" si="38"/>
        <v>0</v>
      </c>
      <c r="O150" s="48">
        <f t="shared" si="38"/>
        <v>0</v>
      </c>
      <c r="P150" s="56">
        <f t="shared" si="31"/>
        <v>0</v>
      </c>
      <c r="Q150" s="48">
        <f t="shared" si="38"/>
        <v>0</v>
      </c>
      <c r="R150" s="48">
        <f t="shared" si="38"/>
        <v>0</v>
      </c>
      <c r="S150" s="48">
        <f t="shared" si="38"/>
        <v>0</v>
      </c>
      <c r="T150" s="48">
        <f t="shared" si="38"/>
        <v>0</v>
      </c>
      <c r="U150" s="56">
        <f t="shared" si="35"/>
        <v>0</v>
      </c>
      <c r="V150" s="56">
        <f t="shared" si="36"/>
        <v>0</v>
      </c>
      <c r="W150" s="48">
        <f t="shared" si="38"/>
        <v>0</v>
      </c>
      <c r="X150" s="48">
        <f t="shared" si="38"/>
        <v>0</v>
      </c>
      <c r="Y150" s="48">
        <f t="shared" si="38"/>
        <v>0</v>
      </c>
      <c r="Z150" s="48">
        <f t="shared" si="38"/>
        <v>0</v>
      </c>
      <c r="AA150" s="48">
        <f t="shared" si="38"/>
        <v>0</v>
      </c>
      <c r="AB150" s="56">
        <f t="shared" si="32"/>
        <v>0</v>
      </c>
      <c r="AC150" s="48">
        <f t="shared" si="38"/>
        <v>0</v>
      </c>
      <c r="AD150" s="48">
        <f t="shared" si="38"/>
        <v>0</v>
      </c>
      <c r="AE150" s="48">
        <f t="shared" si="38"/>
        <v>0</v>
      </c>
      <c r="AF150" s="48">
        <f t="shared" si="38"/>
        <v>0</v>
      </c>
      <c r="AG150" s="16">
        <f t="shared" si="37"/>
        <v>0</v>
      </c>
    </row>
    <row r="151" spans="7:33" ht="21" x14ac:dyDescent="0.15">
      <c r="G151" s="206" t="s">
        <v>290</v>
      </c>
      <c r="H151" s="4" t="s">
        <v>293</v>
      </c>
      <c r="I151" s="45">
        <f t="shared" si="33"/>
        <v>0</v>
      </c>
      <c r="J151" s="45">
        <f t="shared" si="34"/>
        <v>0</v>
      </c>
      <c r="K151" s="8"/>
      <c r="L151" s="6"/>
      <c r="M151" s="6"/>
      <c r="N151" s="6"/>
      <c r="O151" s="6"/>
      <c r="P151" s="56">
        <f t="shared" si="31"/>
        <v>0</v>
      </c>
      <c r="Q151" s="6"/>
      <c r="R151" s="6"/>
      <c r="S151" s="6"/>
      <c r="T151" s="202"/>
      <c r="U151" s="56">
        <f t="shared" si="35"/>
        <v>0</v>
      </c>
      <c r="V151" s="56">
        <f t="shared" si="36"/>
        <v>0</v>
      </c>
      <c r="W151" s="6"/>
      <c r="X151" s="6"/>
      <c r="Y151" s="6"/>
      <c r="Z151" s="6"/>
      <c r="AA151" s="6"/>
      <c r="AB151" s="56">
        <f t="shared" si="32"/>
        <v>0</v>
      </c>
      <c r="AC151" s="6"/>
      <c r="AD151" s="6"/>
      <c r="AE151" s="6"/>
      <c r="AF151" s="202"/>
      <c r="AG151" s="16">
        <f t="shared" si="37"/>
        <v>0</v>
      </c>
    </row>
    <row r="152" spans="7:33" ht="21" x14ac:dyDescent="0.15">
      <c r="G152" s="206" t="s">
        <v>292</v>
      </c>
      <c r="H152" s="53" t="s">
        <v>295</v>
      </c>
      <c r="I152" s="45">
        <f t="shared" si="33"/>
        <v>0</v>
      </c>
      <c r="J152" s="45">
        <f t="shared" si="34"/>
        <v>0</v>
      </c>
      <c r="K152" s="8"/>
      <c r="L152" s="6"/>
      <c r="M152" s="6"/>
      <c r="N152" s="6"/>
      <c r="O152" s="6"/>
      <c r="P152" s="56">
        <f t="shared" si="31"/>
        <v>0</v>
      </c>
      <c r="Q152" s="6"/>
      <c r="R152" s="6"/>
      <c r="S152" s="6"/>
      <c r="T152" s="202"/>
      <c r="U152" s="56">
        <f t="shared" si="35"/>
        <v>0</v>
      </c>
      <c r="V152" s="56">
        <f t="shared" si="36"/>
        <v>0</v>
      </c>
      <c r="W152" s="6"/>
      <c r="X152" s="6"/>
      <c r="Y152" s="6"/>
      <c r="Z152" s="6"/>
      <c r="AA152" s="6"/>
      <c r="AB152" s="56">
        <f t="shared" si="32"/>
        <v>0</v>
      </c>
      <c r="AC152" s="6"/>
      <c r="AD152" s="6"/>
      <c r="AE152" s="6"/>
      <c r="AF152" s="202"/>
      <c r="AG152" s="16">
        <f t="shared" si="37"/>
        <v>0</v>
      </c>
    </row>
    <row r="153" spans="7:33" x14ac:dyDescent="0.15">
      <c r="G153" s="205" t="s">
        <v>294</v>
      </c>
      <c r="H153" s="4" t="s">
        <v>297</v>
      </c>
      <c r="I153" s="45">
        <f t="shared" si="33"/>
        <v>0</v>
      </c>
      <c r="J153" s="45">
        <f t="shared" si="34"/>
        <v>0</v>
      </c>
      <c r="K153" s="8"/>
      <c r="L153" s="6"/>
      <c r="M153" s="6"/>
      <c r="N153" s="6"/>
      <c r="O153" s="6"/>
      <c r="P153" s="56">
        <f t="shared" si="31"/>
        <v>0</v>
      </c>
      <c r="Q153" s="6"/>
      <c r="R153" s="6"/>
      <c r="S153" s="6"/>
      <c r="T153" s="202"/>
      <c r="U153" s="56">
        <f t="shared" si="35"/>
        <v>0</v>
      </c>
      <c r="V153" s="56">
        <f t="shared" si="36"/>
        <v>0</v>
      </c>
      <c r="W153" s="6"/>
      <c r="X153" s="6"/>
      <c r="Y153" s="6"/>
      <c r="Z153" s="6"/>
      <c r="AA153" s="6"/>
      <c r="AB153" s="56">
        <f t="shared" si="32"/>
        <v>0</v>
      </c>
      <c r="AC153" s="6"/>
      <c r="AD153" s="6"/>
      <c r="AE153" s="6"/>
      <c r="AF153" s="202"/>
      <c r="AG153" s="16">
        <f t="shared" si="37"/>
        <v>0</v>
      </c>
    </row>
    <row r="154" spans="7:33" x14ac:dyDescent="0.15">
      <c r="G154" s="205" t="s">
        <v>296</v>
      </c>
      <c r="H154" s="4" t="s">
        <v>299</v>
      </c>
      <c r="I154" s="45">
        <f t="shared" si="33"/>
        <v>0</v>
      </c>
      <c r="J154" s="45">
        <f t="shared" si="34"/>
        <v>0</v>
      </c>
      <c r="K154" s="8"/>
      <c r="L154" s="6"/>
      <c r="M154" s="6"/>
      <c r="N154" s="6"/>
      <c r="O154" s="6"/>
      <c r="P154" s="56">
        <f t="shared" si="31"/>
        <v>0</v>
      </c>
      <c r="Q154" s="6"/>
      <c r="R154" s="6"/>
      <c r="S154" s="6"/>
      <c r="T154" s="202"/>
      <c r="U154" s="56">
        <f t="shared" si="35"/>
        <v>0</v>
      </c>
      <c r="V154" s="56">
        <f t="shared" si="36"/>
        <v>0</v>
      </c>
      <c r="W154" s="6"/>
      <c r="X154" s="6"/>
      <c r="Y154" s="6"/>
      <c r="Z154" s="6"/>
      <c r="AA154" s="6"/>
      <c r="AB154" s="56">
        <f t="shared" si="32"/>
        <v>0</v>
      </c>
      <c r="AC154" s="6"/>
      <c r="AD154" s="6"/>
      <c r="AE154" s="6"/>
      <c r="AF154" s="202"/>
      <c r="AG154" s="16">
        <f t="shared" si="37"/>
        <v>0</v>
      </c>
    </row>
    <row r="155" spans="7:33" x14ac:dyDescent="0.15">
      <c r="G155" s="205" t="s">
        <v>298</v>
      </c>
      <c r="H155" s="53" t="s">
        <v>301</v>
      </c>
      <c r="I155" s="45">
        <f t="shared" si="33"/>
        <v>0</v>
      </c>
      <c r="J155" s="45">
        <f t="shared" si="34"/>
        <v>0</v>
      </c>
      <c r="K155" s="8"/>
      <c r="L155" s="6"/>
      <c r="M155" s="6"/>
      <c r="N155" s="6"/>
      <c r="O155" s="6"/>
      <c r="P155" s="56">
        <f t="shared" si="31"/>
        <v>0</v>
      </c>
      <c r="Q155" s="6"/>
      <c r="R155" s="6"/>
      <c r="S155" s="6"/>
      <c r="T155" s="202"/>
      <c r="U155" s="56">
        <f t="shared" si="35"/>
        <v>0</v>
      </c>
      <c r="V155" s="56">
        <f t="shared" si="36"/>
        <v>0</v>
      </c>
      <c r="W155" s="6"/>
      <c r="X155" s="6"/>
      <c r="Y155" s="6"/>
      <c r="Z155" s="6"/>
      <c r="AA155" s="6"/>
      <c r="AB155" s="56">
        <f t="shared" si="32"/>
        <v>0</v>
      </c>
      <c r="AC155" s="6"/>
      <c r="AD155" s="6"/>
      <c r="AE155" s="6"/>
      <c r="AF155" s="202"/>
      <c r="AG155" s="16">
        <f t="shared" si="37"/>
        <v>0</v>
      </c>
    </row>
    <row r="156" spans="7:33" x14ac:dyDescent="0.15">
      <c r="G156" s="205" t="s">
        <v>300</v>
      </c>
      <c r="H156" s="4" t="s">
        <v>303</v>
      </c>
      <c r="I156" s="45">
        <f t="shared" si="33"/>
        <v>0</v>
      </c>
      <c r="J156" s="45">
        <f t="shared" si="34"/>
        <v>0</v>
      </c>
      <c r="K156" s="8"/>
      <c r="L156" s="6"/>
      <c r="M156" s="6"/>
      <c r="N156" s="6"/>
      <c r="O156" s="6"/>
      <c r="P156" s="56">
        <f t="shared" si="31"/>
        <v>0</v>
      </c>
      <c r="Q156" s="6"/>
      <c r="R156" s="6"/>
      <c r="S156" s="6"/>
      <c r="T156" s="202"/>
      <c r="U156" s="56">
        <f t="shared" si="35"/>
        <v>0</v>
      </c>
      <c r="V156" s="56">
        <f t="shared" si="36"/>
        <v>0</v>
      </c>
      <c r="W156" s="6"/>
      <c r="X156" s="6"/>
      <c r="Y156" s="6"/>
      <c r="Z156" s="6"/>
      <c r="AA156" s="6"/>
      <c r="AB156" s="56">
        <f t="shared" si="32"/>
        <v>0</v>
      </c>
      <c r="AC156" s="6"/>
      <c r="AD156" s="6"/>
      <c r="AE156" s="6"/>
      <c r="AF156" s="202"/>
      <c r="AG156" s="16">
        <f t="shared" si="37"/>
        <v>0</v>
      </c>
    </row>
    <row r="157" spans="7:33" x14ac:dyDescent="0.15">
      <c r="G157" s="205" t="s">
        <v>302</v>
      </c>
      <c r="H157" s="4" t="s">
        <v>305</v>
      </c>
      <c r="I157" s="45">
        <f t="shared" si="33"/>
        <v>0</v>
      </c>
      <c r="J157" s="45">
        <f t="shared" si="34"/>
        <v>0</v>
      </c>
      <c r="K157" s="8"/>
      <c r="L157" s="6"/>
      <c r="M157" s="6"/>
      <c r="N157" s="6"/>
      <c r="O157" s="6"/>
      <c r="P157" s="56">
        <f t="shared" si="31"/>
        <v>0</v>
      </c>
      <c r="Q157" s="6"/>
      <c r="R157" s="6"/>
      <c r="S157" s="6"/>
      <c r="T157" s="202"/>
      <c r="U157" s="56">
        <f t="shared" si="35"/>
        <v>0</v>
      </c>
      <c r="V157" s="56">
        <f t="shared" si="36"/>
        <v>0</v>
      </c>
      <c r="W157" s="6"/>
      <c r="X157" s="6"/>
      <c r="Y157" s="6"/>
      <c r="Z157" s="6"/>
      <c r="AA157" s="6"/>
      <c r="AB157" s="56">
        <f t="shared" si="32"/>
        <v>0</v>
      </c>
      <c r="AC157" s="6"/>
      <c r="AD157" s="6"/>
      <c r="AE157" s="6"/>
      <c r="AF157" s="202"/>
      <c r="AG157" s="16">
        <f t="shared" si="37"/>
        <v>0</v>
      </c>
    </row>
    <row r="158" spans="7:33" x14ac:dyDescent="0.15">
      <c r="G158" s="205" t="s">
        <v>304</v>
      </c>
      <c r="H158" s="53" t="s">
        <v>307</v>
      </c>
      <c r="I158" s="45">
        <f t="shared" si="33"/>
        <v>0</v>
      </c>
      <c r="J158" s="45">
        <f t="shared" si="34"/>
        <v>0</v>
      </c>
      <c r="K158" s="8"/>
      <c r="L158" s="6"/>
      <c r="M158" s="6"/>
      <c r="N158" s="6"/>
      <c r="O158" s="6"/>
      <c r="P158" s="56">
        <f t="shared" si="31"/>
        <v>0</v>
      </c>
      <c r="Q158" s="6"/>
      <c r="R158" s="6"/>
      <c r="S158" s="6"/>
      <c r="T158" s="202"/>
      <c r="U158" s="56">
        <f t="shared" si="35"/>
        <v>0</v>
      </c>
      <c r="V158" s="56">
        <f t="shared" si="36"/>
        <v>0</v>
      </c>
      <c r="W158" s="6"/>
      <c r="X158" s="6"/>
      <c r="Y158" s="6"/>
      <c r="Z158" s="6"/>
      <c r="AA158" s="6"/>
      <c r="AB158" s="56">
        <f t="shared" si="32"/>
        <v>0</v>
      </c>
      <c r="AC158" s="6"/>
      <c r="AD158" s="6"/>
      <c r="AE158" s="6"/>
      <c r="AF158" s="202"/>
      <c r="AG158" s="16">
        <f t="shared" si="37"/>
        <v>0</v>
      </c>
    </row>
    <row r="159" spans="7:33" x14ac:dyDescent="0.15">
      <c r="G159" s="205" t="s">
        <v>306</v>
      </c>
      <c r="H159" s="4" t="s">
        <v>309</v>
      </c>
      <c r="I159" s="45">
        <f t="shared" si="33"/>
        <v>0</v>
      </c>
      <c r="J159" s="45">
        <f t="shared" si="34"/>
        <v>0</v>
      </c>
      <c r="K159" s="46">
        <f t="shared" ref="K159:AF159" si="39">SUM(K160:K163)</f>
        <v>0</v>
      </c>
      <c r="L159" s="46">
        <f t="shared" si="39"/>
        <v>0</v>
      </c>
      <c r="M159" s="46">
        <f t="shared" si="39"/>
        <v>0</v>
      </c>
      <c r="N159" s="46">
        <f t="shared" si="39"/>
        <v>0</v>
      </c>
      <c r="O159" s="46">
        <f t="shared" si="39"/>
        <v>0</v>
      </c>
      <c r="P159" s="56">
        <f t="shared" si="31"/>
        <v>0</v>
      </c>
      <c r="Q159" s="46">
        <f t="shared" si="39"/>
        <v>0</v>
      </c>
      <c r="R159" s="46">
        <f t="shared" si="39"/>
        <v>0</v>
      </c>
      <c r="S159" s="46">
        <f t="shared" si="39"/>
        <v>0</v>
      </c>
      <c r="T159" s="46">
        <f t="shared" si="39"/>
        <v>0</v>
      </c>
      <c r="U159" s="56">
        <f t="shared" si="35"/>
        <v>0</v>
      </c>
      <c r="V159" s="56">
        <f t="shared" si="36"/>
        <v>0</v>
      </c>
      <c r="W159" s="46">
        <f t="shared" si="39"/>
        <v>0</v>
      </c>
      <c r="X159" s="46">
        <f t="shared" si="39"/>
        <v>0</v>
      </c>
      <c r="Y159" s="46">
        <f t="shared" si="39"/>
        <v>0</v>
      </c>
      <c r="Z159" s="46">
        <f t="shared" si="39"/>
        <v>0</v>
      </c>
      <c r="AA159" s="46">
        <f t="shared" si="39"/>
        <v>0</v>
      </c>
      <c r="AB159" s="56">
        <f t="shared" si="32"/>
        <v>0</v>
      </c>
      <c r="AC159" s="46">
        <f t="shared" si="39"/>
        <v>0</v>
      </c>
      <c r="AD159" s="46">
        <f t="shared" si="39"/>
        <v>0</v>
      </c>
      <c r="AE159" s="46">
        <f t="shared" si="39"/>
        <v>0</v>
      </c>
      <c r="AF159" s="46">
        <f t="shared" si="39"/>
        <v>0</v>
      </c>
      <c r="AG159" s="16">
        <f t="shared" si="37"/>
        <v>0</v>
      </c>
    </row>
    <row r="160" spans="7:33" ht="21" x14ac:dyDescent="0.15">
      <c r="G160" s="206" t="s">
        <v>308</v>
      </c>
      <c r="H160" s="4" t="s">
        <v>311</v>
      </c>
      <c r="I160" s="45">
        <f t="shared" si="33"/>
        <v>0</v>
      </c>
      <c r="J160" s="45">
        <f t="shared" si="34"/>
        <v>0</v>
      </c>
      <c r="K160" s="8"/>
      <c r="L160" s="6"/>
      <c r="M160" s="6"/>
      <c r="N160" s="6"/>
      <c r="O160" s="6"/>
      <c r="P160" s="56">
        <f t="shared" si="31"/>
        <v>0</v>
      </c>
      <c r="Q160" s="6"/>
      <c r="R160" s="6"/>
      <c r="S160" s="6"/>
      <c r="T160" s="202"/>
      <c r="U160" s="56">
        <f t="shared" si="35"/>
        <v>0</v>
      </c>
      <c r="V160" s="56">
        <f t="shared" si="36"/>
        <v>0</v>
      </c>
      <c r="W160" s="6"/>
      <c r="X160" s="6"/>
      <c r="Y160" s="6"/>
      <c r="Z160" s="6"/>
      <c r="AA160" s="6"/>
      <c r="AB160" s="56">
        <f t="shared" si="32"/>
        <v>0</v>
      </c>
      <c r="AC160" s="6"/>
      <c r="AD160" s="6"/>
      <c r="AE160" s="6"/>
      <c r="AF160" s="202"/>
      <c r="AG160" s="16">
        <f t="shared" si="37"/>
        <v>0</v>
      </c>
    </row>
    <row r="161" spans="7:33" x14ac:dyDescent="0.15">
      <c r="G161" s="206" t="s">
        <v>310</v>
      </c>
      <c r="H161" s="53" t="s">
        <v>313</v>
      </c>
      <c r="I161" s="45">
        <f t="shared" si="33"/>
        <v>0</v>
      </c>
      <c r="J161" s="45">
        <f t="shared" si="34"/>
        <v>0</v>
      </c>
      <c r="K161" s="8"/>
      <c r="L161" s="6"/>
      <c r="M161" s="6"/>
      <c r="N161" s="6"/>
      <c r="O161" s="6"/>
      <c r="P161" s="56">
        <f t="shared" si="31"/>
        <v>0</v>
      </c>
      <c r="Q161" s="6"/>
      <c r="R161" s="6"/>
      <c r="S161" s="6"/>
      <c r="T161" s="202"/>
      <c r="U161" s="56">
        <f t="shared" si="35"/>
        <v>0</v>
      </c>
      <c r="V161" s="56">
        <f t="shared" si="36"/>
        <v>0</v>
      </c>
      <c r="W161" s="6"/>
      <c r="X161" s="6"/>
      <c r="Y161" s="6"/>
      <c r="Z161" s="6"/>
      <c r="AA161" s="6"/>
      <c r="AB161" s="56">
        <f t="shared" si="32"/>
        <v>0</v>
      </c>
      <c r="AC161" s="6"/>
      <c r="AD161" s="6"/>
      <c r="AE161" s="6"/>
      <c r="AF161" s="202"/>
      <c r="AG161" s="16">
        <f t="shared" si="37"/>
        <v>0</v>
      </c>
    </row>
    <row r="162" spans="7:33" x14ac:dyDescent="0.15">
      <c r="G162" s="206" t="s">
        <v>312</v>
      </c>
      <c r="H162" s="4" t="s">
        <v>315</v>
      </c>
      <c r="I162" s="45">
        <f t="shared" si="33"/>
        <v>0</v>
      </c>
      <c r="J162" s="45">
        <f t="shared" si="34"/>
        <v>0</v>
      </c>
      <c r="K162" s="8"/>
      <c r="L162" s="6"/>
      <c r="M162" s="6"/>
      <c r="N162" s="6"/>
      <c r="O162" s="6"/>
      <c r="P162" s="56">
        <f t="shared" si="31"/>
        <v>0</v>
      </c>
      <c r="Q162" s="6"/>
      <c r="R162" s="6"/>
      <c r="S162" s="6"/>
      <c r="T162" s="202"/>
      <c r="U162" s="56">
        <f t="shared" si="35"/>
        <v>0</v>
      </c>
      <c r="V162" s="56">
        <f t="shared" si="36"/>
        <v>0</v>
      </c>
      <c r="W162" s="6"/>
      <c r="X162" s="6"/>
      <c r="Y162" s="6"/>
      <c r="Z162" s="6"/>
      <c r="AA162" s="6"/>
      <c r="AB162" s="56">
        <f t="shared" si="32"/>
        <v>0</v>
      </c>
      <c r="AC162" s="6"/>
      <c r="AD162" s="6"/>
      <c r="AE162" s="6"/>
      <c r="AF162" s="202"/>
      <c r="AG162" s="16">
        <f t="shared" si="37"/>
        <v>0</v>
      </c>
    </row>
    <row r="163" spans="7:33" x14ac:dyDescent="0.15">
      <c r="G163" s="206" t="s">
        <v>314</v>
      </c>
      <c r="H163" s="4" t="s">
        <v>317</v>
      </c>
      <c r="I163" s="45">
        <f t="shared" si="33"/>
        <v>0</v>
      </c>
      <c r="J163" s="45">
        <f t="shared" si="34"/>
        <v>0</v>
      </c>
      <c r="K163" s="8"/>
      <c r="L163" s="6"/>
      <c r="M163" s="6"/>
      <c r="N163" s="6"/>
      <c r="O163" s="6"/>
      <c r="P163" s="56">
        <f t="shared" si="31"/>
        <v>0</v>
      </c>
      <c r="Q163" s="6"/>
      <c r="R163" s="6"/>
      <c r="S163" s="6"/>
      <c r="T163" s="202"/>
      <c r="U163" s="56">
        <f t="shared" si="35"/>
        <v>0</v>
      </c>
      <c r="V163" s="56">
        <f t="shared" si="36"/>
        <v>0</v>
      </c>
      <c r="W163" s="6"/>
      <c r="X163" s="6"/>
      <c r="Y163" s="6"/>
      <c r="Z163" s="6"/>
      <c r="AA163" s="6"/>
      <c r="AB163" s="56">
        <f t="shared" si="32"/>
        <v>0</v>
      </c>
      <c r="AC163" s="6"/>
      <c r="AD163" s="6"/>
      <c r="AE163" s="6"/>
      <c r="AF163" s="202"/>
      <c r="AG163" s="16">
        <f t="shared" si="37"/>
        <v>0</v>
      </c>
    </row>
    <row r="164" spans="7:33" x14ac:dyDescent="0.15">
      <c r="G164" s="205" t="s">
        <v>316</v>
      </c>
      <c r="H164" s="53" t="s">
        <v>319</v>
      </c>
      <c r="I164" s="45">
        <f t="shared" si="33"/>
        <v>0</v>
      </c>
      <c r="J164" s="45">
        <f t="shared" si="34"/>
        <v>0</v>
      </c>
      <c r="K164" s="8"/>
      <c r="L164" s="6"/>
      <c r="M164" s="6"/>
      <c r="N164" s="6"/>
      <c r="O164" s="6"/>
      <c r="P164" s="56">
        <f t="shared" si="31"/>
        <v>0</v>
      </c>
      <c r="Q164" s="6"/>
      <c r="R164" s="6"/>
      <c r="S164" s="6"/>
      <c r="T164" s="202"/>
      <c r="U164" s="56">
        <f t="shared" si="35"/>
        <v>0</v>
      </c>
      <c r="V164" s="56">
        <f t="shared" si="36"/>
        <v>0</v>
      </c>
      <c r="W164" s="6"/>
      <c r="X164" s="6"/>
      <c r="Y164" s="6"/>
      <c r="Z164" s="6"/>
      <c r="AA164" s="6"/>
      <c r="AB164" s="56">
        <f t="shared" si="32"/>
        <v>0</v>
      </c>
      <c r="AC164" s="6"/>
      <c r="AD164" s="6"/>
      <c r="AE164" s="6"/>
      <c r="AF164" s="202"/>
      <c r="AG164" s="16">
        <f t="shared" si="37"/>
        <v>0</v>
      </c>
    </row>
    <row r="165" spans="7:33" x14ac:dyDescent="0.15">
      <c r="G165" s="205" t="s">
        <v>318</v>
      </c>
      <c r="H165" s="4" t="s">
        <v>321</v>
      </c>
      <c r="I165" s="45">
        <f t="shared" si="33"/>
        <v>0</v>
      </c>
      <c r="J165" s="45">
        <f t="shared" si="34"/>
        <v>0</v>
      </c>
      <c r="K165" s="46">
        <f t="shared" ref="K165:AF165" si="40">SUM(K166:K170)</f>
        <v>0</v>
      </c>
      <c r="L165" s="46">
        <f t="shared" si="40"/>
        <v>0</v>
      </c>
      <c r="M165" s="46">
        <f t="shared" si="40"/>
        <v>0</v>
      </c>
      <c r="N165" s="46">
        <f t="shared" si="40"/>
        <v>0</v>
      </c>
      <c r="O165" s="46">
        <f t="shared" si="40"/>
        <v>0</v>
      </c>
      <c r="P165" s="56">
        <f t="shared" si="31"/>
        <v>0</v>
      </c>
      <c r="Q165" s="46">
        <f t="shared" si="40"/>
        <v>0</v>
      </c>
      <c r="R165" s="46">
        <f t="shared" si="40"/>
        <v>0</v>
      </c>
      <c r="S165" s="46">
        <f t="shared" si="40"/>
        <v>0</v>
      </c>
      <c r="T165" s="46">
        <f t="shared" si="40"/>
        <v>0</v>
      </c>
      <c r="U165" s="56">
        <f t="shared" si="35"/>
        <v>0</v>
      </c>
      <c r="V165" s="56">
        <f t="shared" si="36"/>
        <v>0</v>
      </c>
      <c r="W165" s="46">
        <f t="shared" si="40"/>
        <v>0</v>
      </c>
      <c r="X165" s="46">
        <f t="shared" si="40"/>
        <v>0</v>
      </c>
      <c r="Y165" s="46">
        <f t="shared" si="40"/>
        <v>0</v>
      </c>
      <c r="Z165" s="46">
        <f t="shared" si="40"/>
        <v>0</v>
      </c>
      <c r="AA165" s="46">
        <f t="shared" si="40"/>
        <v>0</v>
      </c>
      <c r="AB165" s="56">
        <f t="shared" si="32"/>
        <v>0</v>
      </c>
      <c r="AC165" s="46">
        <f t="shared" si="40"/>
        <v>0</v>
      </c>
      <c r="AD165" s="46">
        <f t="shared" si="40"/>
        <v>0</v>
      </c>
      <c r="AE165" s="46">
        <f t="shared" si="40"/>
        <v>0</v>
      </c>
      <c r="AF165" s="46">
        <f t="shared" si="40"/>
        <v>0</v>
      </c>
      <c r="AG165" s="16">
        <f t="shared" si="37"/>
        <v>0</v>
      </c>
    </row>
    <row r="166" spans="7:33" ht="21" x14ac:dyDescent="0.15">
      <c r="G166" s="206" t="s">
        <v>320</v>
      </c>
      <c r="H166" s="4" t="s">
        <v>323</v>
      </c>
      <c r="I166" s="45">
        <f t="shared" si="33"/>
        <v>0</v>
      </c>
      <c r="J166" s="45">
        <f t="shared" si="34"/>
        <v>0</v>
      </c>
      <c r="K166" s="8"/>
      <c r="L166" s="6"/>
      <c r="M166" s="6"/>
      <c r="N166" s="6"/>
      <c r="O166" s="6"/>
      <c r="P166" s="56">
        <f t="shared" si="31"/>
        <v>0</v>
      </c>
      <c r="Q166" s="6"/>
      <c r="R166" s="6"/>
      <c r="S166" s="6"/>
      <c r="T166" s="202"/>
      <c r="U166" s="56">
        <f t="shared" si="35"/>
        <v>0</v>
      </c>
      <c r="V166" s="56">
        <f t="shared" si="36"/>
        <v>0</v>
      </c>
      <c r="W166" s="6"/>
      <c r="X166" s="6"/>
      <c r="Y166" s="6"/>
      <c r="Z166" s="6"/>
      <c r="AA166" s="6"/>
      <c r="AB166" s="56">
        <f t="shared" si="32"/>
        <v>0</v>
      </c>
      <c r="AC166" s="6"/>
      <c r="AD166" s="6"/>
      <c r="AE166" s="6"/>
      <c r="AF166" s="202"/>
      <c r="AG166" s="16">
        <f t="shared" si="37"/>
        <v>0</v>
      </c>
    </row>
    <row r="167" spans="7:33" x14ac:dyDescent="0.15">
      <c r="G167" s="206" t="s">
        <v>322</v>
      </c>
      <c r="H167" s="53" t="s">
        <v>325</v>
      </c>
      <c r="I167" s="45">
        <f t="shared" si="33"/>
        <v>0</v>
      </c>
      <c r="J167" s="45">
        <f t="shared" si="34"/>
        <v>0</v>
      </c>
      <c r="K167" s="8"/>
      <c r="L167" s="6"/>
      <c r="M167" s="6"/>
      <c r="N167" s="6"/>
      <c r="O167" s="6"/>
      <c r="P167" s="56">
        <f t="shared" si="31"/>
        <v>0</v>
      </c>
      <c r="Q167" s="6"/>
      <c r="R167" s="6"/>
      <c r="S167" s="6"/>
      <c r="T167" s="202"/>
      <c r="U167" s="56">
        <f t="shared" si="35"/>
        <v>0</v>
      </c>
      <c r="V167" s="56">
        <f t="shared" si="36"/>
        <v>0</v>
      </c>
      <c r="W167" s="6"/>
      <c r="X167" s="6"/>
      <c r="Y167" s="6"/>
      <c r="Z167" s="6"/>
      <c r="AA167" s="6"/>
      <c r="AB167" s="56">
        <f t="shared" si="32"/>
        <v>0</v>
      </c>
      <c r="AC167" s="6"/>
      <c r="AD167" s="6"/>
      <c r="AE167" s="6"/>
      <c r="AF167" s="202"/>
      <c r="AG167" s="16">
        <f t="shared" si="37"/>
        <v>0</v>
      </c>
    </row>
    <row r="168" spans="7:33" x14ac:dyDescent="0.15">
      <c r="G168" s="206" t="s">
        <v>324</v>
      </c>
      <c r="H168" s="4" t="s">
        <v>327</v>
      </c>
      <c r="I168" s="45">
        <f t="shared" si="33"/>
        <v>0</v>
      </c>
      <c r="J168" s="45">
        <f t="shared" si="34"/>
        <v>0</v>
      </c>
      <c r="K168" s="8"/>
      <c r="L168" s="6"/>
      <c r="M168" s="6"/>
      <c r="N168" s="6"/>
      <c r="O168" s="6"/>
      <c r="P168" s="56">
        <f t="shared" si="31"/>
        <v>0</v>
      </c>
      <c r="Q168" s="6"/>
      <c r="R168" s="6"/>
      <c r="S168" s="6"/>
      <c r="T168" s="202"/>
      <c r="U168" s="56">
        <f t="shared" si="35"/>
        <v>0</v>
      </c>
      <c r="V168" s="56">
        <f t="shared" si="36"/>
        <v>0</v>
      </c>
      <c r="W168" s="6"/>
      <c r="X168" s="6"/>
      <c r="Y168" s="6"/>
      <c r="Z168" s="6"/>
      <c r="AA168" s="6"/>
      <c r="AB168" s="56">
        <f t="shared" si="32"/>
        <v>0</v>
      </c>
      <c r="AC168" s="6"/>
      <c r="AD168" s="6"/>
      <c r="AE168" s="6"/>
      <c r="AF168" s="202"/>
      <c r="AG168" s="16">
        <f t="shared" si="37"/>
        <v>0</v>
      </c>
    </row>
    <row r="169" spans="7:33" x14ac:dyDescent="0.15">
      <c r="G169" s="206" t="s">
        <v>326</v>
      </c>
      <c r="H169" s="4" t="s">
        <v>329</v>
      </c>
      <c r="I169" s="45">
        <f t="shared" si="33"/>
        <v>0</v>
      </c>
      <c r="J169" s="45">
        <f t="shared" si="34"/>
        <v>0</v>
      </c>
      <c r="K169" s="8"/>
      <c r="L169" s="6"/>
      <c r="M169" s="6"/>
      <c r="N169" s="6"/>
      <c r="O169" s="6"/>
      <c r="P169" s="56">
        <f t="shared" si="31"/>
        <v>0</v>
      </c>
      <c r="Q169" s="6"/>
      <c r="R169" s="6"/>
      <c r="S169" s="6"/>
      <c r="T169" s="202"/>
      <c r="U169" s="56">
        <f t="shared" si="35"/>
        <v>0</v>
      </c>
      <c r="V169" s="56">
        <f t="shared" si="36"/>
        <v>0</v>
      </c>
      <c r="W169" s="6"/>
      <c r="X169" s="6"/>
      <c r="Y169" s="6"/>
      <c r="Z169" s="6"/>
      <c r="AA169" s="6"/>
      <c r="AB169" s="56">
        <f t="shared" si="32"/>
        <v>0</v>
      </c>
      <c r="AC169" s="6"/>
      <c r="AD169" s="6"/>
      <c r="AE169" s="6"/>
      <c r="AF169" s="202"/>
      <c r="AG169" s="16">
        <f t="shared" si="37"/>
        <v>0</v>
      </c>
    </row>
    <row r="170" spans="7:33" ht="21" x14ac:dyDescent="0.15">
      <c r="G170" s="206" t="s">
        <v>328</v>
      </c>
      <c r="H170" s="53" t="s">
        <v>331</v>
      </c>
      <c r="I170" s="45">
        <f t="shared" si="33"/>
        <v>0</v>
      </c>
      <c r="J170" s="45">
        <f t="shared" si="34"/>
        <v>0</v>
      </c>
      <c r="K170" s="8"/>
      <c r="L170" s="6"/>
      <c r="M170" s="6"/>
      <c r="N170" s="6"/>
      <c r="O170" s="6"/>
      <c r="P170" s="56">
        <f t="shared" si="31"/>
        <v>0</v>
      </c>
      <c r="Q170" s="6"/>
      <c r="R170" s="6"/>
      <c r="S170" s="6"/>
      <c r="T170" s="202"/>
      <c r="U170" s="56">
        <f t="shared" si="35"/>
        <v>0</v>
      </c>
      <c r="V170" s="56">
        <f t="shared" si="36"/>
        <v>0</v>
      </c>
      <c r="W170" s="6"/>
      <c r="X170" s="6"/>
      <c r="Y170" s="6"/>
      <c r="Z170" s="6"/>
      <c r="AA170" s="6"/>
      <c r="AB170" s="56">
        <f t="shared" si="32"/>
        <v>0</v>
      </c>
      <c r="AC170" s="6"/>
      <c r="AD170" s="6"/>
      <c r="AE170" s="6"/>
      <c r="AF170" s="202"/>
      <c r="AG170" s="16">
        <f t="shared" si="37"/>
        <v>0</v>
      </c>
    </row>
    <row r="171" spans="7:33" x14ac:dyDescent="0.15">
      <c r="G171" s="205" t="s">
        <v>330</v>
      </c>
      <c r="H171" s="4" t="s">
        <v>333</v>
      </c>
      <c r="I171" s="45">
        <f t="shared" si="33"/>
        <v>0</v>
      </c>
      <c r="J171" s="45">
        <f t="shared" si="34"/>
        <v>0</v>
      </c>
      <c r="K171" s="8"/>
      <c r="L171" s="6"/>
      <c r="M171" s="6"/>
      <c r="N171" s="6"/>
      <c r="O171" s="6"/>
      <c r="P171" s="56">
        <f t="shared" si="31"/>
        <v>0</v>
      </c>
      <c r="Q171" s="6"/>
      <c r="R171" s="6"/>
      <c r="S171" s="6"/>
      <c r="T171" s="202"/>
      <c r="U171" s="56">
        <f t="shared" si="35"/>
        <v>0</v>
      </c>
      <c r="V171" s="56">
        <f t="shared" si="36"/>
        <v>0</v>
      </c>
      <c r="W171" s="6"/>
      <c r="X171" s="6"/>
      <c r="Y171" s="6"/>
      <c r="Z171" s="6"/>
      <c r="AA171" s="6"/>
      <c r="AB171" s="56">
        <f t="shared" si="32"/>
        <v>0</v>
      </c>
      <c r="AC171" s="6"/>
      <c r="AD171" s="6"/>
      <c r="AE171" s="6"/>
      <c r="AF171" s="202"/>
      <c r="AG171" s="16">
        <f t="shared" si="37"/>
        <v>0</v>
      </c>
    </row>
    <row r="172" spans="7:33" x14ac:dyDescent="0.15">
      <c r="G172" s="205" t="s">
        <v>332</v>
      </c>
      <c r="H172" s="4" t="s">
        <v>335</v>
      </c>
      <c r="I172" s="45">
        <f t="shared" si="33"/>
        <v>0</v>
      </c>
      <c r="J172" s="45">
        <f t="shared" si="34"/>
        <v>0</v>
      </c>
      <c r="K172" s="8"/>
      <c r="L172" s="6"/>
      <c r="M172" s="6"/>
      <c r="N172" s="6"/>
      <c r="O172" s="6"/>
      <c r="P172" s="56">
        <f t="shared" si="31"/>
        <v>0</v>
      </c>
      <c r="Q172" s="6"/>
      <c r="R172" s="6"/>
      <c r="S172" s="6"/>
      <c r="T172" s="202"/>
      <c r="U172" s="56">
        <f t="shared" si="35"/>
        <v>0</v>
      </c>
      <c r="V172" s="56">
        <f t="shared" si="36"/>
        <v>0</v>
      </c>
      <c r="W172" s="6"/>
      <c r="X172" s="6"/>
      <c r="Y172" s="6"/>
      <c r="Z172" s="6"/>
      <c r="AA172" s="6"/>
      <c r="AB172" s="56">
        <f t="shared" si="32"/>
        <v>0</v>
      </c>
      <c r="AC172" s="6"/>
      <c r="AD172" s="6"/>
      <c r="AE172" s="6"/>
      <c r="AF172" s="202"/>
      <c r="AG172" s="16">
        <f t="shared" si="37"/>
        <v>0</v>
      </c>
    </row>
    <row r="173" spans="7:33" x14ac:dyDescent="0.15">
      <c r="G173" s="205" t="s">
        <v>334</v>
      </c>
      <c r="H173" s="53" t="s">
        <v>337</v>
      </c>
      <c r="I173" s="45">
        <f t="shared" si="33"/>
        <v>0</v>
      </c>
      <c r="J173" s="45">
        <f t="shared" si="34"/>
        <v>0</v>
      </c>
      <c r="K173" s="8"/>
      <c r="L173" s="6"/>
      <c r="M173" s="6"/>
      <c r="N173" s="6"/>
      <c r="O173" s="6"/>
      <c r="P173" s="56">
        <f t="shared" si="31"/>
        <v>0</v>
      </c>
      <c r="Q173" s="6"/>
      <c r="R173" s="6"/>
      <c r="S173" s="6"/>
      <c r="T173" s="202"/>
      <c r="U173" s="56">
        <f t="shared" si="35"/>
        <v>0</v>
      </c>
      <c r="V173" s="56">
        <f t="shared" si="36"/>
        <v>0</v>
      </c>
      <c r="W173" s="6"/>
      <c r="X173" s="6"/>
      <c r="Y173" s="6"/>
      <c r="Z173" s="6"/>
      <c r="AA173" s="6"/>
      <c r="AB173" s="56">
        <f t="shared" si="32"/>
        <v>0</v>
      </c>
      <c r="AC173" s="6"/>
      <c r="AD173" s="6"/>
      <c r="AE173" s="6"/>
      <c r="AF173" s="202"/>
      <c r="AG173" s="16">
        <f t="shared" si="37"/>
        <v>0</v>
      </c>
    </row>
    <row r="174" spans="7:33" x14ac:dyDescent="0.15">
      <c r="G174" s="205" t="s">
        <v>336</v>
      </c>
      <c r="H174" s="4" t="s">
        <v>339</v>
      </c>
      <c r="I174" s="45">
        <f t="shared" si="33"/>
        <v>0</v>
      </c>
      <c r="J174" s="45">
        <f t="shared" si="34"/>
        <v>0</v>
      </c>
      <c r="K174" s="46">
        <f t="shared" ref="K174:AF174" si="41">SUM(K175:K179)</f>
        <v>0</v>
      </c>
      <c r="L174" s="46">
        <f t="shared" si="41"/>
        <v>0</v>
      </c>
      <c r="M174" s="46">
        <f t="shared" si="41"/>
        <v>0</v>
      </c>
      <c r="N174" s="46">
        <f t="shared" si="41"/>
        <v>0</v>
      </c>
      <c r="O174" s="46">
        <f t="shared" si="41"/>
        <v>0</v>
      </c>
      <c r="P174" s="56">
        <f t="shared" si="31"/>
        <v>0</v>
      </c>
      <c r="Q174" s="46">
        <f t="shared" si="41"/>
        <v>0</v>
      </c>
      <c r="R174" s="46">
        <f t="shared" si="41"/>
        <v>0</v>
      </c>
      <c r="S174" s="46">
        <f t="shared" si="41"/>
        <v>0</v>
      </c>
      <c r="T174" s="46">
        <f t="shared" si="41"/>
        <v>0</v>
      </c>
      <c r="U174" s="56">
        <f t="shared" si="35"/>
        <v>0</v>
      </c>
      <c r="V174" s="56">
        <f t="shared" si="36"/>
        <v>0</v>
      </c>
      <c r="W174" s="46">
        <f t="shared" si="41"/>
        <v>0</v>
      </c>
      <c r="X174" s="46">
        <f t="shared" si="41"/>
        <v>0</v>
      </c>
      <c r="Y174" s="46">
        <f t="shared" si="41"/>
        <v>0</v>
      </c>
      <c r="Z174" s="46">
        <f t="shared" si="41"/>
        <v>0</v>
      </c>
      <c r="AA174" s="46">
        <f t="shared" si="41"/>
        <v>0</v>
      </c>
      <c r="AB174" s="56">
        <f t="shared" si="32"/>
        <v>0</v>
      </c>
      <c r="AC174" s="46">
        <f t="shared" si="41"/>
        <v>0</v>
      </c>
      <c r="AD174" s="46">
        <f t="shared" si="41"/>
        <v>0</v>
      </c>
      <c r="AE174" s="46">
        <f t="shared" si="41"/>
        <v>0</v>
      </c>
      <c r="AF174" s="46">
        <f t="shared" si="41"/>
        <v>0</v>
      </c>
      <c r="AG174" s="16">
        <f t="shared" si="37"/>
        <v>0</v>
      </c>
    </row>
    <row r="175" spans="7:33" ht="21" x14ac:dyDescent="0.15">
      <c r="G175" s="206" t="s">
        <v>338</v>
      </c>
      <c r="H175" s="4" t="s">
        <v>341</v>
      </c>
      <c r="I175" s="45">
        <f t="shared" si="33"/>
        <v>0</v>
      </c>
      <c r="J175" s="45">
        <f t="shared" si="34"/>
        <v>0</v>
      </c>
      <c r="K175" s="8"/>
      <c r="L175" s="6"/>
      <c r="M175" s="6"/>
      <c r="N175" s="6"/>
      <c r="O175" s="6"/>
      <c r="P175" s="56">
        <f t="shared" si="31"/>
        <v>0</v>
      </c>
      <c r="Q175" s="6"/>
      <c r="R175" s="6"/>
      <c r="S175" s="6"/>
      <c r="T175" s="202"/>
      <c r="U175" s="56">
        <f t="shared" si="35"/>
        <v>0</v>
      </c>
      <c r="V175" s="56">
        <f t="shared" si="36"/>
        <v>0</v>
      </c>
      <c r="W175" s="6"/>
      <c r="X175" s="6"/>
      <c r="Y175" s="6"/>
      <c r="Z175" s="6"/>
      <c r="AA175" s="6"/>
      <c r="AB175" s="56">
        <f t="shared" si="32"/>
        <v>0</v>
      </c>
      <c r="AC175" s="6"/>
      <c r="AD175" s="6"/>
      <c r="AE175" s="6"/>
      <c r="AF175" s="202"/>
      <c r="AG175" s="16">
        <f t="shared" si="37"/>
        <v>0</v>
      </c>
    </row>
    <row r="176" spans="7:33" x14ac:dyDescent="0.15">
      <c r="G176" s="206" t="s">
        <v>340</v>
      </c>
      <c r="H176" s="53" t="s">
        <v>343</v>
      </c>
      <c r="I176" s="45">
        <f t="shared" si="33"/>
        <v>0</v>
      </c>
      <c r="J176" s="45">
        <f t="shared" si="34"/>
        <v>0</v>
      </c>
      <c r="K176" s="8"/>
      <c r="L176" s="6"/>
      <c r="M176" s="6"/>
      <c r="N176" s="6"/>
      <c r="O176" s="6"/>
      <c r="P176" s="56">
        <f t="shared" si="31"/>
        <v>0</v>
      </c>
      <c r="Q176" s="6"/>
      <c r="R176" s="6"/>
      <c r="S176" s="6"/>
      <c r="T176" s="202"/>
      <c r="U176" s="56">
        <f t="shared" si="35"/>
        <v>0</v>
      </c>
      <c r="V176" s="56">
        <f t="shared" si="36"/>
        <v>0</v>
      </c>
      <c r="W176" s="6"/>
      <c r="X176" s="6"/>
      <c r="Y176" s="6"/>
      <c r="Z176" s="6"/>
      <c r="AA176" s="6"/>
      <c r="AB176" s="56">
        <f t="shared" si="32"/>
        <v>0</v>
      </c>
      <c r="AC176" s="6"/>
      <c r="AD176" s="6"/>
      <c r="AE176" s="6"/>
      <c r="AF176" s="202"/>
      <c r="AG176" s="16">
        <f t="shared" si="37"/>
        <v>0</v>
      </c>
    </row>
    <row r="177" spans="7:33" x14ac:dyDescent="0.15">
      <c r="G177" s="206" t="s">
        <v>342</v>
      </c>
      <c r="H177" s="4" t="s">
        <v>345</v>
      </c>
      <c r="I177" s="45">
        <f t="shared" si="33"/>
        <v>0</v>
      </c>
      <c r="J177" s="45">
        <f t="shared" si="34"/>
        <v>0</v>
      </c>
      <c r="K177" s="8"/>
      <c r="L177" s="6"/>
      <c r="M177" s="6"/>
      <c r="N177" s="6"/>
      <c r="O177" s="6"/>
      <c r="P177" s="56">
        <f t="shared" si="31"/>
        <v>0</v>
      </c>
      <c r="Q177" s="6"/>
      <c r="R177" s="6"/>
      <c r="S177" s="6"/>
      <c r="T177" s="202"/>
      <c r="U177" s="56">
        <f t="shared" si="35"/>
        <v>0</v>
      </c>
      <c r="V177" s="56">
        <f t="shared" si="36"/>
        <v>0</v>
      </c>
      <c r="W177" s="6"/>
      <c r="X177" s="6"/>
      <c r="Y177" s="6"/>
      <c r="Z177" s="6"/>
      <c r="AA177" s="6"/>
      <c r="AB177" s="56">
        <f t="shared" si="32"/>
        <v>0</v>
      </c>
      <c r="AC177" s="6"/>
      <c r="AD177" s="6"/>
      <c r="AE177" s="6"/>
      <c r="AF177" s="202"/>
      <c r="AG177" s="16">
        <f t="shared" si="37"/>
        <v>0</v>
      </c>
    </row>
    <row r="178" spans="7:33" x14ac:dyDescent="0.15">
      <c r="G178" s="206" t="s">
        <v>344</v>
      </c>
      <c r="H178" s="4" t="s">
        <v>347</v>
      </c>
      <c r="I178" s="45">
        <f t="shared" si="33"/>
        <v>0</v>
      </c>
      <c r="J178" s="45">
        <f t="shared" si="34"/>
        <v>0</v>
      </c>
      <c r="K178" s="8"/>
      <c r="L178" s="6"/>
      <c r="M178" s="6"/>
      <c r="N178" s="6"/>
      <c r="O178" s="6"/>
      <c r="P178" s="56">
        <f t="shared" si="31"/>
        <v>0</v>
      </c>
      <c r="Q178" s="6"/>
      <c r="R178" s="6"/>
      <c r="S178" s="6"/>
      <c r="T178" s="202"/>
      <c r="U178" s="56">
        <f t="shared" si="35"/>
        <v>0</v>
      </c>
      <c r="V178" s="56">
        <f t="shared" si="36"/>
        <v>0</v>
      </c>
      <c r="W178" s="6"/>
      <c r="X178" s="6"/>
      <c r="Y178" s="6"/>
      <c r="Z178" s="6"/>
      <c r="AA178" s="6"/>
      <c r="AB178" s="56">
        <f t="shared" si="32"/>
        <v>0</v>
      </c>
      <c r="AC178" s="6"/>
      <c r="AD178" s="6"/>
      <c r="AE178" s="6"/>
      <c r="AF178" s="202"/>
      <c r="AG178" s="16">
        <f t="shared" si="37"/>
        <v>0</v>
      </c>
    </row>
    <row r="179" spans="7:33" x14ac:dyDescent="0.15">
      <c r="G179" s="206" t="s">
        <v>346</v>
      </c>
      <c r="H179" s="53" t="s">
        <v>349</v>
      </c>
      <c r="I179" s="45">
        <f t="shared" si="33"/>
        <v>0</v>
      </c>
      <c r="J179" s="45">
        <f t="shared" si="34"/>
        <v>0</v>
      </c>
      <c r="K179" s="8"/>
      <c r="L179" s="6"/>
      <c r="M179" s="6"/>
      <c r="N179" s="6"/>
      <c r="O179" s="6"/>
      <c r="P179" s="56">
        <f t="shared" si="31"/>
        <v>0</v>
      </c>
      <c r="Q179" s="6"/>
      <c r="R179" s="6"/>
      <c r="S179" s="6"/>
      <c r="T179" s="202"/>
      <c r="U179" s="56">
        <f t="shared" si="35"/>
        <v>0</v>
      </c>
      <c r="V179" s="56">
        <f t="shared" si="36"/>
        <v>0</v>
      </c>
      <c r="W179" s="6"/>
      <c r="X179" s="6"/>
      <c r="Y179" s="6"/>
      <c r="Z179" s="6"/>
      <c r="AA179" s="6"/>
      <c r="AB179" s="56">
        <f t="shared" si="32"/>
        <v>0</v>
      </c>
      <c r="AC179" s="6"/>
      <c r="AD179" s="6"/>
      <c r="AE179" s="6"/>
      <c r="AF179" s="202"/>
      <c r="AG179" s="16">
        <f t="shared" si="37"/>
        <v>0</v>
      </c>
    </row>
    <row r="180" spans="7:33" x14ac:dyDescent="0.15">
      <c r="G180" s="205" t="s">
        <v>348</v>
      </c>
      <c r="H180" s="4" t="s">
        <v>351</v>
      </c>
      <c r="I180" s="45">
        <f t="shared" si="33"/>
        <v>0</v>
      </c>
      <c r="J180" s="45">
        <f t="shared" si="34"/>
        <v>0</v>
      </c>
      <c r="K180" s="8"/>
      <c r="L180" s="6"/>
      <c r="M180" s="6"/>
      <c r="N180" s="6"/>
      <c r="O180" s="6"/>
      <c r="P180" s="56">
        <f t="shared" si="31"/>
        <v>0</v>
      </c>
      <c r="Q180" s="6"/>
      <c r="R180" s="6"/>
      <c r="S180" s="6"/>
      <c r="T180" s="202"/>
      <c r="U180" s="56">
        <f t="shared" si="35"/>
        <v>0</v>
      </c>
      <c r="V180" s="56">
        <f t="shared" si="36"/>
        <v>0</v>
      </c>
      <c r="W180" s="6"/>
      <c r="X180" s="6"/>
      <c r="Y180" s="6"/>
      <c r="Z180" s="6"/>
      <c r="AA180" s="6"/>
      <c r="AB180" s="56">
        <f t="shared" si="32"/>
        <v>0</v>
      </c>
      <c r="AC180" s="6"/>
      <c r="AD180" s="6"/>
      <c r="AE180" s="6"/>
      <c r="AF180" s="202"/>
      <c r="AG180" s="16">
        <f t="shared" si="37"/>
        <v>0</v>
      </c>
    </row>
    <row r="181" spans="7:33" x14ac:dyDescent="0.15">
      <c r="G181" s="205" t="s">
        <v>350</v>
      </c>
      <c r="H181" s="4" t="s">
        <v>353</v>
      </c>
      <c r="I181" s="45">
        <f t="shared" si="33"/>
        <v>0</v>
      </c>
      <c r="J181" s="45">
        <f t="shared" si="34"/>
        <v>0</v>
      </c>
      <c r="K181" s="8"/>
      <c r="L181" s="6"/>
      <c r="M181" s="6"/>
      <c r="N181" s="6"/>
      <c r="O181" s="6"/>
      <c r="P181" s="56">
        <f t="shared" si="31"/>
        <v>0</v>
      </c>
      <c r="Q181" s="6"/>
      <c r="R181" s="6"/>
      <c r="S181" s="6"/>
      <c r="T181" s="202"/>
      <c r="U181" s="56">
        <f t="shared" si="35"/>
        <v>0</v>
      </c>
      <c r="V181" s="56">
        <f t="shared" si="36"/>
        <v>0</v>
      </c>
      <c r="W181" s="6"/>
      <c r="X181" s="6"/>
      <c r="Y181" s="6"/>
      <c r="Z181" s="6"/>
      <c r="AA181" s="6"/>
      <c r="AB181" s="56">
        <f t="shared" si="32"/>
        <v>0</v>
      </c>
      <c r="AC181" s="6"/>
      <c r="AD181" s="6"/>
      <c r="AE181" s="6"/>
      <c r="AF181" s="202"/>
      <c r="AG181" s="16">
        <f t="shared" si="37"/>
        <v>0</v>
      </c>
    </row>
    <row r="182" spans="7:33" x14ac:dyDescent="0.15">
      <c r="G182" s="205" t="s">
        <v>352</v>
      </c>
      <c r="H182" s="53" t="s">
        <v>355</v>
      </c>
      <c r="I182" s="45">
        <f t="shared" si="33"/>
        <v>0</v>
      </c>
      <c r="J182" s="45">
        <f t="shared" si="34"/>
        <v>0</v>
      </c>
      <c r="K182" s="8"/>
      <c r="L182" s="6"/>
      <c r="M182" s="6"/>
      <c r="N182" s="6"/>
      <c r="O182" s="6"/>
      <c r="P182" s="56">
        <f t="shared" si="31"/>
        <v>0</v>
      </c>
      <c r="Q182" s="6"/>
      <c r="R182" s="6"/>
      <c r="S182" s="6"/>
      <c r="T182" s="202"/>
      <c r="U182" s="56">
        <f t="shared" si="35"/>
        <v>0</v>
      </c>
      <c r="V182" s="56">
        <f t="shared" si="36"/>
        <v>0</v>
      </c>
      <c r="W182" s="6"/>
      <c r="X182" s="6"/>
      <c r="Y182" s="6"/>
      <c r="Z182" s="6"/>
      <c r="AA182" s="6"/>
      <c r="AB182" s="56">
        <f t="shared" si="32"/>
        <v>0</v>
      </c>
      <c r="AC182" s="6"/>
      <c r="AD182" s="6"/>
      <c r="AE182" s="6"/>
      <c r="AF182" s="202"/>
      <c r="AG182" s="16">
        <f t="shared" si="37"/>
        <v>0</v>
      </c>
    </row>
    <row r="183" spans="7:33" x14ac:dyDescent="0.15">
      <c r="G183" s="205" t="s">
        <v>354</v>
      </c>
      <c r="H183" s="4" t="s">
        <v>357</v>
      </c>
      <c r="I183" s="45">
        <f t="shared" si="33"/>
        <v>0</v>
      </c>
      <c r="J183" s="45">
        <f t="shared" si="34"/>
        <v>0</v>
      </c>
      <c r="K183" s="8"/>
      <c r="L183" s="6"/>
      <c r="M183" s="6"/>
      <c r="N183" s="6"/>
      <c r="O183" s="6"/>
      <c r="P183" s="56">
        <f t="shared" si="31"/>
        <v>0</v>
      </c>
      <c r="Q183" s="6"/>
      <c r="R183" s="6"/>
      <c r="S183" s="6"/>
      <c r="T183" s="202"/>
      <c r="U183" s="56">
        <f t="shared" si="35"/>
        <v>0</v>
      </c>
      <c r="V183" s="56">
        <f t="shared" si="36"/>
        <v>0</v>
      </c>
      <c r="W183" s="6"/>
      <c r="X183" s="6"/>
      <c r="Y183" s="6"/>
      <c r="Z183" s="6"/>
      <c r="AA183" s="6"/>
      <c r="AB183" s="56">
        <f t="shared" si="32"/>
        <v>0</v>
      </c>
      <c r="AC183" s="6"/>
      <c r="AD183" s="6"/>
      <c r="AE183" s="6"/>
      <c r="AF183" s="202"/>
      <c r="AG183" s="16">
        <f t="shared" si="37"/>
        <v>0</v>
      </c>
    </row>
    <row r="184" spans="7:33" x14ac:dyDescent="0.15">
      <c r="G184" s="205" t="s">
        <v>356</v>
      </c>
      <c r="H184" s="4" t="s">
        <v>359</v>
      </c>
      <c r="I184" s="45">
        <f t="shared" si="33"/>
        <v>0</v>
      </c>
      <c r="J184" s="45">
        <f t="shared" si="34"/>
        <v>0</v>
      </c>
      <c r="K184" s="8"/>
      <c r="L184" s="6"/>
      <c r="M184" s="6"/>
      <c r="N184" s="6"/>
      <c r="O184" s="6"/>
      <c r="P184" s="56">
        <f t="shared" si="31"/>
        <v>0</v>
      </c>
      <c r="Q184" s="6"/>
      <c r="R184" s="6"/>
      <c r="S184" s="6"/>
      <c r="T184" s="202"/>
      <c r="U184" s="56">
        <f t="shared" si="35"/>
        <v>0</v>
      </c>
      <c r="V184" s="56">
        <f t="shared" si="36"/>
        <v>0</v>
      </c>
      <c r="W184" s="6"/>
      <c r="X184" s="6"/>
      <c r="Y184" s="6"/>
      <c r="Z184" s="6"/>
      <c r="AA184" s="6"/>
      <c r="AB184" s="56">
        <f t="shared" si="32"/>
        <v>0</v>
      </c>
      <c r="AC184" s="6"/>
      <c r="AD184" s="6"/>
      <c r="AE184" s="6"/>
      <c r="AF184" s="202"/>
      <c r="AG184" s="16">
        <f t="shared" si="37"/>
        <v>0</v>
      </c>
    </row>
    <row r="185" spans="7:33" x14ac:dyDescent="0.15">
      <c r="G185" s="205" t="s">
        <v>358</v>
      </c>
      <c r="H185" s="53" t="s">
        <v>361</v>
      </c>
      <c r="I185" s="45">
        <f t="shared" si="33"/>
        <v>0</v>
      </c>
      <c r="J185" s="45">
        <f t="shared" si="34"/>
        <v>0</v>
      </c>
      <c r="K185" s="8"/>
      <c r="L185" s="6"/>
      <c r="M185" s="6"/>
      <c r="N185" s="6"/>
      <c r="O185" s="6"/>
      <c r="P185" s="56">
        <f t="shared" si="31"/>
        <v>0</v>
      </c>
      <c r="Q185" s="6"/>
      <c r="R185" s="6"/>
      <c r="S185" s="6"/>
      <c r="T185" s="202"/>
      <c r="U185" s="56">
        <f t="shared" si="35"/>
        <v>0</v>
      </c>
      <c r="V185" s="56">
        <f t="shared" si="36"/>
        <v>0</v>
      </c>
      <c r="W185" s="6"/>
      <c r="X185" s="6"/>
      <c r="Y185" s="6"/>
      <c r="Z185" s="6"/>
      <c r="AA185" s="6"/>
      <c r="AB185" s="56">
        <f t="shared" si="32"/>
        <v>0</v>
      </c>
      <c r="AC185" s="6"/>
      <c r="AD185" s="6"/>
      <c r="AE185" s="6"/>
      <c r="AF185" s="202"/>
      <c r="AG185" s="16">
        <f t="shared" si="37"/>
        <v>0</v>
      </c>
    </row>
    <row r="186" spans="7:33" x14ac:dyDescent="0.15">
      <c r="G186" s="205" t="s">
        <v>360</v>
      </c>
      <c r="H186" s="4" t="s">
        <v>363</v>
      </c>
      <c r="I186" s="45">
        <f t="shared" si="33"/>
        <v>0</v>
      </c>
      <c r="J186" s="45">
        <f t="shared" si="34"/>
        <v>0</v>
      </c>
      <c r="K186" s="8"/>
      <c r="L186" s="6"/>
      <c r="M186" s="6"/>
      <c r="N186" s="6"/>
      <c r="O186" s="6"/>
      <c r="P186" s="56">
        <f t="shared" si="31"/>
        <v>0</v>
      </c>
      <c r="Q186" s="6"/>
      <c r="R186" s="6"/>
      <c r="S186" s="6"/>
      <c r="T186" s="202"/>
      <c r="U186" s="56">
        <f t="shared" si="35"/>
        <v>0</v>
      </c>
      <c r="V186" s="56">
        <f t="shared" si="36"/>
        <v>0</v>
      </c>
      <c r="W186" s="6"/>
      <c r="X186" s="6"/>
      <c r="Y186" s="6"/>
      <c r="Z186" s="6"/>
      <c r="AA186" s="6"/>
      <c r="AB186" s="56">
        <f t="shared" si="32"/>
        <v>0</v>
      </c>
      <c r="AC186" s="6"/>
      <c r="AD186" s="6"/>
      <c r="AE186" s="6"/>
      <c r="AF186" s="202"/>
      <c r="AG186" s="16">
        <f t="shared" si="37"/>
        <v>0</v>
      </c>
    </row>
    <row r="187" spans="7:33" x14ac:dyDescent="0.15">
      <c r="G187" s="205" t="s">
        <v>362</v>
      </c>
      <c r="H187" s="4" t="s">
        <v>365</v>
      </c>
      <c r="I187" s="45">
        <f t="shared" si="33"/>
        <v>0</v>
      </c>
      <c r="J187" s="45">
        <f t="shared" si="34"/>
        <v>0</v>
      </c>
      <c r="K187" s="8"/>
      <c r="L187" s="6"/>
      <c r="M187" s="6"/>
      <c r="N187" s="6"/>
      <c r="O187" s="6"/>
      <c r="P187" s="56">
        <f t="shared" si="31"/>
        <v>0</v>
      </c>
      <c r="Q187" s="6"/>
      <c r="R187" s="6"/>
      <c r="S187" s="6"/>
      <c r="T187" s="202"/>
      <c r="U187" s="56">
        <f t="shared" si="35"/>
        <v>0</v>
      </c>
      <c r="V187" s="56">
        <f t="shared" si="36"/>
        <v>0</v>
      </c>
      <c r="W187" s="6"/>
      <c r="X187" s="6"/>
      <c r="Y187" s="6"/>
      <c r="Z187" s="6"/>
      <c r="AA187" s="6"/>
      <c r="AB187" s="56">
        <f t="shared" si="32"/>
        <v>0</v>
      </c>
      <c r="AC187" s="6"/>
      <c r="AD187" s="6"/>
      <c r="AE187" s="6"/>
      <c r="AF187" s="202"/>
      <c r="AG187" s="16">
        <f t="shared" si="37"/>
        <v>0</v>
      </c>
    </row>
    <row r="188" spans="7:33" x14ac:dyDescent="0.15">
      <c r="G188" s="205" t="s">
        <v>364</v>
      </c>
      <c r="H188" s="53" t="s">
        <v>367</v>
      </c>
      <c r="I188" s="45">
        <f t="shared" si="33"/>
        <v>0</v>
      </c>
      <c r="J188" s="45">
        <f t="shared" si="34"/>
        <v>0</v>
      </c>
      <c r="K188" s="8"/>
      <c r="L188" s="6"/>
      <c r="M188" s="6"/>
      <c r="N188" s="6"/>
      <c r="O188" s="6"/>
      <c r="P188" s="56">
        <f t="shared" si="31"/>
        <v>0</v>
      </c>
      <c r="Q188" s="6"/>
      <c r="R188" s="6"/>
      <c r="S188" s="6"/>
      <c r="T188" s="202"/>
      <c r="U188" s="56">
        <f t="shared" si="35"/>
        <v>0</v>
      </c>
      <c r="V188" s="56">
        <f t="shared" si="36"/>
        <v>0</v>
      </c>
      <c r="W188" s="6"/>
      <c r="X188" s="6"/>
      <c r="Y188" s="6"/>
      <c r="Z188" s="6"/>
      <c r="AA188" s="6"/>
      <c r="AB188" s="56">
        <f t="shared" si="32"/>
        <v>0</v>
      </c>
      <c r="AC188" s="6"/>
      <c r="AD188" s="6"/>
      <c r="AE188" s="6"/>
      <c r="AF188" s="202"/>
      <c r="AG188" s="16">
        <f t="shared" si="37"/>
        <v>0</v>
      </c>
    </row>
    <row r="189" spans="7:33" x14ac:dyDescent="0.15">
      <c r="G189" s="205" t="s">
        <v>366</v>
      </c>
      <c r="H189" s="4" t="s">
        <v>369</v>
      </c>
      <c r="I189" s="45">
        <f t="shared" si="33"/>
        <v>0</v>
      </c>
      <c r="J189" s="45">
        <f t="shared" si="34"/>
        <v>0</v>
      </c>
      <c r="K189" s="8"/>
      <c r="L189" s="6"/>
      <c r="M189" s="6"/>
      <c r="N189" s="6"/>
      <c r="O189" s="6"/>
      <c r="P189" s="56">
        <f t="shared" si="31"/>
        <v>0</v>
      </c>
      <c r="Q189" s="6"/>
      <c r="R189" s="6"/>
      <c r="S189" s="6"/>
      <c r="T189" s="202"/>
      <c r="U189" s="56">
        <f t="shared" si="35"/>
        <v>0</v>
      </c>
      <c r="V189" s="56">
        <f t="shared" si="36"/>
        <v>0</v>
      </c>
      <c r="W189" s="6"/>
      <c r="X189" s="6"/>
      <c r="Y189" s="6"/>
      <c r="Z189" s="6"/>
      <c r="AA189" s="6"/>
      <c r="AB189" s="56">
        <f t="shared" si="32"/>
        <v>0</v>
      </c>
      <c r="AC189" s="6"/>
      <c r="AD189" s="6"/>
      <c r="AE189" s="6"/>
      <c r="AF189" s="202"/>
      <c r="AG189" s="16">
        <f t="shared" si="37"/>
        <v>0</v>
      </c>
    </row>
    <row r="190" spans="7:33" x14ac:dyDescent="0.15">
      <c r="G190" s="205" t="s">
        <v>368</v>
      </c>
      <c r="H190" s="4" t="s">
        <v>371</v>
      </c>
      <c r="I190" s="45">
        <f t="shared" si="33"/>
        <v>0</v>
      </c>
      <c r="J190" s="45">
        <f t="shared" si="34"/>
        <v>0</v>
      </c>
      <c r="K190" s="8"/>
      <c r="L190" s="6"/>
      <c r="M190" s="6"/>
      <c r="N190" s="6"/>
      <c r="O190" s="6"/>
      <c r="P190" s="56">
        <f t="shared" si="31"/>
        <v>0</v>
      </c>
      <c r="Q190" s="6"/>
      <c r="R190" s="6"/>
      <c r="S190" s="6"/>
      <c r="T190" s="202"/>
      <c r="U190" s="56">
        <f t="shared" si="35"/>
        <v>0</v>
      </c>
      <c r="V190" s="56">
        <f t="shared" si="36"/>
        <v>0</v>
      </c>
      <c r="W190" s="6"/>
      <c r="X190" s="6"/>
      <c r="Y190" s="6"/>
      <c r="Z190" s="6"/>
      <c r="AA190" s="6"/>
      <c r="AB190" s="56">
        <f t="shared" si="32"/>
        <v>0</v>
      </c>
      <c r="AC190" s="6"/>
      <c r="AD190" s="6"/>
      <c r="AE190" s="6"/>
      <c r="AF190" s="202"/>
      <c r="AG190" s="16">
        <f t="shared" si="37"/>
        <v>0</v>
      </c>
    </row>
    <row r="191" spans="7:33" x14ac:dyDescent="0.15">
      <c r="G191" s="205" t="s">
        <v>370</v>
      </c>
      <c r="H191" s="53" t="s">
        <v>373</v>
      </c>
      <c r="I191" s="45">
        <f t="shared" si="33"/>
        <v>0</v>
      </c>
      <c r="J191" s="45">
        <f t="shared" si="34"/>
        <v>0</v>
      </c>
      <c r="K191" s="8"/>
      <c r="L191" s="6"/>
      <c r="M191" s="6"/>
      <c r="N191" s="6"/>
      <c r="O191" s="6"/>
      <c r="P191" s="56">
        <f t="shared" si="31"/>
        <v>0</v>
      </c>
      <c r="Q191" s="6"/>
      <c r="R191" s="6"/>
      <c r="S191" s="6"/>
      <c r="T191" s="202"/>
      <c r="U191" s="56">
        <f t="shared" si="35"/>
        <v>0</v>
      </c>
      <c r="V191" s="56">
        <f t="shared" si="36"/>
        <v>0</v>
      </c>
      <c r="W191" s="6"/>
      <c r="X191" s="6"/>
      <c r="Y191" s="6"/>
      <c r="Z191" s="6"/>
      <c r="AA191" s="6"/>
      <c r="AB191" s="56">
        <f t="shared" si="32"/>
        <v>0</v>
      </c>
      <c r="AC191" s="6"/>
      <c r="AD191" s="6"/>
      <c r="AE191" s="6"/>
      <c r="AF191" s="202"/>
      <c r="AG191" s="16">
        <f t="shared" si="37"/>
        <v>0</v>
      </c>
    </row>
    <row r="192" spans="7:33" x14ac:dyDescent="0.15">
      <c r="G192" s="205" t="s">
        <v>372</v>
      </c>
      <c r="H192" s="4" t="s">
        <v>375</v>
      </c>
      <c r="I192" s="45">
        <f t="shared" si="33"/>
        <v>0</v>
      </c>
      <c r="J192" s="45">
        <f t="shared" si="34"/>
        <v>0</v>
      </c>
      <c r="K192" s="8"/>
      <c r="L192" s="6"/>
      <c r="M192" s="6"/>
      <c r="N192" s="6"/>
      <c r="O192" s="6"/>
      <c r="P192" s="56">
        <f t="shared" si="31"/>
        <v>0</v>
      </c>
      <c r="Q192" s="6"/>
      <c r="R192" s="6"/>
      <c r="S192" s="6"/>
      <c r="T192" s="202"/>
      <c r="U192" s="56">
        <f t="shared" si="35"/>
        <v>0</v>
      </c>
      <c r="V192" s="56">
        <f t="shared" si="36"/>
        <v>0</v>
      </c>
      <c r="W192" s="6"/>
      <c r="X192" s="6"/>
      <c r="Y192" s="6"/>
      <c r="Z192" s="6"/>
      <c r="AA192" s="6"/>
      <c r="AB192" s="56">
        <f t="shared" si="32"/>
        <v>0</v>
      </c>
      <c r="AC192" s="6"/>
      <c r="AD192" s="6"/>
      <c r="AE192" s="6"/>
      <c r="AF192" s="202"/>
      <c r="AG192" s="16">
        <f t="shared" si="37"/>
        <v>0</v>
      </c>
    </row>
    <row r="193" spans="7:33" x14ac:dyDescent="0.15">
      <c r="G193" s="205" t="s">
        <v>374</v>
      </c>
      <c r="H193" s="4" t="s">
        <v>377</v>
      </c>
      <c r="I193" s="45">
        <f t="shared" si="33"/>
        <v>0</v>
      </c>
      <c r="J193" s="45">
        <f t="shared" si="34"/>
        <v>0</v>
      </c>
      <c r="K193" s="8"/>
      <c r="L193" s="6"/>
      <c r="M193" s="6"/>
      <c r="N193" s="6"/>
      <c r="O193" s="6"/>
      <c r="P193" s="56">
        <f t="shared" si="31"/>
        <v>0</v>
      </c>
      <c r="Q193" s="6"/>
      <c r="R193" s="6"/>
      <c r="S193" s="6"/>
      <c r="T193" s="202"/>
      <c r="U193" s="56">
        <f t="shared" si="35"/>
        <v>0</v>
      </c>
      <c r="V193" s="56">
        <f t="shared" si="36"/>
        <v>0</v>
      </c>
      <c r="W193" s="6"/>
      <c r="X193" s="6"/>
      <c r="Y193" s="6"/>
      <c r="Z193" s="6"/>
      <c r="AA193" s="6"/>
      <c r="AB193" s="56">
        <f t="shared" si="32"/>
        <v>0</v>
      </c>
      <c r="AC193" s="6"/>
      <c r="AD193" s="6"/>
      <c r="AE193" s="6"/>
      <c r="AF193" s="202"/>
      <c r="AG193" s="16">
        <f t="shared" si="37"/>
        <v>0</v>
      </c>
    </row>
    <row r="194" spans="7:33" x14ac:dyDescent="0.15">
      <c r="G194" s="205" t="s">
        <v>376</v>
      </c>
      <c r="H194" s="53" t="s">
        <v>379</v>
      </c>
      <c r="I194" s="45">
        <f t="shared" si="33"/>
        <v>0</v>
      </c>
      <c r="J194" s="45">
        <f t="shared" si="34"/>
        <v>0</v>
      </c>
      <c r="K194" s="8"/>
      <c r="L194" s="6"/>
      <c r="M194" s="6"/>
      <c r="N194" s="6"/>
      <c r="O194" s="6"/>
      <c r="P194" s="56">
        <f t="shared" si="31"/>
        <v>0</v>
      </c>
      <c r="Q194" s="6"/>
      <c r="R194" s="6"/>
      <c r="S194" s="6"/>
      <c r="T194" s="202"/>
      <c r="U194" s="56">
        <f t="shared" si="35"/>
        <v>0</v>
      </c>
      <c r="V194" s="56">
        <f t="shared" si="36"/>
        <v>0</v>
      </c>
      <c r="W194" s="6"/>
      <c r="X194" s="6"/>
      <c r="Y194" s="6"/>
      <c r="Z194" s="6"/>
      <c r="AA194" s="6"/>
      <c r="AB194" s="56">
        <f t="shared" si="32"/>
        <v>0</v>
      </c>
      <c r="AC194" s="6"/>
      <c r="AD194" s="6"/>
      <c r="AE194" s="6"/>
      <c r="AF194" s="202"/>
      <c r="AG194" s="16">
        <f t="shared" si="37"/>
        <v>0</v>
      </c>
    </row>
    <row r="195" spans="7:33" x14ac:dyDescent="0.15">
      <c r="G195" s="205" t="s">
        <v>378</v>
      </c>
      <c r="H195" s="4" t="s">
        <v>381</v>
      </c>
      <c r="I195" s="45">
        <f t="shared" si="33"/>
        <v>0</v>
      </c>
      <c r="J195" s="45">
        <f t="shared" si="34"/>
        <v>0</v>
      </c>
      <c r="K195" s="46">
        <f t="shared" ref="K195:AF195" si="42">SUM(K196:K198)</f>
        <v>0</v>
      </c>
      <c r="L195" s="46">
        <f t="shared" si="42"/>
        <v>0</v>
      </c>
      <c r="M195" s="46">
        <f t="shared" si="42"/>
        <v>0</v>
      </c>
      <c r="N195" s="46">
        <f t="shared" si="42"/>
        <v>0</v>
      </c>
      <c r="O195" s="46">
        <f t="shared" si="42"/>
        <v>0</v>
      </c>
      <c r="P195" s="56">
        <f t="shared" si="31"/>
        <v>0</v>
      </c>
      <c r="Q195" s="46">
        <f t="shared" si="42"/>
        <v>0</v>
      </c>
      <c r="R195" s="46">
        <f t="shared" si="42"/>
        <v>0</v>
      </c>
      <c r="S195" s="46">
        <f t="shared" si="42"/>
        <v>0</v>
      </c>
      <c r="T195" s="46">
        <f t="shared" si="42"/>
        <v>0</v>
      </c>
      <c r="U195" s="56">
        <f t="shared" si="35"/>
        <v>0</v>
      </c>
      <c r="V195" s="56">
        <f t="shared" si="36"/>
        <v>0</v>
      </c>
      <c r="W195" s="46">
        <f t="shared" si="42"/>
        <v>0</v>
      </c>
      <c r="X195" s="46">
        <f t="shared" si="42"/>
        <v>0</v>
      </c>
      <c r="Y195" s="46">
        <f t="shared" si="42"/>
        <v>0</v>
      </c>
      <c r="Z195" s="46">
        <f t="shared" si="42"/>
        <v>0</v>
      </c>
      <c r="AA195" s="46">
        <f t="shared" si="42"/>
        <v>0</v>
      </c>
      <c r="AB195" s="56">
        <f t="shared" si="32"/>
        <v>0</v>
      </c>
      <c r="AC195" s="46">
        <f t="shared" si="42"/>
        <v>0</v>
      </c>
      <c r="AD195" s="46">
        <f t="shared" si="42"/>
        <v>0</v>
      </c>
      <c r="AE195" s="46">
        <f t="shared" si="42"/>
        <v>0</v>
      </c>
      <c r="AF195" s="46">
        <f t="shared" si="42"/>
        <v>0</v>
      </c>
      <c r="AG195" s="16">
        <f t="shared" si="37"/>
        <v>0</v>
      </c>
    </row>
    <row r="196" spans="7:33" ht="21" x14ac:dyDescent="0.15">
      <c r="G196" s="206" t="s">
        <v>380</v>
      </c>
      <c r="H196" s="4" t="s">
        <v>383</v>
      </c>
      <c r="I196" s="45">
        <f t="shared" si="33"/>
        <v>0</v>
      </c>
      <c r="J196" s="45">
        <f t="shared" si="34"/>
        <v>0</v>
      </c>
      <c r="K196" s="8"/>
      <c r="L196" s="6"/>
      <c r="M196" s="6"/>
      <c r="N196" s="6"/>
      <c r="O196" s="6"/>
      <c r="P196" s="56">
        <f t="shared" si="31"/>
        <v>0</v>
      </c>
      <c r="Q196" s="6"/>
      <c r="R196" s="6"/>
      <c r="S196" s="6"/>
      <c r="T196" s="202"/>
      <c r="U196" s="56">
        <f t="shared" si="35"/>
        <v>0</v>
      </c>
      <c r="V196" s="56">
        <f t="shared" si="36"/>
        <v>0</v>
      </c>
      <c r="W196" s="6"/>
      <c r="X196" s="6"/>
      <c r="Y196" s="6"/>
      <c r="Z196" s="6"/>
      <c r="AA196" s="6"/>
      <c r="AB196" s="56">
        <f t="shared" si="32"/>
        <v>0</v>
      </c>
      <c r="AC196" s="6"/>
      <c r="AD196" s="6"/>
      <c r="AE196" s="6"/>
      <c r="AF196" s="202"/>
      <c r="AG196" s="16">
        <f t="shared" si="37"/>
        <v>0</v>
      </c>
    </row>
    <row r="197" spans="7:33" x14ac:dyDescent="0.15">
      <c r="G197" s="206" t="s">
        <v>382</v>
      </c>
      <c r="H197" s="53" t="s">
        <v>385</v>
      </c>
      <c r="I197" s="45">
        <f t="shared" si="33"/>
        <v>0</v>
      </c>
      <c r="J197" s="45">
        <f t="shared" si="34"/>
        <v>0</v>
      </c>
      <c r="K197" s="8"/>
      <c r="L197" s="6"/>
      <c r="M197" s="6"/>
      <c r="N197" s="6"/>
      <c r="O197" s="6"/>
      <c r="P197" s="56">
        <f t="shared" si="31"/>
        <v>0</v>
      </c>
      <c r="Q197" s="6"/>
      <c r="R197" s="6"/>
      <c r="S197" s="6"/>
      <c r="T197" s="202"/>
      <c r="U197" s="56">
        <f t="shared" si="35"/>
        <v>0</v>
      </c>
      <c r="V197" s="56">
        <f t="shared" si="36"/>
        <v>0</v>
      </c>
      <c r="W197" s="6"/>
      <c r="X197" s="6"/>
      <c r="Y197" s="6"/>
      <c r="Z197" s="6"/>
      <c r="AA197" s="6"/>
      <c r="AB197" s="56">
        <f t="shared" si="32"/>
        <v>0</v>
      </c>
      <c r="AC197" s="6"/>
      <c r="AD197" s="6"/>
      <c r="AE197" s="6"/>
      <c r="AF197" s="202"/>
      <c r="AG197" s="16">
        <f t="shared" si="37"/>
        <v>0</v>
      </c>
    </row>
    <row r="198" spans="7:33" ht="21" x14ac:dyDescent="0.15">
      <c r="G198" s="206" t="s">
        <v>384</v>
      </c>
      <c r="H198" s="4" t="s">
        <v>387</v>
      </c>
      <c r="I198" s="45">
        <f t="shared" si="33"/>
        <v>0</v>
      </c>
      <c r="J198" s="45">
        <f t="shared" si="34"/>
        <v>0</v>
      </c>
      <c r="K198" s="8"/>
      <c r="L198" s="6"/>
      <c r="M198" s="6"/>
      <c r="N198" s="6"/>
      <c r="O198" s="6"/>
      <c r="P198" s="56">
        <f t="shared" si="31"/>
        <v>0</v>
      </c>
      <c r="Q198" s="6"/>
      <c r="R198" s="6"/>
      <c r="S198" s="6"/>
      <c r="T198" s="202"/>
      <c r="U198" s="56">
        <f t="shared" si="35"/>
        <v>0</v>
      </c>
      <c r="V198" s="56">
        <f t="shared" si="36"/>
        <v>0</v>
      </c>
      <c r="W198" s="6"/>
      <c r="X198" s="6"/>
      <c r="Y198" s="6"/>
      <c r="Z198" s="6"/>
      <c r="AA198" s="6"/>
      <c r="AB198" s="56">
        <f t="shared" si="32"/>
        <v>0</v>
      </c>
      <c r="AC198" s="6"/>
      <c r="AD198" s="6"/>
      <c r="AE198" s="6"/>
      <c r="AF198" s="202"/>
      <c r="AG198" s="16">
        <f t="shared" si="37"/>
        <v>0</v>
      </c>
    </row>
    <row r="199" spans="7:33" x14ac:dyDescent="0.15">
      <c r="G199" s="205" t="s">
        <v>386</v>
      </c>
      <c r="H199" s="4" t="s">
        <v>389</v>
      </c>
      <c r="I199" s="45">
        <f t="shared" si="33"/>
        <v>0</v>
      </c>
      <c r="J199" s="45">
        <f t="shared" si="34"/>
        <v>0</v>
      </c>
      <c r="K199" s="8"/>
      <c r="L199" s="6"/>
      <c r="M199" s="6"/>
      <c r="N199" s="6"/>
      <c r="O199" s="6"/>
      <c r="P199" s="56">
        <f t="shared" si="31"/>
        <v>0</v>
      </c>
      <c r="Q199" s="6"/>
      <c r="R199" s="6"/>
      <c r="S199" s="6"/>
      <c r="T199" s="202"/>
      <c r="U199" s="56">
        <f t="shared" si="35"/>
        <v>0</v>
      </c>
      <c r="V199" s="56">
        <f t="shared" si="36"/>
        <v>0</v>
      </c>
      <c r="W199" s="6"/>
      <c r="X199" s="6"/>
      <c r="Y199" s="6"/>
      <c r="Z199" s="6"/>
      <c r="AA199" s="6"/>
      <c r="AB199" s="56">
        <f t="shared" si="32"/>
        <v>0</v>
      </c>
      <c r="AC199" s="6"/>
      <c r="AD199" s="6"/>
      <c r="AE199" s="6"/>
      <c r="AF199" s="202"/>
      <c r="AG199" s="16">
        <f t="shared" si="37"/>
        <v>0</v>
      </c>
    </row>
    <row r="200" spans="7:33" x14ac:dyDescent="0.15">
      <c r="G200" s="205" t="s">
        <v>388</v>
      </c>
      <c r="H200" s="53" t="s">
        <v>391</v>
      </c>
      <c r="I200" s="45">
        <f t="shared" si="33"/>
        <v>0</v>
      </c>
      <c r="J200" s="45">
        <f t="shared" si="34"/>
        <v>0</v>
      </c>
      <c r="K200" s="8"/>
      <c r="L200" s="6"/>
      <c r="M200" s="6"/>
      <c r="N200" s="6"/>
      <c r="O200" s="6"/>
      <c r="P200" s="56">
        <f t="shared" si="31"/>
        <v>0</v>
      </c>
      <c r="Q200" s="6"/>
      <c r="R200" s="6"/>
      <c r="S200" s="6"/>
      <c r="T200" s="202"/>
      <c r="U200" s="56">
        <f t="shared" si="35"/>
        <v>0</v>
      </c>
      <c r="V200" s="56">
        <f t="shared" si="36"/>
        <v>0</v>
      </c>
      <c r="W200" s="6"/>
      <c r="X200" s="6"/>
      <c r="Y200" s="6"/>
      <c r="Z200" s="6"/>
      <c r="AA200" s="6"/>
      <c r="AB200" s="56">
        <f t="shared" si="32"/>
        <v>0</v>
      </c>
      <c r="AC200" s="6"/>
      <c r="AD200" s="6"/>
      <c r="AE200" s="6"/>
      <c r="AF200" s="202"/>
      <c r="AG200" s="16">
        <f t="shared" si="37"/>
        <v>0</v>
      </c>
    </row>
    <row r="201" spans="7:33" x14ac:dyDescent="0.15">
      <c r="G201" s="205" t="s">
        <v>390</v>
      </c>
      <c r="H201" s="4" t="s">
        <v>393</v>
      </c>
      <c r="I201" s="45">
        <f t="shared" si="33"/>
        <v>0</v>
      </c>
      <c r="J201" s="45">
        <f t="shared" si="34"/>
        <v>0</v>
      </c>
      <c r="K201" s="8"/>
      <c r="L201" s="6"/>
      <c r="M201" s="6"/>
      <c r="N201" s="6"/>
      <c r="O201" s="6"/>
      <c r="P201" s="56">
        <f t="shared" si="31"/>
        <v>0</v>
      </c>
      <c r="Q201" s="6"/>
      <c r="R201" s="6"/>
      <c r="S201" s="6"/>
      <c r="T201" s="202"/>
      <c r="U201" s="56">
        <f t="shared" si="35"/>
        <v>0</v>
      </c>
      <c r="V201" s="56">
        <f t="shared" si="36"/>
        <v>0</v>
      </c>
      <c r="W201" s="6"/>
      <c r="X201" s="6"/>
      <c r="Y201" s="6"/>
      <c r="Z201" s="6"/>
      <c r="AA201" s="6"/>
      <c r="AB201" s="56">
        <f t="shared" si="32"/>
        <v>0</v>
      </c>
      <c r="AC201" s="6"/>
      <c r="AD201" s="6"/>
      <c r="AE201" s="6"/>
      <c r="AF201" s="202"/>
      <c r="AG201" s="16">
        <f t="shared" si="37"/>
        <v>0</v>
      </c>
    </row>
    <row r="202" spans="7:33" x14ac:dyDescent="0.15">
      <c r="G202" s="205" t="s">
        <v>392</v>
      </c>
      <c r="H202" s="4" t="s">
        <v>395</v>
      </c>
      <c r="I202" s="45">
        <f t="shared" si="33"/>
        <v>0</v>
      </c>
      <c r="J202" s="45">
        <f t="shared" si="34"/>
        <v>0</v>
      </c>
      <c r="K202" s="8"/>
      <c r="L202" s="6"/>
      <c r="M202" s="6"/>
      <c r="N202" s="6"/>
      <c r="O202" s="6"/>
      <c r="P202" s="56">
        <f t="shared" si="31"/>
        <v>0</v>
      </c>
      <c r="Q202" s="6"/>
      <c r="R202" s="6"/>
      <c r="S202" s="6"/>
      <c r="T202" s="202"/>
      <c r="U202" s="56">
        <f t="shared" si="35"/>
        <v>0</v>
      </c>
      <c r="V202" s="56">
        <f t="shared" si="36"/>
        <v>0</v>
      </c>
      <c r="W202" s="6"/>
      <c r="X202" s="6"/>
      <c r="Y202" s="6"/>
      <c r="Z202" s="6"/>
      <c r="AA202" s="6"/>
      <c r="AB202" s="56">
        <f t="shared" si="32"/>
        <v>0</v>
      </c>
      <c r="AC202" s="6"/>
      <c r="AD202" s="6"/>
      <c r="AE202" s="6"/>
      <c r="AF202" s="202"/>
      <c r="AG202" s="16">
        <f t="shared" si="37"/>
        <v>0</v>
      </c>
    </row>
    <row r="203" spans="7:33" x14ac:dyDescent="0.15">
      <c r="G203" s="205" t="s">
        <v>394</v>
      </c>
      <c r="H203" s="53" t="s">
        <v>397</v>
      </c>
      <c r="I203" s="45">
        <f t="shared" si="33"/>
        <v>0</v>
      </c>
      <c r="J203" s="45">
        <f t="shared" si="34"/>
        <v>0</v>
      </c>
      <c r="K203" s="8"/>
      <c r="L203" s="6"/>
      <c r="M203" s="6"/>
      <c r="N203" s="6"/>
      <c r="O203" s="6"/>
      <c r="P203" s="56">
        <f t="shared" ref="P203:P266" si="43">SUM(Q203:T203)</f>
        <v>0</v>
      </c>
      <c r="Q203" s="6"/>
      <c r="R203" s="6"/>
      <c r="S203" s="6"/>
      <c r="T203" s="202"/>
      <c r="U203" s="56">
        <f t="shared" si="35"/>
        <v>0</v>
      </c>
      <c r="V203" s="56">
        <f t="shared" si="36"/>
        <v>0</v>
      </c>
      <c r="W203" s="6"/>
      <c r="X203" s="6"/>
      <c r="Y203" s="6"/>
      <c r="Z203" s="6"/>
      <c r="AA203" s="6"/>
      <c r="AB203" s="56">
        <f t="shared" ref="AB203:AB266" si="44">SUM(AC203:AF203)</f>
        <v>0</v>
      </c>
      <c r="AC203" s="6"/>
      <c r="AD203" s="6"/>
      <c r="AE203" s="6"/>
      <c r="AF203" s="202"/>
      <c r="AG203" s="16">
        <f t="shared" si="37"/>
        <v>0</v>
      </c>
    </row>
    <row r="204" spans="7:33" x14ac:dyDescent="0.15">
      <c r="G204" s="205" t="s">
        <v>396</v>
      </c>
      <c r="H204" s="4" t="s">
        <v>399</v>
      </c>
      <c r="I204" s="45">
        <f t="shared" ref="I204:I268" si="45">J204+P204</f>
        <v>0</v>
      </c>
      <c r="J204" s="45">
        <f t="shared" ref="J204:J268" si="46">SUM(K204:O204)</f>
        <v>0</v>
      </c>
      <c r="K204" s="8"/>
      <c r="L204" s="6"/>
      <c r="M204" s="6"/>
      <c r="N204" s="6"/>
      <c r="O204" s="6"/>
      <c r="P204" s="56">
        <f t="shared" si="43"/>
        <v>0</v>
      </c>
      <c r="Q204" s="6"/>
      <c r="R204" s="6"/>
      <c r="S204" s="6"/>
      <c r="T204" s="202"/>
      <c r="U204" s="56">
        <f t="shared" ref="U204:U267" si="47">V204+AB204</f>
        <v>0</v>
      </c>
      <c r="V204" s="56">
        <f t="shared" ref="V204:V267" si="48">SUM(W204:AA204)</f>
        <v>0</v>
      </c>
      <c r="W204" s="6"/>
      <c r="X204" s="6"/>
      <c r="Y204" s="6"/>
      <c r="Z204" s="6"/>
      <c r="AA204" s="6"/>
      <c r="AB204" s="56">
        <f t="shared" si="44"/>
        <v>0</v>
      </c>
      <c r="AC204" s="6"/>
      <c r="AD204" s="6"/>
      <c r="AE204" s="6"/>
      <c r="AF204" s="202"/>
      <c r="AG204" s="16">
        <f t="shared" ref="AG204:AG268" si="49">SUM(I204:AF204)</f>
        <v>0</v>
      </c>
    </row>
    <row r="205" spans="7:33" x14ac:dyDescent="0.15">
      <c r="G205" s="205" t="s">
        <v>398</v>
      </c>
      <c r="H205" s="4" t="s">
        <v>401</v>
      </c>
      <c r="I205" s="45">
        <f t="shared" si="45"/>
        <v>0</v>
      </c>
      <c r="J205" s="45">
        <f t="shared" si="46"/>
        <v>0</v>
      </c>
      <c r="K205" s="8"/>
      <c r="L205" s="6"/>
      <c r="M205" s="6"/>
      <c r="N205" s="6"/>
      <c r="O205" s="6"/>
      <c r="P205" s="56">
        <f t="shared" si="43"/>
        <v>0</v>
      </c>
      <c r="Q205" s="6"/>
      <c r="R205" s="6"/>
      <c r="S205" s="6"/>
      <c r="T205" s="202"/>
      <c r="U205" s="56">
        <f t="shared" si="47"/>
        <v>0</v>
      </c>
      <c r="V205" s="56">
        <f t="shared" si="48"/>
        <v>0</v>
      </c>
      <c r="W205" s="6"/>
      <c r="X205" s="6"/>
      <c r="Y205" s="6"/>
      <c r="Z205" s="6"/>
      <c r="AA205" s="6"/>
      <c r="AB205" s="56">
        <f t="shared" si="44"/>
        <v>0</v>
      </c>
      <c r="AC205" s="6"/>
      <c r="AD205" s="6"/>
      <c r="AE205" s="6"/>
      <c r="AF205" s="202"/>
      <c r="AG205" s="16">
        <f t="shared" si="49"/>
        <v>0</v>
      </c>
    </row>
    <row r="206" spans="7:33" ht="21" x14ac:dyDescent="0.15">
      <c r="G206" s="205" t="s">
        <v>400</v>
      </c>
      <c r="H206" s="53" t="s">
        <v>403</v>
      </c>
      <c r="I206" s="45">
        <f t="shared" si="45"/>
        <v>0</v>
      </c>
      <c r="J206" s="45">
        <f t="shared" si="46"/>
        <v>0</v>
      </c>
      <c r="K206" s="8"/>
      <c r="L206" s="6"/>
      <c r="M206" s="6"/>
      <c r="N206" s="6"/>
      <c r="O206" s="6"/>
      <c r="P206" s="56">
        <f t="shared" si="43"/>
        <v>0</v>
      </c>
      <c r="Q206" s="6"/>
      <c r="R206" s="6"/>
      <c r="S206" s="6"/>
      <c r="T206" s="202"/>
      <c r="U206" s="56">
        <f t="shared" si="47"/>
        <v>0</v>
      </c>
      <c r="V206" s="56">
        <f t="shared" si="48"/>
        <v>0</v>
      </c>
      <c r="W206" s="6"/>
      <c r="X206" s="6"/>
      <c r="Y206" s="6"/>
      <c r="Z206" s="6"/>
      <c r="AA206" s="6"/>
      <c r="AB206" s="56">
        <f t="shared" si="44"/>
        <v>0</v>
      </c>
      <c r="AC206" s="6"/>
      <c r="AD206" s="6"/>
      <c r="AE206" s="6"/>
      <c r="AF206" s="202"/>
      <c r="AG206" s="16">
        <f t="shared" si="49"/>
        <v>0</v>
      </c>
    </row>
    <row r="207" spans="7:33" ht="21" x14ac:dyDescent="0.15">
      <c r="G207" s="205" t="s">
        <v>402</v>
      </c>
      <c r="H207" s="4" t="s">
        <v>405</v>
      </c>
      <c r="I207" s="45">
        <f t="shared" si="45"/>
        <v>0</v>
      </c>
      <c r="J207" s="45">
        <f t="shared" si="46"/>
        <v>0</v>
      </c>
      <c r="K207" s="8"/>
      <c r="L207" s="6"/>
      <c r="M207" s="6"/>
      <c r="N207" s="6"/>
      <c r="O207" s="6"/>
      <c r="P207" s="56">
        <f t="shared" si="43"/>
        <v>0</v>
      </c>
      <c r="Q207" s="6"/>
      <c r="R207" s="6"/>
      <c r="S207" s="6"/>
      <c r="T207" s="202"/>
      <c r="U207" s="56">
        <f t="shared" si="47"/>
        <v>0</v>
      </c>
      <c r="V207" s="56">
        <f t="shared" si="48"/>
        <v>0</v>
      </c>
      <c r="W207" s="6"/>
      <c r="X207" s="6"/>
      <c r="Y207" s="6"/>
      <c r="Z207" s="6"/>
      <c r="AA207" s="6"/>
      <c r="AB207" s="56">
        <f t="shared" si="44"/>
        <v>0</v>
      </c>
      <c r="AC207" s="6"/>
      <c r="AD207" s="6"/>
      <c r="AE207" s="6"/>
      <c r="AF207" s="202"/>
      <c r="AG207" s="16">
        <f t="shared" si="49"/>
        <v>0</v>
      </c>
    </row>
    <row r="208" spans="7:33" x14ac:dyDescent="0.15">
      <c r="G208" s="205" t="s">
        <v>404</v>
      </c>
      <c r="H208" s="4" t="s">
        <v>407</v>
      </c>
      <c r="I208" s="45">
        <f t="shared" si="45"/>
        <v>0</v>
      </c>
      <c r="J208" s="45">
        <f t="shared" si="46"/>
        <v>0</v>
      </c>
      <c r="K208" s="8"/>
      <c r="L208" s="6"/>
      <c r="M208" s="6"/>
      <c r="N208" s="6"/>
      <c r="O208" s="6"/>
      <c r="P208" s="56">
        <f t="shared" si="43"/>
        <v>0</v>
      </c>
      <c r="Q208" s="6"/>
      <c r="R208" s="6"/>
      <c r="S208" s="6"/>
      <c r="T208" s="202"/>
      <c r="U208" s="56">
        <f t="shared" si="47"/>
        <v>0</v>
      </c>
      <c r="V208" s="56">
        <f t="shared" si="48"/>
        <v>0</v>
      </c>
      <c r="W208" s="6"/>
      <c r="X208" s="6"/>
      <c r="Y208" s="6"/>
      <c r="Z208" s="6"/>
      <c r="AA208" s="6"/>
      <c r="AB208" s="56">
        <f t="shared" si="44"/>
        <v>0</v>
      </c>
      <c r="AC208" s="6"/>
      <c r="AD208" s="6"/>
      <c r="AE208" s="6"/>
      <c r="AF208" s="202"/>
      <c r="AG208" s="16">
        <f t="shared" si="49"/>
        <v>0</v>
      </c>
    </row>
    <row r="209" spans="7:33" ht="21" x14ac:dyDescent="0.15">
      <c r="G209" s="205" t="s">
        <v>406</v>
      </c>
      <c r="H209" s="53" t="s">
        <v>409</v>
      </c>
      <c r="I209" s="45">
        <f t="shared" si="45"/>
        <v>0</v>
      </c>
      <c r="J209" s="45">
        <f t="shared" si="46"/>
        <v>0</v>
      </c>
      <c r="K209" s="8"/>
      <c r="L209" s="6"/>
      <c r="M209" s="6"/>
      <c r="N209" s="6"/>
      <c r="O209" s="6"/>
      <c r="P209" s="56">
        <f t="shared" si="43"/>
        <v>0</v>
      </c>
      <c r="Q209" s="6"/>
      <c r="R209" s="6"/>
      <c r="S209" s="6"/>
      <c r="T209" s="202"/>
      <c r="U209" s="56">
        <f t="shared" si="47"/>
        <v>0</v>
      </c>
      <c r="V209" s="56">
        <f t="shared" si="48"/>
        <v>0</v>
      </c>
      <c r="W209" s="6"/>
      <c r="X209" s="6"/>
      <c r="Y209" s="6"/>
      <c r="Z209" s="6"/>
      <c r="AA209" s="6"/>
      <c r="AB209" s="56">
        <f t="shared" si="44"/>
        <v>0</v>
      </c>
      <c r="AC209" s="6"/>
      <c r="AD209" s="6"/>
      <c r="AE209" s="6"/>
      <c r="AF209" s="202"/>
      <c r="AG209" s="16">
        <f t="shared" si="49"/>
        <v>0</v>
      </c>
    </row>
    <row r="210" spans="7:33" x14ac:dyDescent="0.15">
      <c r="G210" s="205" t="s">
        <v>408</v>
      </c>
      <c r="H210" s="4" t="s">
        <v>411</v>
      </c>
      <c r="I210" s="45">
        <f t="shared" si="45"/>
        <v>0</v>
      </c>
      <c r="J210" s="45">
        <f t="shared" si="46"/>
        <v>0</v>
      </c>
      <c r="K210" s="46">
        <f t="shared" ref="K210:AF210" si="50">SUM(K211:K216)</f>
        <v>0</v>
      </c>
      <c r="L210" s="46">
        <f t="shared" si="50"/>
        <v>0</v>
      </c>
      <c r="M210" s="46">
        <f t="shared" si="50"/>
        <v>0</v>
      </c>
      <c r="N210" s="46">
        <f t="shared" si="50"/>
        <v>0</v>
      </c>
      <c r="O210" s="46">
        <f t="shared" si="50"/>
        <v>0</v>
      </c>
      <c r="P210" s="56">
        <f t="shared" si="43"/>
        <v>0</v>
      </c>
      <c r="Q210" s="46">
        <f t="shared" si="50"/>
        <v>0</v>
      </c>
      <c r="R210" s="46">
        <f t="shared" si="50"/>
        <v>0</v>
      </c>
      <c r="S210" s="46">
        <f t="shared" si="50"/>
        <v>0</v>
      </c>
      <c r="T210" s="46">
        <f t="shared" si="50"/>
        <v>0</v>
      </c>
      <c r="U210" s="56">
        <f t="shared" si="47"/>
        <v>0</v>
      </c>
      <c r="V210" s="56">
        <f t="shared" si="48"/>
        <v>0</v>
      </c>
      <c r="W210" s="46">
        <f t="shared" si="50"/>
        <v>0</v>
      </c>
      <c r="X210" s="46">
        <f t="shared" si="50"/>
        <v>0</v>
      </c>
      <c r="Y210" s="46">
        <f t="shared" si="50"/>
        <v>0</v>
      </c>
      <c r="Z210" s="46">
        <f t="shared" si="50"/>
        <v>0</v>
      </c>
      <c r="AA210" s="46">
        <f t="shared" si="50"/>
        <v>0</v>
      </c>
      <c r="AB210" s="56">
        <f t="shared" si="44"/>
        <v>0</v>
      </c>
      <c r="AC210" s="46">
        <f t="shared" si="50"/>
        <v>0</v>
      </c>
      <c r="AD210" s="46">
        <f t="shared" si="50"/>
        <v>0</v>
      </c>
      <c r="AE210" s="46">
        <f t="shared" si="50"/>
        <v>0</v>
      </c>
      <c r="AF210" s="46">
        <f t="shared" si="50"/>
        <v>0</v>
      </c>
      <c r="AG210" s="16">
        <f t="shared" si="49"/>
        <v>0</v>
      </c>
    </row>
    <row r="211" spans="7:33" ht="21" x14ac:dyDescent="0.15">
      <c r="G211" s="206" t="s">
        <v>410</v>
      </c>
      <c r="H211" s="4" t="s">
        <v>413</v>
      </c>
      <c r="I211" s="45">
        <f t="shared" si="45"/>
        <v>0</v>
      </c>
      <c r="J211" s="45">
        <f t="shared" si="46"/>
        <v>0</v>
      </c>
      <c r="K211" s="8"/>
      <c r="L211" s="6"/>
      <c r="M211" s="6"/>
      <c r="N211" s="6"/>
      <c r="O211" s="6"/>
      <c r="P211" s="56">
        <f t="shared" si="43"/>
        <v>0</v>
      </c>
      <c r="Q211" s="6"/>
      <c r="R211" s="6"/>
      <c r="S211" s="6"/>
      <c r="T211" s="202"/>
      <c r="U211" s="56">
        <f t="shared" si="47"/>
        <v>0</v>
      </c>
      <c r="V211" s="56">
        <f t="shared" si="48"/>
        <v>0</v>
      </c>
      <c r="W211" s="6"/>
      <c r="X211" s="6"/>
      <c r="Y211" s="6"/>
      <c r="Z211" s="6"/>
      <c r="AA211" s="6"/>
      <c r="AB211" s="56">
        <f t="shared" si="44"/>
        <v>0</v>
      </c>
      <c r="AC211" s="6"/>
      <c r="AD211" s="6"/>
      <c r="AE211" s="6"/>
      <c r="AF211" s="202"/>
      <c r="AG211" s="16">
        <f t="shared" si="49"/>
        <v>0</v>
      </c>
    </row>
    <row r="212" spans="7:33" x14ac:dyDescent="0.15">
      <c r="G212" s="206" t="s">
        <v>412</v>
      </c>
      <c r="H212" s="53" t="s">
        <v>415</v>
      </c>
      <c r="I212" s="45">
        <f t="shared" si="45"/>
        <v>0</v>
      </c>
      <c r="J212" s="45">
        <f t="shared" si="46"/>
        <v>0</v>
      </c>
      <c r="K212" s="8"/>
      <c r="L212" s="6"/>
      <c r="M212" s="6"/>
      <c r="N212" s="6"/>
      <c r="O212" s="6"/>
      <c r="P212" s="56">
        <f t="shared" si="43"/>
        <v>0</v>
      </c>
      <c r="Q212" s="6"/>
      <c r="R212" s="6"/>
      <c r="S212" s="6"/>
      <c r="T212" s="202"/>
      <c r="U212" s="56">
        <f t="shared" si="47"/>
        <v>0</v>
      </c>
      <c r="V212" s="56">
        <f t="shared" si="48"/>
        <v>0</v>
      </c>
      <c r="W212" s="6"/>
      <c r="X212" s="6"/>
      <c r="Y212" s="6"/>
      <c r="Z212" s="6"/>
      <c r="AA212" s="6"/>
      <c r="AB212" s="56">
        <f t="shared" si="44"/>
        <v>0</v>
      </c>
      <c r="AC212" s="6"/>
      <c r="AD212" s="6"/>
      <c r="AE212" s="6"/>
      <c r="AF212" s="202"/>
      <c r="AG212" s="16">
        <f t="shared" si="49"/>
        <v>0</v>
      </c>
    </row>
    <row r="213" spans="7:33" x14ac:dyDescent="0.15">
      <c r="G213" s="206" t="s">
        <v>414</v>
      </c>
      <c r="H213" s="4" t="s">
        <v>417</v>
      </c>
      <c r="I213" s="45">
        <f t="shared" si="45"/>
        <v>0</v>
      </c>
      <c r="J213" s="45">
        <f t="shared" si="46"/>
        <v>0</v>
      </c>
      <c r="K213" s="8"/>
      <c r="L213" s="6"/>
      <c r="M213" s="6"/>
      <c r="N213" s="6"/>
      <c r="O213" s="6"/>
      <c r="P213" s="56">
        <f t="shared" si="43"/>
        <v>0</v>
      </c>
      <c r="Q213" s="6"/>
      <c r="R213" s="6"/>
      <c r="S213" s="6"/>
      <c r="T213" s="202"/>
      <c r="U213" s="56">
        <f t="shared" si="47"/>
        <v>0</v>
      </c>
      <c r="V213" s="56">
        <f t="shared" si="48"/>
        <v>0</v>
      </c>
      <c r="W213" s="6"/>
      <c r="X213" s="6"/>
      <c r="Y213" s="6"/>
      <c r="Z213" s="6"/>
      <c r="AA213" s="6"/>
      <c r="AB213" s="56">
        <f t="shared" si="44"/>
        <v>0</v>
      </c>
      <c r="AC213" s="6"/>
      <c r="AD213" s="6"/>
      <c r="AE213" s="6"/>
      <c r="AF213" s="202"/>
      <c r="AG213" s="16">
        <f t="shared" si="49"/>
        <v>0</v>
      </c>
    </row>
    <row r="214" spans="7:33" x14ac:dyDescent="0.15">
      <c r="G214" s="206" t="s">
        <v>416</v>
      </c>
      <c r="H214" s="4" t="s">
        <v>419</v>
      </c>
      <c r="I214" s="45">
        <f t="shared" si="45"/>
        <v>0</v>
      </c>
      <c r="J214" s="45">
        <f t="shared" si="46"/>
        <v>0</v>
      </c>
      <c r="K214" s="8"/>
      <c r="L214" s="6"/>
      <c r="M214" s="6"/>
      <c r="N214" s="6"/>
      <c r="O214" s="6"/>
      <c r="P214" s="56">
        <f t="shared" si="43"/>
        <v>0</v>
      </c>
      <c r="Q214" s="6"/>
      <c r="R214" s="6"/>
      <c r="S214" s="6"/>
      <c r="T214" s="202"/>
      <c r="U214" s="56">
        <f t="shared" si="47"/>
        <v>0</v>
      </c>
      <c r="V214" s="56">
        <f t="shared" si="48"/>
        <v>0</v>
      </c>
      <c r="W214" s="6"/>
      <c r="X214" s="6"/>
      <c r="Y214" s="6"/>
      <c r="Z214" s="6"/>
      <c r="AA214" s="6"/>
      <c r="AB214" s="56">
        <f t="shared" si="44"/>
        <v>0</v>
      </c>
      <c r="AC214" s="6"/>
      <c r="AD214" s="6"/>
      <c r="AE214" s="6"/>
      <c r="AF214" s="202"/>
      <c r="AG214" s="16">
        <f t="shared" si="49"/>
        <v>0</v>
      </c>
    </row>
    <row r="215" spans="7:33" x14ac:dyDescent="0.15">
      <c r="G215" s="206" t="s">
        <v>418</v>
      </c>
      <c r="H215" s="53" t="s">
        <v>421</v>
      </c>
      <c r="I215" s="45">
        <f t="shared" si="45"/>
        <v>0</v>
      </c>
      <c r="J215" s="45">
        <f t="shared" si="46"/>
        <v>0</v>
      </c>
      <c r="K215" s="8"/>
      <c r="L215" s="6"/>
      <c r="M215" s="6"/>
      <c r="N215" s="6"/>
      <c r="O215" s="6"/>
      <c r="P215" s="56">
        <f t="shared" si="43"/>
        <v>0</v>
      </c>
      <c r="Q215" s="6"/>
      <c r="R215" s="6"/>
      <c r="S215" s="6"/>
      <c r="T215" s="202"/>
      <c r="U215" s="56">
        <f t="shared" si="47"/>
        <v>0</v>
      </c>
      <c r="V215" s="56">
        <f t="shared" si="48"/>
        <v>0</v>
      </c>
      <c r="W215" s="6"/>
      <c r="X215" s="6"/>
      <c r="Y215" s="6"/>
      <c r="Z215" s="6"/>
      <c r="AA215" s="6"/>
      <c r="AB215" s="56">
        <f t="shared" si="44"/>
        <v>0</v>
      </c>
      <c r="AC215" s="6"/>
      <c r="AD215" s="6"/>
      <c r="AE215" s="6"/>
      <c r="AF215" s="202"/>
      <c r="AG215" s="16">
        <f t="shared" si="49"/>
        <v>0</v>
      </c>
    </row>
    <row r="216" spans="7:33" x14ac:dyDescent="0.15">
      <c r="G216" s="206" t="s">
        <v>420</v>
      </c>
      <c r="H216" s="4" t="s">
        <v>423</v>
      </c>
      <c r="I216" s="45">
        <f t="shared" si="45"/>
        <v>0</v>
      </c>
      <c r="J216" s="45">
        <f t="shared" si="46"/>
        <v>0</v>
      </c>
      <c r="K216" s="8"/>
      <c r="L216" s="6"/>
      <c r="M216" s="6"/>
      <c r="N216" s="6"/>
      <c r="O216" s="6"/>
      <c r="P216" s="56">
        <f t="shared" si="43"/>
        <v>0</v>
      </c>
      <c r="Q216" s="6"/>
      <c r="R216" s="6"/>
      <c r="S216" s="6"/>
      <c r="T216" s="202"/>
      <c r="U216" s="56">
        <f t="shared" si="47"/>
        <v>0</v>
      </c>
      <c r="V216" s="56">
        <f t="shared" si="48"/>
        <v>0</v>
      </c>
      <c r="W216" s="6"/>
      <c r="X216" s="6"/>
      <c r="Y216" s="6"/>
      <c r="Z216" s="6"/>
      <c r="AA216" s="6"/>
      <c r="AB216" s="56">
        <f t="shared" si="44"/>
        <v>0</v>
      </c>
      <c r="AC216" s="6"/>
      <c r="AD216" s="6"/>
      <c r="AE216" s="6"/>
      <c r="AF216" s="202"/>
      <c r="AG216" s="16">
        <f t="shared" si="49"/>
        <v>0</v>
      </c>
    </row>
    <row r="217" spans="7:33" x14ac:dyDescent="0.15">
      <c r="G217" s="205" t="s">
        <v>422</v>
      </c>
      <c r="H217" s="4" t="s">
        <v>425</v>
      </c>
      <c r="I217" s="45">
        <f t="shared" si="45"/>
        <v>0</v>
      </c>
      <c r="J217" s="45">
        <f t="shared" si="46"/>
        <v>0</v>
      </c>
      <c r="K217" s="8"/>
      <c r="L217" s="6"/>
      <c r="M217" s="6"/>
      <c r="N217" s="6"/>
      <c r="O217" s="6"/>
      <c r="P217" s="56">
        <f t="shared" si="43"/>
        <v>0</v>
      </c>
      <c r="Q217" s="6"/>
      <c r="R217" s="6"/>
      <c r="S217" s="6"/>
      <c r="T217" s="202"/>
      <c r="U217" s="56">
        <f t="shared" si="47"/>
        <v>0</v>
      </c>
      <c r="V217" s="56">
        <f t="shared" si="48"/>
        <v>0</v>
      </c>
      <c r="W217" s="6"/>
      <c r="X217" s="6"/>
      <c r="Y217" s="6"/>
      <c r="Z217" s="6"/>
      <c r="AA217" s="6"/>
      <c r="AB217" s="56">
        <f t="shared" si="44"/>
        <v>0</v>
      </c>
      <c r="AC217" s="6"/>
      <c r="AD217" s="6"/>
      <c r="AE217" s="6"/>
      <c r="AF217" s="202"/>
      <c r="AG217" s="16">
        <f t="shared" si="49"/>
        <v>0</v>
      </c>
    </row>
    <row r="218" spans="7:33" x14ac:dyDescent="0.15">
      <c r="G218" s="205" t="s">
        <v>424</v>
      </c>
      <c r="H218" s="53" t="s">
        <v>427</v>
      </c>
      <c r="I218" s="45">
        <f t="shared" si="45"/>
        <v>0</v>
      </c>
      <c r="J218" s="45">
        <f t="shared" si="46"/>
        <v>0</v>
      </c>
      <c r="K218" s="8"/>
      <c r="L218" s="6"/>
      <c r="M218" s="6"/>
      <c r="N218" s="6"/>
      <c r="O218" s="6"/>
      <c r="P218" s="56">
        <f t="shared" si="43"/>
        <v>0</v>
      </c>
      <c r="Q218" s="6"/>
      <c r="R218" s="6"/>
      <c r="S218" s="6"/>
      <c r="T218" s="202"/>
      <c r="U218" s="56">
        <f t="shared" si="47"/>
        <v>0</v>
      </c>
      <c r="V218" s="56">
        <f t="shared" si="48"/>
        <v>0</v>
      </c>
      <c r="W218" s="6"/>
      <c r="X218" s="6"/>
      <c r="Y218" s="6"/>
      <c r="Z218" s="6"/>
      <c r="AA218" s="6"/>
      <c r="AB218" s="56">
        <f t="shared" si="44"/>
        <v>0</v>
      </c>
      <c r="AC218" s="6"/>
      <c r="AD218" s="6"/>
      <c r="AE218" s="6"/>
      <c r="AF218" s="202"/>
      <c r="AG218" s="16">
        <f t="shared" si="49"/>
        <v>0</v>
      </c>
    </row>
    <row r="219" spans="7:33" x14ac:dyDescent="0.15">
      <c r="G219" s="205" t="s">
        <v>426</v>
      </c>
      <c r="H219" s="4" t="s">
        <v>429</v>
      </c>
      <c r="I219" s="45">
        <f t="shared" si="45"/>
        <v>0</v>
      </c>
      <c r="J219" s="45">
        <f t="shared" si="46"/>
        <v>0</v>
      </c>
      <c r="K219" s="8"/>
      <c r="L219" s="6"/>
      <c r="M219" s="6"/>
      <c r="N219" s="6"/>
      <c r="O219" s="6"/>
      <c r="P219" s="56">
        <f t="shared" si="43"/>
        <v>0</v>
      </c>
      <c r="Q219" s="6"/>
      <c r="R219" s="6"/>
      <c r="S219" s="6"/>
      <c r="T219" s="202"/>
      <c r="U219" s="56">
        <f t="shared" si="47"/>
        <v>0</v>
      </c>
      <c r="V219" s="56">
        <f t="shared" si="48"/>
        <v>0</v>
      </c>
      <c r="W219" s="6"/>
      <c r="X219" s="6"/>
      <c r="Y219" s="6"/>
      <c r="Z219" s="6"/>
      <c r="AA219" s="6"/>
      <c r="AB219" s="56">
        <f t="shared" si="44"/>
        <v>0</v>
      </c>
      <c r="AC219" s="6"/>
      <c r="AD219" s="6"/>
      <c r="AE219" s="6"/>
      <c r="AF219" s="202"/>
      <c r="AG219" s="16">
        <f t="shared" si="49"/>
        <v>0</v>
      </c>
    </row>
    <row r="220" spans="7:33" x14ac:dyDescent="0.15">
      <c r="G220" s="205" t="s">
        <v>428</v>
      </c>
      <c r="H220" s="4" t="s">
        <v>431</v>
      </c>
      <c r="I220" s="45">
        <f t="shared" si="45"/>
        <v>0</v>
      </c>
      <c r="J220" s="45">
        <f t="shared" si="46"/>
        <v>0</v>
      </c>
      <c r="K220" s="8"/>
      <c r="L220" s="6"/>
      <c r="M220" s="6"/>
      <c r="N220" s="6"/>
      <c r="O220" s="6"/>
      <c r="P220" s="56">
        <f t="shared" si="43"/>
        <v>0</v>
      </c>
      <c r="Q220" s="6"/>
      <c r="R220" s="6"/>
      <c r="S220" s="6"/>
      <c r="T220" s="202"/>
      <c r="U220" s="56">
        <f t="shared" si="47"/>
        <v>0</v>
      </c>
      <c r="V220" s="56">
        <f t="shared" si="48"/>
        <v>0</v>
      </c>
      <c r="W220" s="6"/>
      <c r="X220" s="6"/>
      <c r="Y220" s="6"/>
      <c r="Z220" s="6"/>
      <c r="AA220" s="6"/>
      <c r="AB220" s="56">
        <f t="shared" si="44"/>
        <v>0</v>
      </c>
      <c r="AC220" s="6"/>
      <c r="AD220" s="6"/>
      <c r="AE220" s="6"/>
      <c r="AF220" s="202"/>
      <c r="AG220" s="16">
        <f t="shared" si="49"/>
        <v>0</v>
      </c>
    </row>
    <row r="221" spans="7:33" x14ac:dyDescent="0.15">
      <c r="G221" s="205" t="s">
        <v>430</v>
      </c>
      <c r="H221" s="53" t="s">
        <v>433</v>
      </c>
      <c r="I221" s="45">
        <f t="shared" si="45"/>
        <v>0</v>
      </c>
      <c r="J221" s="45">
        <f t="shared" si="46"/>
        <v>0</v>
      </c>
      <c r="K221" s="8"/>
      <c r="L221" s="6"/>
      <c r="M221" s="6"/>
      <c r="N221" s="6"/>
      <c r="O221" s="6"/>
      <c r="P221" s="56">
        <f t="shared" si="43"/>
        <v>0</v>
      </c>
      <c r="Q221" s="6"/>
      <c r="R221" s="6"/>
      <c r="S221" s="6"/>
      <c r="T221" s="202"/>
      <c r="U221" s="56">
        <f t="shared" si="47"/>
        <v>0</v>
      </c>
      <c r="V221" s="56">
        <f t="shared" si="48"/>
        <v>0</v>
      </c>
      <c r="W221" s="6"/>
      <c r="X221" s="6"/>
      <c r="Y221" s="6"/>
      <c r="Z221" s="6"/>
      <c r="AA221" s="6"/>
      <c r="AB221" s="56">
        <f t="shared" si="44"/>
        <v>0</v>
      </c>
      <c r="AC221" s="6"/>
      <c r="AD221" s="6"/>
      <c r="AE221" s="6"/>
      <c r="AF221" s="202"/>
      <c r="AG221" s="16">
        <f t="shared" si="49"/>
        <v>0</v>
      </c>
    </row>
    <row r="222" spans="7:33" x14ac:dyDescent="0.15">
      <c r="G222" s="205" t="s">
        <v>432</v>
      </c>
      <c r="H222" s="4" t="s">
        <v>435</v>
      </c>
      <c r="I222" s="45">
        <f t="shared" si="45"/>
        <v>0</v>
      </c>
      <c r="J222" s="45">
        <f t="shared" si="46"/>
        <v>0</v>
      </c>
      <c r="K222" s="8"/>
      <c r="L222" s="6"/>
      <c r="M222" s="6"/>
      <c r="N222" s="6"/>
      <c r="O222" s="6"/>
      <c r="P222" s="56">
        <f t="shared" si="43"/>
        <v>0</v>
      </c>
      <c r="Q222" s="6"/>
      <c r="R222" s="6"/>
      <c r="S222" s="6"/>
      <c r="T222" s="202"/>
      <c r="U222" s="56">
        <f t="shared" si="47"/>
        <v>0</v>
      </c>
      <c r="V222" s="56">
        <f t="shared" si="48"/>
        <v>0</v>
      </c>
      <c r="W222" s="6"/>
      <c r="X222" s="6"/>
      <c r="Y222" s="6"/>
      <c r="Z222" s="6"/>
      <c r="AA222" s="6"/>
      <c r="AB222" s="56">
        <f t="shared" si="44"/>
        <v>0</v>
      </c>
      <c r="AC222" s="6"/>
      <c r="AD222" s="6"/>
      <c r="AE222" s="6"/>
      <c r="AF222" s="202"/>
      <c r="AG222" s="16">
        <f t="shared" si="49"/>
        <v>0</v>
      </c>
    </row>
    <row r="223" spans="7:33" x14ac:dyDescent="0.15">
      <c r="G223" s="205" t="s">
        <v>434</v>
      </c>
      <c r="H223" s="4" t="s">
        <v>437</v>
      </c>
      <c r="I223" s="45">
        <f t="shared" si="45"/>
        <v>0</v>
      </c>
      <c r="J223" s="45">
        <f t="shared" si="46"/>
        <v>0</v>
      </c>
      <c r="K223" s="46">
        <f t="shared" ref="K223:AF223" si="51">SUM(K224:K228)</f>
        <v>0</v>
      </c>
      <c r="L223" s="46">
        <f t="shared" si="51"/>
        <v>0</v>
      </c>
      <c r="M223" s="46">
        <f t="shared" si="51"/>
        <v>0</v>
      </c>
      <c r="N223" s="46">
        <f t="shared" si="51"/>
        <v>0</v>
      </c>
      <c r="O223" s="46">
        <f t="shared" si="51"/>
        <v>0</v>
      </c>
      <c r="P223" s="56">
        <f t="shared" si="43"/>
        <v>0</v>
      </c>
      <c r="Q223" s="46">
        <f t="shared" si="51"/>
        <v>0</v>
      </c>
      <c r="R223" s="46">
        <f t="shared" si="51"/>
        <v>0</v>
      </c>
      <c r="S223" s="46">
        <f t="shared" si="51"/>
        <v>0</v>
      </c>
      <c r="T223" s="46">
        <f t="shared" si="51"/>
        <v>0</v>
      </c>
      <c r="U223" s="56">
        <f t="shared" si="47"/>
        <v>0</v>
      </c>
      <c r="V223" s="56">
        <f t="shared" si="48"/>
        <v>0</v>
      </c>
      <c r="W223" s="46">
        <f t="shared" si="51"/>
        <v>0</v>
      </c>
      <c r="X223" s="46">
        <f t="shared" si="51"/>
        <v>0</v>
      </c>
      <c r="Y223" s="46">
        <f t="shared" si="51"/>
        <v>0</v>
      </c>
      <c r="Z223" s="46">
        <f t="shared" si="51"/>
        <v>0</v>
      </c>
      <c r="AA223" s="46">
        <f t="shared" si="51"/>
        <v>0</v>
      </c>
      <c r="AB223" s="56">
        <f t="shared" si="44"/>
        <v>0</v>
      </c>
      <c r="AC223" s="46">
        <f t="shared" si="51"/>
        <v>0</v>
      </c>
      <c r="AD223" s="46">
        <f t="shared" si="51"/>
        <v>0</v>
      </c>
      <c r="AE223" s="46">
        <f t="shared" si="51"/>
        <v>0</v>
      </c>
      <c r="AF223" s="46">
        <f t="shared" si="51"/>
        <v>0</v>
      </c>
      <c r="AG223" s="16">
        <f t="shared" si="49"/>
        <v>0</v>
      </c>
    </row>
    <row r="224" spans="7:33" ht="21" x14ac:dyDescent="0.15">
      <c r="G224" s="206" t="s">
        <v>436</v>
      </c>
      <c r="H224" s="53" t="s">
        <v>439</v>
      </c>
      <c r="I224" s="45">
        <f t="shared" si="45"/>
        <v>0</v>
      </c>
      <c r="J224" s="45">
        <f t="shared" si="46"/>
        <v>0</v>
      </c>
      <c r="K224" s="8"/>
      <c r="L224" s="6"/>
      <c r="M224" s="6"/>
      <c r="N224" s="6"/>
      <c r="O224" s="6"/>
      <c r="P224" s="56">
        <f t="shared" si="43"/>
        <v>0</v>
      </c>
      <c r="Q224" s="6"/>
      <c r="R224" s="6"/>
      <c r="S224" s="6"/>
      <c r="T224" s="202"/>
      <c r="U224" s="56">
        <f t="shared" si="47"/>
        <v>0</v>
      </c>
      <c r="V224" s="56">
        <f t="shared" si="48"/>
        <v>0</v>
      </c>
      <c r="W224" s="6"/>
      <c r="X224" s="6"/>
      <c r="Y224" s="6"/>
      <c r="Z224" s="6"/>
      <c r="AA224" s="6"/>
      <c r="AB224" s="56">
        <f t="shared" si="44"/>
        <v>0</v>
      </c>
      <c r="AC224" s="6"/>
      <c r="AD224" s="6"/>
      <c r="AE224" s="6"/>
      <c r="AF224" s="202"/>
      <c r="AG224" s="16">
        <f t="shared" si="49"/>
        <v>0</v>
      </c>
    </row>
    <row r="225" spans="7:33" x14ac:dyDescent="0.15">
      <c r="G225" s="206" t="s">
        <v>438</v>
      </c>
      <c r="H225" s="4" t="s">
        <v>441</v>
      </c>
      <c r="I225" s="45">
        <f t="shared" si="45"/>
        <v>0</v>
      </c>
      <c r="J225" s="45">
        <f t="shared" si="46"/>
        <v>0</v>
      </c>
      <c r="K225" s="8"/>
      <c r="L225" s="6"/>
      <c r="M225" s="6"/>
      <c r="N225" s="6"/>
      <c r="O225" s="6"/>
      <c r="P225" s="56">
        <f t="shared" si="43"/>
        <v>0</v>
      </c>
      <c r="Q225" s="6"/>
      <c r="R225" s="6"/>
      <c r="S225" s="6"/>
      <c r="T225" s="202"/>
      <c r="U225" s="56">
        <f t="shared" si="47"/>
        <v>0</v>
      </c>
      <c r="V225" s="56">
        <f t="shared" si="48"/>
        <v>0</v>
      </c>
      <c r="W225" s="6"/>
      <c r="X225" s="6"/>
      <c r="Y225" s="6"/>
      <c r="Z225" s="6"/>
      <c r="AA225" s="6"/>
      <c r="AB225" s="56">
        <f t="shared" si="44"/>
        <v>0</v>
      </c>
      <c r="AC225" s="6"/>
      <c r="AD225" s="6"/>
      <c r="AE225" s="6"/>
      <c r="AF225" s="202"/>
      <c r="AG225" s="16">
        <f t="shared" si="49"/>
        <v>0</v>
      </c>
    </row>
    <row r="226" spans="7:33" x14ac:dyDescent="0.15">
      <c r="G226" s="206" t="s">
        <v>440</v>
      </c>
      <c r="H226" s="4" t="s">
        <v>443</v>
      </c>
      <c r="I226" s="45">
        <f t="shared" si="45"/>
        <v>0</v>
      </c>
      <c r="J226" s="45">
        <f t="shared" si="46"/>
        <v>0</v>
      </c>
      <c r="K226" s="8"/>
      <c r="L226" s="6"/>
      <c r="M226" s="6"/>
      <c r="N226" s="6"/>
      <c r="O226" s="6"/>
      <c r="P226" s="56">
        <f t="shared" si="43"/>
        <v>0</v>
      </c>
      <c r="Q226" s="6"/>
      <c r="R226" s="6"/>
      <c r="S226" s="6"/>
      <c r="T226" s="202"/>
      <c r="U226" s="56">
        <f t="shared" si="47"/>
        <v>0</v>
      </c>
      <c r="V226" s="56">
        <f t="shared" si="48"/>
        <v>0</v>
      </c>
      <c r="W226" s="6"/>
      <c r="X226" s="6"/>
      <c r="Y226" s="6"/>
      <c r="Z226" s="6"/>
      <c r="AA226" s="6"/>
      <c r="AB226" s="56">
        <f t="shared" si="44"/>
        <v>0</v>
      </c>
      <c r="AC226" s="6"/>
      <c r="AD226" s="6"/>
      <c r="AE226" s="6"/>
      <c r="AF226" s="202"/>
      <c r="AG226" s="16">
        <f t="shared" si="49"/>
        <v>0</v>
      </c>
    </row>
    <row r="227" spans="7:33" x14ac:dyDescent="0.15">
      <c r="G227" s="206" t="s">
        <v>442</v>
      </c>
      <c r="H227" s="53" t="s">
        <v>445</v>
      </c>
      <c r="I227" s="45">
        <f t="shared" si="45"/>
        <v>0</v>
      </c>
      <c r="J227" s="45">
        <f t="shared" si="46"/>
        <v>0</v>
      </c>
      <c r="K227" s="8"/>
      <c r="L227" s="6"/>
      <c r="M227" s="6"/>
      <c r="N227" s="6"/>
      <c r="O227" s="6"/>
      <c r="P227" s="56">
        <f t="shared" si="43"/>
        <v>0</v>
      </c>
      <c r="Q227" s="6"/>
      <c r="R227" s="6"/>
      <c r="S227" s="6"/>
      <c r="T227" s="202"/>
      <c r="U227" s="56">
        <f t="shared" si="47"/>
        <v>0</v>
      </c>
      <c r="V227" s="56">
        <f t="shared" si="48"/>
        <v>0</v>
      </c>
      <c r="W227" s="6"/>
      <c r="X227" s="6"/>
      <c r="Y227" s="6"/>
      <c r="Z227" s="6"/>
      <c r="AA227" s="6"/>
      <c r="AB227" s="56">
        <f t="shared" si="44"/>
        <v>0</v>
      </c>
      <c r="AC227" s="6"/>
      <c r="AD227" s="6"/>
      <c r="AE227" s="6"/>
      <c r="AF227" s="202"/>
      <c r="AG227" s="16">
        <f t="shared" si="49"/>
        <v>0</v>
      </c>
    </row>
    <row r="228" spans="7:33" x14ac:dyDescent="0.15">
      <c r="G228" s="206" t="s">
        <v>444</v>
      </c>
      <c r="H228" s="4" t="s">
        <v>447</v>
      </c>
      <c r="I228" s="45">
        <f t="shared" si="45"/>
        <v>0</v>
      </c>
      <c r="J228" s="45">
        <f t="shared" si="46"/>
        <v>0</v>
      </c>
      <c r="K228" s="8"/>
      <c r="L228" s="6"/>
      <c r="M228" s="6"/>
      <c r="N228" s="6"/>
      <c r="O228" s="6"/>
      <c r="P228" s="56">
        <f t="shared" si="43"/>
        <v>0</v>
      </c>
      <c r="Q228" s="6"/>
      <c r="R228" s="6"/>
      <c r="S228" s="6"/>
      <c r="T228" s="202"/>
      <c r="U228" s="56">
        <f t="shared" si="47"/>
        <v>0</v>
      </c>
      <c r="V228" s="56">
        <f t="shared" si="48"/>
        <v>0</v>
      </c>
      <c r="W228" s="6"/>
      <c r="X228" s="6"/>
      <c r="Y228" s="6"/>
      <c r="Z228" s="6"/>
      <c r="AA228" s="6"/>
      <c r="AB228" s="56">
        <f t="shared" si="44"/>
        <v>0</v>
      </c>
      <c r="AC228" s="6"/>
      <c r="AD228" s="6"/>
      <c r="AE228" s="6"/>
      <c r="AF228" s="202"/>
      <c r="AG228" s="16">
        <f t="shared" si="49"/>
        <v>0</v>
      </c>
    </row>
    <row r="229" spans="7:33" x14ac:dyDescent="0.15">
      <c r="G229" s="205" t="s">
        <v>446</v>
      </c>
      <c r="H229" s="4" t="s">
        <v>449</v>
      </c>
      <c r="I229" s="45">
        <f t="shared" si="45"/>
        <v>0</v>
      </c>
      <c r="J229" s="45">
        <f t="shared" si="46"/>
        <v>0</v>
      </c>
      <c r="K229" s="8"/>
      <c r="L229" s="6"/>
      <c r="M229" s="6"/>
      <c r="N229" s="6"/>
      <c r="O229" s="6"/>
      <c r="P229" s="56">
        <f t="shared" si="43"/>
        <v>0</v>
      </c>
      <c r="Q229" s="6"/>
      <c r="R229" s="6"/>
      <c r="S229" s="6"/>
      <c r="T229" s="202"/>
      <c r="U229" s="56">
        <f t="shared" si="47"/>
        <v>0</v>
      </c>
      <c r="V229" s="56">
        <f t="shared" si="48"/>
        <v>0</v>
      </c>
      <c r="W229" s="6"/>
      <c r="X229" s="6"/>
      <c r="Y229" s="6"/>
      <c r="Z229" s="6"/>
      <c r="AA229" s="6"/>
      <c r="AB229" s="56">
        <f t="shared" si="44"/>
        <v>0</v>
      </c>
      <c r="AC229" s="6"/>
      <c r="AD229" s="6"/>
      <c r="AE229" s="6"/>
      <c r="AF229" s="202"/>
      <c r="AG229" s="16">
        <f t="shared" si="49"/>
        <v>0</v>
      </c>
    </row>
    <row r="230" spans="7:33" x14ac:dyDescent="0.15">
      <c r="G230" s="205" t="s">
        <v>448</v>
      </c>
      <c r="H230" s="53" t="s">
        <v>451</v>
      </c>
      <c r="I230" s="45">
        <f t="shared" si="45"/>
        <v>0</v>
      </c>
      <c r="J230" s="45">
        <f t="shared" si="46"/>
        <v>0</v>
      </c>
      <c r="K230" s="8"/>
      <c r="L230" s="6"/>
      <c r="M230" s="6"/>
      <c r="N230" s="6"/>
      <c r="O230" s="6"/>
      <c r="P230" s="56">
        <f t="shared" si="43"/>
        <v>0</v>
      </c>
      <c r="Q230" s="6"/>
      <c r="R230" s="6"/>
      <c r="S230" s="6"/>
      <c r="T230" s="202"/>
      <c r="U230" s="56">
        <f t="shared" si="47"/>
        <v>0</v>
      </c>
      <c r="V230" s="56">
        <f t="shared" si="48"/>
        <v>0</v>
      </c>
      <c r="W230" s="6"/>
      <c r="X230" s="6"/>
      <c r="Y230" s="6"/>
      <c r="Z230" s="6"/>
      <c r="AA230" s="6"/>
      <c r="AB230" s="56">
        <f t="shared" si="44"/>
        <v>0</v>
      </c>
      <c r="AC230" s="6"/>
      <c r="AD230" s="6"/>
      <c r="AE230" s="6"/>
      <c r="AF230" s="202"/>
      <c r="AG230" s="16">
        <f t="shared" si="49"/>
        <v>0</v>
      </c>
    </row>
    <row r="231" spans="7:33" x14ac:dyDescent="0.15">
      <c r="G231" s="205" t="s">
        <v>450</v>
      </c>
      <c r="H231" s="4" t="s">
        <v>453</v>
      </c>
      <c r="I231" s="45">
        <f t="shared" si="45"/>
        <v>0</v>
      </c>
      <c r="J231" s="45">
        <f t="shared" si="46"/>
        <v>0</v>
      </c>
      <c r="K231" s="8"/>
      <c r="L231" s="6"/>
      <c r="M231" s="6"/>
      <c r="N231" s="6"/>
      <c r="O231" s="6"/>
      <c r="P231" s="56">
        <f t="shared" si="43"/>
        <v>0</v>
      </c>
      <c r="Q231" s="6"/>
      <c r="R231" s="6"/>
      <c r="S231" s="6"/>
      <c r="T231" s="202"/>
      <c r="U231" s="56">
        <f t="shared" si="47"/>
        <v>0</v>
      </c>
      <c r="V231" s="56">
        <f t="shared" si="48"/>
        <v>0</v>
      </c>
      <c r="W231" s="6"/>
      <c r="X231" s="6"/>
      <c r="Y231" s="6"/>
      <c r="Z231" s="6"/>
      <c r="AA231" s="6"/>
      <c r="AB231" s="56">
        <f t="shared" si="44"/>
        <v>0</v>
      </c>
      <c r="AC231" s="6"/>
      <c r="AD231" s="6"/>
      <c r="AE231" s="6"/>
      <c r="AF231" s="202"/>
      <c r="AG231" s="16">
        <f t="shared" si="49"/>
        <v>0</v>
      </c>
    </row>
    <row r="232" spans="7:33" x14ac:dyDescent="0.15">
      <c r="G232" s="205" t="s">
        <v>452</v>
      </c>
      <c r="H232" s="4" t="s">
        <v>455</v>
      </c>
      <c r="I232" s="45">
        <f t="shared" si="45"/>
        <v>0</v>
      </c>
      <c r="J232" s="45">
        <f t="shared" si="46"/>
        <v>0</v>
      </c>
      <c r="K232" s="8"/>
      <c r="L232" s="6"/>
      <c r="M232" s="6"/>
      <c r="N232" s="6"/>
      <c r="O232" s="6"/>
      <c r="P232" s="56">
        <f t="shared" si="43"/>
        <v>0</v>
      </c>
      <c r="Q232" s="6"/>
      <c r="R232" s="6"/>
      <c r="S232" s="6"/>
      <c r="T232" s="202"/>
      <c r="U232" s="56">
        <f t="shared" si="47"/>
        <v>0</v>
      </c>
      <c r="V232" s="56">
        <f t="shared" si="48"/>
        <v>0</v>
      </c>
      <c r="W232" s="6"/>
      <c r="X232" s="6"/>
      <c r="Y232" s="6"/>
      <c r="Z232" s="6"/>
      <c r="AA232" s="6"/>
      <c r="AB232" s="56">
        <f t="shared" si="44"/>
        <v>0</v>
      </c>
      <c r="AC232" s="6"/>
      <c r="AD232" s="6"/>
      <c r="AE232" s="6"/>
      <c r="AF232" s="202"/>
      <c r="AG232" s="16">
        <f t="shared" si="49"/>
        <v>0</v>
      </c>
    </row>
    <row r="233" spans="7:33" x14ac:dyDescent="0.15">
      <c r="G233" s="205" t="s">
        <v>454</v>
      </c>
      <c r="H233" s="53" t="s">
        <v>457</v>
      </c>
      <c r="I233" s="45">
        <f t="shared" si="45"/>
        <v>0</v>
      </c>
      <c r="J233" s="45">
        <f t="shared" si="46"/>
        <v>0</v>
      </c>
      <c r="K233" s="48">
        <f t="shared" ref="K233:AF233" si="52">SUM(K234:K239)</f>
        <v>0</v>
      </c>
      <c r="L233" s="48">
        <f t="shared" si="52"/>
        <v>0</v>
      </c>
      <c r="M233" s="48">
        <f t="shared" si="52"/>
        <v>0</v>
      </c>
      <c r="N233" s="48">
        <f t="shared" si="52"/>
        <v>0</v>
      </c>
      <c r="O233" s="48">
        <f t="shared" si="52"/>
        <v>0</v>
      </c>
      <c r="P233" s="56">
        <f t="shared" si="43"/>
        <v>0</v>
      </c>
      <c r="Q233" s="48">
        <f t="shared" si="52"/>
        <v>0</v>
      </c>
      <c r="R233" s="48">
        <f t="shared" si="52"/>
        <v>0</v>
      </c>
      <c r="S233" s="48">
        <f t="shared" si="52"/>
        <v>0</v>
      </c>
      <c r="T233" s="48">
        <f t="shared" si="52"/>
        <v>0</v>
      </c>
      <c r="U233" s="56">
        <f t="shared" si="47"/>
        <v>0</v>
      </c>
      <c r="V233" s="56">
        <f t="shared" si="48"/>
        <v>0</v>
      </c>
      <c r="W233" s="48">
        <f t="shared" si="52"/>
        <v>0</v>
      </c>
      <c r="X233" s="48">
        <f t="shared" si="52"/>
        <v>0</v>
      </c>
      <c r="Y233" s="48">
        <f t="shared" si="52"/>
        <v>0</v>
      </c>
      <c r="Z233" s="48">
        <f t="shared" si="52"/>
        <v>0</v>
      </c>
      <c r="AA233" s="48">
        <f t="shared" si="52"/>
        <v>0</v>
      </c>
      <c r="AB233" s="56">
        <f t="shared" si="44"/>
        <v>0</v>
      </c>
      <c r="AC233" s="48">
        <f t="shared" si="52"/>
        <v>0</v>
      </c>
      <c r="AD233" s="48">
        <f t="shared" si="52"/>
        <v>0</v>
      </c>
      <c r="AE233" s="48">
        <f t="shared" si="52"/>
        <v>0</v>
      </c>
      <c r="AF233" s="48">
        <f t="shared" si="52"/>
        <v>0</v>
      </c>
      <c r="AG233" s="16">
        <f t="shared" si="49"/>
        <v>0</v>
      </c>
    </row>
    <row r="234" spans="7:33" ht="21" x14ac:dyDescent="0.15">
      <c r="G234" s="206" t="s">
        <v>456</v>
      </c>
      <c r="H234" s="4" t="s">
        <v>459</v>
      </c>
      <c r="I234" s="45">
        <f t="shared" si="45"/>
        <v>0</v>
      </c>
      <c r="J234" s="45">
        <f t="shared" si="46"/>
        <v>0</v>
      </c>
      <c r="K234" s="8"/>
      <c r="L234" s="6"/>
      <c r="M234" s="6"/>
      <c r="N234" s="6"/>
      <c r="O234" s="6"/>
      <c r="P234" s="56">
        <f t="shared" si="43"/>
        <v>0</v>
      </c>
      <c r="Q234" s="6"/>
      <c r="R234" s="6"/>
      <c r="S234" s="6"/>
      <c r="T234" s="202"/>
      <c r="U234" s="56">
        <f t="shared" si="47"/>
        <v>0</v>
      </c>
      <c r="V234" s="56">
        <f t="shared" si="48"/>
        <v>0</v>
      </c>
      <c r="W234" s="6"/>
      <c r="X234" s="6"/>
      <c r="Y234" s="6"/>
      <c r="Z234" s="6"/>
      <c r="AA234" s="6"/>
      <c r="AB234" s="56">
        <f t="shared" si="44"/>
        <v>0</v>
      </c>
      <c r="AC234" s="6"/>
      <c r="AD234" s="6"/>
      <c r="AE234" s="6"/>
      <c r="AF234" s="202"/>
      <c r="AG234" s="16">
        <f t="shared" si="49"/>
        <v>0</v>
      </c>
    </row>
    <row r="235" spans="7:33" x14ac:dyDescent="0.15">
      <c r="G235" s="206" t="s">
        <v>458</v>
      </c>
      <c r="H235" s="4" t="s">
        <v>461</v>
      </c>
      <c r="I235" s="45">
        <f t="shared" si="45"/>
        <v>0</v>
      </c>
      <c r="J235" s="45">
        <f t="shared" si="46"/>
        <v>0</v>
      </c>
      <c r="K235" s="8"/>
      <c r="L235" s="6"/>
      <c r="M235" s="6"/>
      <c r="N235" s="6"/>
      <c r="O235" s="6"/>
      <c r="P235" s="56">
        <f t="shared" si="43"/>
        <v>0</v>
      </c>
      <c r="Q235" s="6"/>
      <c r="R235" s="6"/>
      <c r="S235" s="6"/>
      <c r="T235" s="202"/>
      <c r="U235" s="56">
        <f t="shared" si="47"/>
        <v>0</v>
      </c>
      <c r="V235" s="56">
        <f t="shared" si="48"/>
        <v>0</v>
      </c>
      <c r="W235" s="6"/>
      <c r="X235" s="6"/>
      <c r="Y235" s="6"/>
      <c r="Z235" s="6"/>
      <c r="AA235" s="6"/>
      <c r="AB235" s="56">
        <f t="shared" si="44"/>
        <v>0</v>
      </c>
      <c r="AC235" s="6"/>
      <c r="AD235" s="6"/>
      <c r="AE235" s="6"/>
      <c r="AF235" s="202"/>
      <c r="AG235" s="16">
        <f t="shared" si="49"/>
        <v>0</v>
      </c>
    </row>
    <row r="236" spans="7:33" ht="21" x14ac:dyDescent="0.15">
      <c r="G236" s="206" t="s">
        <v>460</v>
      </c>
      <c r="H236" s="53" t="s">
        <v>463</v>
      </c>
      <c r="I236" s="45">
        <f t="shared" si="45"/>
        <v>0</v>
      </c>
      <c r="J236" s="45">
        <f t="shared" si="46"/>
        <v>0</v>
      </c>
      <c r="K236" s="8"/>
      <c r="L236" s="6"/>
      <c r="M236" s="6"/>
      <c r="N236" s="6"/>
      <c r="O236" s="6"/>
      <c r="P236" s="56">
        <f t="shared" si="43"/>
        <v>0</v>
      </c>
      <c r="Q236" s="6"/>
      <c r="R236" s="6"/>
      <c r="S236" s="6"/>
      <c r="T236" s="202"/>
      <c r="U236" s="56">
        <f t="shared" si="47"/>
        <v>0</v>
      </c>
      <c r="V236" s="56">
        <f t="shared" si="48"/>
        <v>0</v>
      </c>
      <c r="W236" s="6"/>
      <c r="X236" s="6"/>
      <c r="Y236" s="6"/>
      <c r="Z236" s="6"/>
      <c r="AA236" s="6"/>
      <c r="AB236" s="56">
        <f t="shared" si="44"/>
        <v>0</v>
      </c>
      <c r="AC236" s="6"/>
      <c r="AD236" s="6"/>
      <c r="AE236" s="6"/>
      <c r="AF236" s="202"/>
      <c r="AG236" s="16">
        <f t="shared" si="49"/>
        <v>0</v>
      </c>
    </row>
    <row r="237" spans="7:33" x14ac:dyDescent="0.15">
      <c r="G237" s="206" t="s">
        <v>462</v>
      </c>
      <c r="H237" s="4" t="s">
        <v>465</v>
      </c>
      <c r="I237" s="45">
        <f t="shared" si="45"/>
        <v>0</v>
      </c>
      <c r="J237" s="45">
        <f t="shared" si="46"/>
        <v>0</v>
      </c>
      <c r="K237" s="8"/>
      <c r="L237" s="6"/>
      <c r="M237" s="6"/>
      <c r="N237" s="6"/>
      <c r="O237" s="6"/>
      <c r="P237" s="56">
        <f t="shared" si="43"/>
        <v>0</v>
      </c>
      <c r="Q237" s="6"/>
      <c r="R237" s="6"/>
      <c r="S237" s="6"/>
      <c r="T237" s="202"/>
      <c r="U237" s="56">
        <f t="shared" si="47"/>
        <v>0</v>
      </c>
      <c r="V237" s="56">
        <f t="shared" si="48"/>
        <v>0</v>
      </c>
      <c r="W237" s="6"/>
      <c r="X237" s="6"/>
      <c r="Y237" s="6"/>
      <c r="Z237" s="6"/>
      <c r="AA237" s="6"/>
      <c r="AB237" s="56">
        <f t="shared" si="44"/>
        <v>0</v>
      </c>
      <c r="AC237" s="6"/>
      <c r="AD237" s="6"/>
      <c r="AE237" s="6"/>
      <c r="AF237" s="202"/>
      <c r="AG237" s="16">
        <f t="shared" si="49"/>
        <v>0</v>
      </c>
    </row>
    <row r="238" spans="7:33" ht="21" x14ac:dyDescent="0.15">
      <c r="G238" s="206" t="s">
        <v>464</v>
      </c>
      <c r="H238" s="4" t="s">
        <v>466</v>
      </c>
      <c r="I238" s="45">
        <f t="shared" si="45"/>
        <v>0</v>
      </c>
      <c r="J238" s="45">
        <f t="shared" si="46"/>
        <v>0</v>
      </c>
      <c r="K238" s="8"/>
      <c r="L238" s="6"/>
      <c r="M238" s="6"/>
      <c r="N238" s="6"/>
      <c r="O238" s="6"/>
      <c r="P238" s="56">
        <f t="shared" si="43"/>
        <v>0</v>
      </c>
      <c r="Q238" s="6"/>
      <c r="R238" s="6"/>
      <c r="S238" s="6"/>
      <c r="T238" s="202"/>
      <c r="U238" s="56">
        <f t="shared" si="47"/>
        <v>0</v>
      </c>
      <c r="V238" s="56">
        <f t="shared" si="48"/>
        <v>0</v>
      </c>
      <c r="W238" s="6"/>
      <c r="X238" s="6"/>
      <c r="Y238" s="6"/>
      <c r="Z238" s="6"/>
      <c r="AA238" s="6"/>
      <c r="AB238" s="56">
        <f t="shared" si="44"/>
        <v>0</v>
      </c>
      <c r="AC238" s="6"/>
      <c r="AD238" s="6"/>
      <c r="AE238" s="6"/>
      <c r="AF238" s="202"/>
      <c r="AG238" s="16">
        <f t="shared" si="49"/>
        <v>0</v>
      </c>
    </row>
    <row r="239" spans="7:33" ht="21" x14ac:dyDescent="0.15">
      <c r="G239" s="206" t="s">
        <v>887</v>
      </c>
      <c r="H239" s="53" t="s">
        <v>468</v>
      </c>
      <c r="I239" s="45">
        <f t="shared" si="45"/>
        <v>0</v>
      </c>
      <c r="J239" s="45">
        <f t="shared" si="46"/>
        <v>0</v>
      </c>
      <c r="K239" s="8"/>
      <c r="L239" s="6"/>
      <c r="M239" s="6"/>
      <c r="N239" s="6"/>
      <c r="O239" s="6"/>
      <c r="P239" s="56">
        <f t="shared" si="43"/>
        <v>0</v>
      </c>
      <c r="Q239" s="6"/>
      <c r="R239" s="6"/>
      <c r="S239" s="6"/>
      <c r="T239" s="202"/>
      <c r="U239" s="56">
        <f t="shared" si="47"/>
        <v>0</v>
      </c>
      <c r="V239" s="56">
        <f t="shared" si="48"/>
        <v>0</v>
      </c>
      <c r="W239" s="6"/>
      <c r="X239" s="6"/>
      <c r="Y239" s="6"/>
      <c r="Z239" s="6"/>
      <c r="AA239" s="6"/>
      <c r="AB239" s="56">
        <f t="shared" si="44"/>
        <v>0</v>
      </c>
      <c r="AC239" s="6"/>
      <c r="AD239" s="6"/>
      <c r="AE239" s="6"/>
      <c r="AF239" s="202"/>
      <c r="AG239" s="16">
        <f t="shared" si="49"/>
        <v>0</v>
      </c>
    </row>
    <row r="240" spans="7:33" x14ac:dyDescent="0.15">
      <c r="G240" s="205" t="s">
        <v>467</v>
      </c>
      <c r="H240" s="4" t="s">
        <v>470</v>
      </c>
      <c r="I240" s="45">
        <f t="shared" si="45"/>
        <v>0</v>
      </c>
      <c r="J240" s="45">
        <f t="shared" si="46"/>
        <v>0</v>
      </c>
      <c r="K240" s="8"/>
      <c r="L240" s="6"/>
      <c r="M240" s="6"/>
      <c r="N240" s="6"/>
      <c r="O240" s="6"/>
      <c r="P240" s="56">
        <f t="shared" si="43"/>
        <v>0</v>
      </c>
      <c r="Q240" s="6"/>
      <c r="R240" s="6"/>
      <c r="S240" s="6"/>
      <c r="T240" s="202"/>
      <c r="U240" s="56">
        <f t="shared" si="47"/>
        <v>0</v>
      </c>
      <c r="V240" s="56">
        <f t="shared" si="48"/>
        <v>0</v>
      </c>
      <c r="W240" s="6"/>
      <c r="X240" s="6"/>
      <c r="Y240" s="6"/>
      <c r="Z240" s="6"/>
      <c r="AA240" s="6"/>
      <c r="AB240" s="56">
        <f t="shared" si="44"/>
        <v>0</v>
      </c>
      <c r="AC240" s="6"/>
      <c r="AD240" s="6"/>
      <c r="AE240" s="6"/>
      <c r="AF240" s="202"/>
      <c r="AG240" s="16">
        <f t="shared" si="49"/>
        <v>0</v>
      </c>
    </row>
    <row r="241" spans="7:33" x14ac:dyDescent="0.15">
      <c r="G241" s="205" t="s">
        <v>469</v>
      </c>
      <c r="H241" s="4" t="s">
        <v>472</v>
      </c>
      <c r="I241" s="45">
        <f t="shared" si="45"/>
        <v>0</v>
      </c>
      <c r="J241" s="45">
        <f t="shared" si="46"/>
        <v>0</v>
      </c>
      <c r="K241" s="8"/>
      <c r="L241" s="6"/>
      <c r="M241" s="6"/>
      <c r="N241" s="6"/>
      <c r="O241" s="6"/>
      <c r="P241" s="56">
        <f t="shared" si="43"/>
        <v>0</v>
      </c>
      <c r="Q241" s="6"/>
      <c r="R241" s="6"/>
      <c r="S241" s="6"/>
      <c r="T241" s="202"/>
      <c r="U241" s="56">
        <f t="shared" si="47"/>
        <v>0</v>
      </c>
      <c r="V241" s="56">
        <f t="shared" si="48"/>
        <v>0</v>
      </c>
      <c r="W241" s="6"/>
      <c r="X241" s="6"/>
      <c r="Y241" s="6"/>
      <c r="Z241" s="6"/>
      <c r="AA241" s="6"/>
      <c r="AB241" s="56">
        <f t="shared" si="44"/>
        <v>0</v>
      </c>
      <c r="AC241" s="6"/>
      <c r="AD241" s="6"/>
      <c r="AE241" s="6"/>
      <c r="AF241" s="202"/>
      <c r="AG241" s="16">
        <f t="shared" si="49"/>
        <v>0</v>
      </c>
    </row>
    <row r="242" spans="7:33" x14ac:dyDescent="0.15">
      <c r="G242" s="205" t="s">
        <v>471</v>
      </c>
      <c r="H242" s="53" t="s">
        <v>474</v>
      </c>
      <c r="I242" s="45">
        <f t="shared" si="45"/>
        <v>0</v>
      </c>
      <c r="J242" s="45">
        <f t="shared" si="46"/>
        <v>0</v>
      </c>
      <c r="K242" s="8"/>
      <c r="L242" s="6"/>
      <c r="M242" s="6"/>
      <c r="N242" s="6"/>
      <c r="O242" s="6"/>
      <c r="P242" s="56">
        <f t="shared" si="43"/>
        <v>0</v>
      </c>
      <c r="Q242" s="6"/>
      <c r="R242" s="6"/>
      <c r="S242" s="6"/>
      <c r="T242" s="202"/>
      <c r="U242" s="56">
        <f t="shared" si="47"/>
        <v>0</v>
      </c>
      <c r="V242" s="56">
        <f t="shared" si="48"/>
        <v>0</v>
      </c>
      <c r="W242" s="6"/>
      <c r="X242" s="6"/>
      <c r="Y242" s="6"/>
      <c r="Z242" s="6"/>
      <c r="AA242" s="6"/>
      <c r="AB242" s="56">
        <f t="shared" si="44"/>
        <v>0</v>
      </c>
      <c r="AC242" s="6"/>
      <c r="AD242" s="6"/>
      <c r="AE242" s="6"/>
      <c r="AF242" s="202"/>
      <c r="AG242" s="16">
        <f t="shared" si="49"/>
        <v>0</v>
      </c>
    </row>
    <row r="243" spans="7:33" x14ac:dyDescent="0.15">
      <c r="G243" s="205" t="s">
        <v>473</v>
      </c>
      <c r="H243" s="4" t="s">
        <v>476</v>
      </c>
      <c r="I243" s="45">
        <f t="shared" si="45"/>
        <v>0</v>
      </c>
      <c r="J243" s="45">
        <f t="shared" si="46"/>
        <v>0</v>
      </c>
      <c r="K243" s="46">
        <f t="shared" ref="K243:AF243" si="53">SUM(K244:K246)</f>
        <v>0</v>
      </c>
      <c r="L243" s="46">
        <f t="shared" si="53"/>
        <v>0</v>
      </c>
      <c r="M243" s="46">
        <f t="shared" si="53"/>
        <v>0</v>
      </c>
      <c r="N243" s="46">
        <f t="shared" si="53"/>
        <v>0</v>
      </c>
      <c r="O243" s="46">
        <f t="shared" si="53"/>
        <v>0</v>
      </c>
      <c r="P243" s="56">
        <f t="shared" si="43"/>
        <v>0</v>
      </c>
      <c r="Q243" s="46">
        <f t="shared" si="53"/>
        <v>0</v>
      </c>
      <c r="R243" s="46">
        <f t="shared" si="53"/>
        <v>0</v>
      </c>
      <c r="S243" s="46">
        <f t="shared" si="53"/>
        <v>0</v>
      </c>
      <c r="T243" s="46">
        <f t="shared" si="53"/>
        <v>0</v>
      </c>
      <c r="U243" s="56">
        <f t="shared" si="47"/>
        <v>0</v>
      </c>
      <c r="V243" s="56">
        <f t="shared" si="48"/>
        <v>0</v>
      </c>
      <c r="W243" s="46">
        <f t="shared" si="53"/>
        <v>0</v>
      </c>
      <c r="X243" s="46">
        <f t="shared" si="53"/>
        <v>0</v>
      </c>
      <c r="Y243" s="46">
        <f t="shared" si="53"/>
        <v>0</v>
      </c>
      <c r="Z243" s="46">
        <f t="shared" si="53"/>
        <v>0</v>
      </c>
      <c r="AA243" s="46">
        <f t="shared" si="53"/>
        <v>0</v>
      </c>
      <c r="AB243" s="56">
        <f t="shared" si="44"/>
        <v>0</v>
      </c>
      <c r="AC243" s="46">
        <f t="shared" si="53"/>
        <v>0</v>
      </c>
      <c r="AD243" s="46">
        <f t="shared" si="53"/>
        <v>0</v>
      </c>
      <c r="AE243" s="46">
        <f t="shared" si="53"/>
        <v>0</v>
      </c>
      <c r="AF243" s="46">
        <f t="shared" si="53"/>
        <v>0</v>
      </c>
      <c r="AG243" s="16">
        <f t="shared" si="49"/>
        <v>0</v>
      </c>
    </row>
    <row r="244" spans="7:33" ht="21" x14ac:dyDescent="0.15">
      <c r="G244" s="206" t="s">
        <v>475</v>
      </c>
      <c r="H244" s="4" t="s">
        <v>478</v>
      </c>
      <c r="I244" s="45">
        <f t="shared" si="45"/>
        <v>0</v>
      </c>
      <c r="J244" s="45">
        <f t="shared" si="46"/>
        <v>0</v>
      </c>
      <c r="K244" s="8"/>
      <c r="L244" s="6"/>
      <c r="M244" s="6"/>
      <c r="N244" s="6"/>
      <c r="O244" s="6"/>
      <c r="P244" s="56">
        <f t="shared" si="43"/>
        <v>0</v>
      </c>
      <c r="Q244" s="6"/>
      <c r="R244" s="6"/>
      <c r="S244" s="6"/>
      <c r="T244" s="202"/>
      <c r="U244" s="56">
        <f t="shared" si="47"/>
        <v>0</v>
      </c>
      <c r="V244" s="56">
        <f t="shared" si="48"/>
        <v>0</v>
      </c>
      <c r="W244" s="6"/>
      <c r="X244" s="6"/>
      <c r="Y244" s="6"/>
      <c r="Z244" s="6"/>
      <c r="AA244" s="6"/>
      <c r="AB244" s="56">
        <f t="shared" si="44"/>
        <v>0</v>
      </c>
      <c r="AC244" s="6"/>
      <c r="AD244" s="6"/>
      <c r="AE244" s="6"/>
      <c r="AF244" s="202"/>
      <c r="AG244" s="16">
        <f t="shared" si="49"/>
        <v>0</v>
      </c>
    </row>
    <row r="245" spans="7:33" x14ac:dyDescent="0.15">
      <c r="G245" s="206" t="s">
        <v>477</v>
      </c>
      <c r="H245" s="53" t="s">
        <v>480</v>
      </c>
      <c r="I245" s="45">
        <f t="shared" si="45"/>
        <v>0</v>
      </c>
      <c r="J245" s="45">
        <f t="shared" si="46"/>
        <v>0</v>
      </c>
      <c r="K245" s="8"/>
      <c r="L245" s="6"/>
      <c r="M245" s="6"/>
      <c r="N245" s="6"/>
      <c r="O245" s="6"/>
      <c r="P245" s="56">
        <f t="shared" si="43"/>
        <v>0</v>
      </c>
      <c r="Q245" s="6"/>
      <c r="R245" s="6"/>
      <c r="S245" s="6"/>
      <c r="T245" s="202"/>
      <c r="U245" s="56">
        <f t="shared" si="47"/>
        <v>0</v>
      </c>
      <c r="V245" s="56">
        <f t="shared" si="48"/>
        <v>0</v>
      </c>
      <c r="W245" s="6"/>
      <c r="X245" s="6"/>
      <c r="Y245" s="6"/>
      <c r="Z245" s="6"/>
      <c r="AA245" s="6"/>
      <c r="AB245" s="56">
        <f t="shared" si="44"/>
        <v>0</v>
      </c>
      <c r="AC245" s="6"/>
      <c r="AD245" s="6"/>
      <c r="AE245" s="6"/>
      <c r="AF245" s="202"/>
      <c r="AG245" s="16">
        <f t="shared" si="49"/>
        <v>0</v>
      </c>
    </row>
    <row r="246" spans="7:33" ht="21" x14ac:dyDescent="0.15">
      <c r="G246" s="206" t="s">
        <v>479</v>
      </c>
      <c r="H246" s="4" t="s">
        <v>482</v>
      </c>
      <c r="I246" s="45">
        <f t="shared" si="45"/>
        <v>0</v>
      </c>
      <c r="J246" s="45">
        <f t="shared" si="46"/>
        <v>0</v>
      </c>
      <c r="K246" s="8"/>
      <c r="L246" s="6"/>
      <c r="M246" s="6"/>
      <c r="N246" s="6"/>
      <c r="O246" s="6"/>
      <c r="P246" s="56">
        <f t="shared" si="43"/>
        <v>0</v>
      </c>
      <c r="Q246" s="6"/>
      <c r="R246" s="6"/>
      <c r="S246" s="6"/>
      <c r="T246" s="202"/>
      <c r="U246" s="56">
        <f t="shared" si="47"/>
        <v>0</v>
      </c>
      <c r="V246" s="56">
        <f t="shared" si="48"/>
        <v>0</v>
      </c>
      <c r="W246" s="6"/>
      <c r="X246" s="6"/>
      <c r="Y246" s="6"/>
      <c r="Z246" s="6"/>
      <c r="AA246" s="6"/>
      <c r="AB246" s="56">
        <f t="shared" si="44"/>
        <v>0</v>
      </c>
      <c r="AC246" s="6"/>
      <c r="AD246" s="6"/>
      <c r="AE246" s="6"/>
      <c r="AF246" s="202"/>
      <c r="AG246" s="16">
        <f t="shared" si="49"/>
        <v>0</v>
      </c>
    </row>
    <row r="247" spans="7:33" x14ac:dyDescent="0.15">
      <c r="G247" s="205" t="s">
        <v>481</v>
      </c>
      <c r="H247" s="4" t="s">
        <v>484</v>
      </c>
      <c r="I247" s="45">
        <f t="shared" si="45"/>
        <v>0</v>
      </c>
      <c r="J247" s="45">
        <f t="shared" si="46"/>
        <v>0</v>
      </c>
      <c r="K247" s="8"/>
      <c r="L247" s="6"/>
      <c r="M247" s="6"/>
      <c r="N247" s="6"/>
      <c r="O247" s="6"/>
      <c r="P247" s="56">
        <f t="shared" si="43"/>
        <v>0</v>
      </c>
      <c r="Q247" s="6"/>
      <c r="R247" s="6"/>
      <c r="S247" s="6"/>
      <c r="T247" s="202"/>
      <c r="U247" s="56">
        <f t="shared" si="47"/>
        <v>0</v>
      </c>
      <c r="V247" s="56">
        <f t="shared" si="48"/>
        <v>0</v>
      </c>
      <c r="W247" s="6"/>
      <c r="X247" s="6"/>
      <c r="Y247" s="6"/>
      <c r="Z247" s="6"/>
      <c r="AA247" s="6"/>
      <c r="AB247" s="56">
        <f t="shared" si="44"/>
        <v>0</v>
      </c>
      <c r="AC247" s="6"/>
      <c r="AD247" s="6"/>
      <c r="AE247" s="6"/>
      <c r="AF247" s="202"/>
      <c r="AG247" s="16">
        <f t="shared" si="49"/>
        <v>0</v>
      </c>
    </row>
    <row r="248" spans="7:33" x14ac:dyDescent="0.15">
      <c r="G248" s="205" t="s">
        <v>483</v>
      </c>
      <c r="H248" s="53" t="s">
        <v>486</v>
      </c>
      <c r="I248" s="45">
        <f t="shared" si="45"/>
        <v>0</v>
      </c>
      <c r="J248" s="45">
        <f t="shared" si="46"/>
        <v>0</v>
      </c>
      <c r="K248" s="8"/>
      <c r="L248" s="6"/>
      <c r="M248" s="6"/>
      <c r="N248" s="6"/>
      <c r="O248" s="6"/>
      <c r="P248" s="56">
        <f t="shared" si="43"/>
        <v>0</v>
      </c>
      <c r="Q248" s="6"/>
      <c r="R248" s="6"/>
      <c r="S248" s="6"/>
      <c r="T248" s="202"/>
      <c r="U248" s="56">
        <f t="shared" si="47"/>
        <v>0</v>
      </c>
      <c r="V248" s="56">
        <f t="shared" si="48"/>
        <v>0</v>
      </c>
      <c r="W248" s="6"/>
      <c r="X248" s="6"/>
      <c r="Y248" s="6"/>
      <c r="Z248" s="6"/>
      <c r="AA248" s="6"/>
      <c r="AB248" s="56">
        <f t="shared" si="44"/>
        <v>0</v>
      </c>
      <c r="AC248" s="6"/>
      <c r="AD248" s="6"/>
      <c r="AE248" s="6"/>
      <c r="AF248" s="202"/>
      <c r="AG248" s="16">
        <f t="shared" si="49"/>
        <v>0</v>
      </c>
    </row>
    <row r="249" spans="7:33" ht="21" x14ac:dyDescent="0.15">
      <c r="G249" s="205" t="s">
        <v>485</v>
      </c>
      <c r="H249" s="4" t="s">
        <v>488</v>
      </c>
      <c r="I249" s="45">
        <f t="shared" si="45"/>
        <v>0</v>
      </c>
      <c r="J249" s="45">
        <f t="shared" si="46"/>
        <v>0</v>
      </c>
      <c r="K249" s="8"/>
      <c r="L249" s="6"/>
      <c r="M249" s="6"/>
      <c r="N249" s="6"/>
      <c r="O249" s="6"/>
      <c r="P249" s="56">
        <f t="shared" si="43"/>
        <v>0</v>
      </c>
      <c r="Q249" s="6"/>
      <c r="R249" s="6"/>
      <c r="S249" s="6"/>
      <c r="T249" s="202"/>
      <c r="U249" s="56">
        <f t="shared" si="47"/>
        <v>0</v>
      </c>
      <c r="V249" s="56">
        <f t="shared" si="48"/>
        <v>0</v>
      </c>
      <c r="W249" s="6"/>
      <c r="X249" s="6"/>
      <c r="Y249" s="6"/>
      <c r="Z249" s="6"/>
      <c r="AA249" s="6"/>
      <c r="AB249" s="56">
        <f t="shared" si="44"/>
        <v>0</v>
      </c>
      <c r="AC249" s="6"/>
      <c r="AD249" s="6"/>
      <c r="AE249" s="6"/>
      <c r="AF249" s="202"/>
      <c r="AG249" s="16">
        <f t="shared" si="49"/>
        <v>0</v>
      </c>
    </row>
    <row r="250" spans="7:33" x14ac:dyDescent="0.15">
      <c r="G250" s="205" t="s">
        <v>487</v>
      </c>
      <c r="H250" s="4" t="s">
        <v>490</v>
      </c>
      <c r="I250" s="45">
        <f t="shared" si="45"/>
        <v>0</v>
      </c>
      <c r="J250" s="45">
        <f t="shared" si="46"/>
        <v>0</v>
      </c>
      <c r="K250" s="46">
        <f t="shared" ref="K250:AF250" si="54">SUM(K251:K254)</f>
        <v>0</v>
      </c>
      <c r="L250" s="46">
        <f t="shared" si="54"/>
        <v>0</v>
      </c>
      <c r="M250" s="46">
        <f t="shared" si="54"/>
        <v>0</v>
      </c>
      <c r="N250" s="46">
        <f t="shared" si="54"/>
        <v>0</v>
      </c>
      <c r="O250" s="46">
        <f t="shared" si="54"/>
        <v>0</v>
      </c>
      <c r="P250" s="56">
        <f t="shared" si="43"/>
        <v>0</v>
      </c>
      <c r="Q250" s="46">
        <f t="shared" si="54"/>
        <v>0</v>
      </c>
      <c r="R250" s="46">
        <f t="shared" si="54"/>
        <v>0</v>
      </c>
      <c r="S250" s="46">
        <f t="shared" si="54"/>
        <v>0</v>
      </c>
      <c r="T250" s="46">
        <f t="shared" si="54"/>
        <v>0</v>
      </c>
      <c r="U250" s="56">
        <f t="shared" si="47"/>
        <v>0</v>
      </c>
      <c r="V250" s="56">
        <f t="shared" si="48"/>
        <v>0</v>
      </c>
      <c r="W250" s="46">
        <f t="shared" si="54"/>
        <v>0</v>
      </c>
      <c r="X250" s="46">
        <f t="shared" si="54"/>
        <v>0</v>
      </c>
      <c r="Y250" s="46">
        <f t="shared" si="54"/>
        <v>0</v>
      </c>
      <c r="Z250" s="46">
        <f t="shared" si="54"/>
        <v>0</v>
      </c>
      <c r="AA250" s="46">
        <f t="shared" si="54"/>
        <v>0</v>
      </c>
      <c r="AB250" s="56">
        <f t="shared" si="44"/>
        <v>0</v>
      </c>
      <c r="AC250" s="46">
        <f t="shared" si="54"/>
        <v>0</v>
      </c>
      <c r="AD250" s="46">
        <f t="shared" si="54"/>
        <v>0</v>
      </c>
      <c r="AE250" s="46">
        <f t="shared" si="54"/>
        <v>0</v>
      </c>
      <c r="AF250" s="46">
        <f t="shared" si="54"/>
        <v>0</v>
      </c>
      <c r="AG250" s="16">
        <f t="shared" si="49"/>
        <v>0</v>
      </c>
    </row>
    <row r="251" spans="7:33" ht="21" x14ac:dyDescent="0.15">
      <c r="G251" s="206" t="s">
        <v>489</v>
      </c>
      <c r="H251" s="53" t="s">
        <v>492</v>
      </c>
      <c r="I251" s="45">
        <f t="shared" si="45"/>
        <v>0</v>
      </c>
      <c r="J251" s="45">
        <f t="shared" si="46"/>
        <v>0</v>
      </c>
      <c r="K251" s="8"/>
      <c r="L251" s="6"/>
      <c r="M251" s="6"/>
      <c r="N251" s="6"/>
      <c r="O251" s="6"/>
      <c r="P251" s="56">
        <f t="shared" si="43"/>
        <v>0</v>
      </c>
      <c r="Q251" s="6"/>
      <c r="R251" s="6"/>
      <c r="S251" s="6"/>
      <c r="T251" s="202"/>
      <c r="U251" s="56">
        <f t="shared" si="47"/>
        <v>0</v>
      </c>
      <c r="V251" s="56">
        <f t="shared" si="48"/>
        <v>0</v>
      </c>
      <c r="W251" s="6"/>
      <c r="X251" s="6"/>
      <c r="Y251" s="6"/>
      <c r="Z251" s="6"/>
      <c r="AA251" s="6"/>
      <c r="AB251" s="56">
        <f t="shared" si="44"/>
        <v>0</v>
      </c>
      <c r="AC251" s="6"/>
      <c r="AD251" s="6"/>
      <c r="AE251" s="6"/>
      <c r="AF251" s="202"/>
      <c r="AG251" s="16">
        <f t="shared" si="49"/>
        <v>0</v>
      </c>
    </row>
    <row r="252" spans="7:33" x14ac:dyDescent="0.15">
      <c r="G252" s="206" t="s">
        <v>491</v>
      </c>
      <c r="H252" s="4" t="s">
        <v>494</v>
      </c>
      <c r="I252" s="45">
        <f t="shared" si="45"/>
        <v>0</v>
      </c>
      <c r="J252" s="45">
        <f t="shared" si="46"/>
        <v>0</v>
      </c>
      <c r="K252" s="8"/>
      <c r="L252" s="6"/>
      <c r="M252" s="6"/>
      <c r="N252" s="6"/>
      <c r="O252" s="6"/>
      <c r="P252" s="56">
        <f t="shared" si="43"/>
        <v>0</v>
      </c>
      <c r="Q252" s="6"/>
      <c r="R252" s="6"/>
      <c r="S252" s="6"/>
      <c r="T252" s="202"/>
      <c r="U252" s="56">
        <f t="shared" si="47"/>
        <v>0</v>
      </c>
      <c r="V252" s="56">
        <f t="shared" si="48"/>
        <v>0</v>
      </c>
      <c r="W252" s="6"/>
      <c r="X252" s="6"/>
      <c r="Y252" s="6"/>
      <c r="Z252" s="6"/>
      <c r="AA252" s="6"/>
      <c r="AB252" s="56">
        <f t="shared" si="44"/>
        <v>0</v>
      </c>
      <c r="AC252" s="6"/>
      <c r="AD252" s="6"/>
      <c r="AE252" s="6"/>
      <c r="AF252" s="202"/>
      <c r="AG252" s="16">
        <f t="shared" si="49"/>
        <v>0</v>
      </c>
    </row>
    <row r="253" spans="7:33" x14ac:dyDescent="0.15">
      <c r="G253" s="206" t="s">
        <v>493</v>
      </c>
      <c r="H253" s="4" t="s">
        <v>496</v>
      </c>
      <c r="I253" s="45">
        <f t="shared" si="45"/>
        <v>0</v>
      </c>
      <c r="J253" s="45">
        <f t="shared" si="46"/>
        <v>0</v>
      </c>
      <c r="K253" s="8"/>
      <c r="L253" s="6"/>
      <c r="M253" s="6"/>
      <c r="N253" s="6"/>
      <c r="O253" s="6"/>
      <c r="P253" s="56">
        <f t="shared" si="43"/>
        <v>0</v>
      </c>
      <c r="Q253" s="6"/>
      <c r="R253" s="6"/>
      <c r="S253" s="6"/>
      <c r="T253" s="202"/>
      <c r="U253" s="56">
        <f t="shared" si="47"/>
        <v>0</v>
      </c>
      <c r="V253" s="56">
        <f t="shared" si="48"/>
        <v>0</v>
      </c>
      <c r="W253" s="6"/>
      <c r="X253" s="6"/>
      <c r="Y253" s="6"/>
      <c r="Z253" s="6"/>
      <c r="AA253" s="6"/>
      <c r="AB253" s="56">
        <f t="shared" si="44"/>
        <v>0</v>
      </c>
      <c r="AC253" s="6"/>
      <c r="AD253" s="6"/>
      <c r="AE253" s="6"/>
      <c r="AF253" s="202"/>
      <c r="AG253" s="16">
        <f t="shared" si="49"/>
        <v>0</v>
      </c>
    </row>
    <row r="254" spans="7:33" ht="21" x14ac:dyDescent="0.15">
      <c r="G254" s="206" t="s">
        <v>495</v>
      </c>
      <c r="H254" s="53" t="s">
        <v>498</v>
      </c>
      <c r="I254" s="45">
        <f t="shared" si="45"/>
        <v>0</v>
      </c>
      <c r="J254" s="45">
        <f t="shared" si="46"/>
        <v>0</v>
      </c>
      <c r="K254" s="8"/>
      <c r="L254" s="6"/>
      <c r="M254" s="6"/>
      <c r="N254" s="6"/>
      <c r="O254" s="6"/>
      <c r="P254" s="56">
        <f t="shared" si="43"/>
        <v>0</v>
      </c>
      <c r="Q254" s="6"/>
      <c r="R254" s="6"/>
      <c r="S254" s="6"/>
      <c r="T254" s="202"/>
      <c r="U254" s="56">
        <f t="shared" si="47"/>
        <v>0</v>
      </c>
      <c r="V254" s="56">
        <f t="shared" si="48"/>
        <v>0</v>
      </c>
      <c r="W254" s="6"/>
      <c r="X254" s="6"/>
      <c r="Y254" s="6"/>
      <c r="Z254" s="6"/>
      <c r="AA254" s="6"/>
      <c r="AB254" s="56">
        <f t="shared" si="44"/>
        <v>0</v>
      </c>
      <c r="AC254" s="6"/>
      <c r="AD254" s="6"/>
      <c r="AE254" s="6"/>
      <c r="AF254" s="202"/>
      <c r="AG254" s="16">
        <f t="shared" si="49"/>
        <v>0</v>
      </c>
    </row>
    <row r="255" spans="7:33" ht="21" x14ac:dyDescent="0.15">
      <c r="G255" s="205" t="s">
        <v>497</v>
      </c>
      <c r="H255" s="4" t="s">
        <v>500</v>
      </c>
      <c r="I255" s="45">
        <f t="shared" si="45"/>
        <v>0</v>
      </c>
      <c r="J255" s="45">
        <f t="shared" si="46"/>
        <v>0</v>
      </c>
      <c r="K255" s="8"/>
      <c r="L255" s="6"/>
      <c r="M255" s="6"/>
      <c r="N255" s="6"/>
      <c r="O255" s="6"/>
      <c r="P255" s="56">
        <f t="shared" si="43"/>
        <v>0</v>
      </c>
      <c r="Q255" s="6"/>
      <c r="R255" s="6"/>
      <c r="S255" s="6"/>
      <c r="T255" s="202"/>
      <c r="U255" s="56">
        <f t="shared" si="47"/>
        <v>0</v>
      </c>
      <c r="V255" s="56">
        <f t="shared" si="48"/>
        <v>0</v>
      </c>
      <c r="W255" s="6"/>
      <c r="X255" s="6"/>
      <c r="Y255" s="6"/>
      <c r="Z255" s="6"/>
      <c r="AA255" s="6"/>
      <c r="AB255" s="56">
        <f t="shared" si="44"/>
        <v>0</v>
      </c>
      <c r="AC255" s="6"/>
      <c r="AD255" s="6"/>
      <c r="AE255" s="6"/>
      <c r="AF255" s="202"/>
      <c r="AG255" s="16">
        <f t="shared" si="49"/>
        <v>0</v>
      </c>
    </row>
    <row r="256" spans="7:33" x14ac:dyDescent="0.15">
      <c r="G256" s="205" t="s">
        <v>499</v>
      </c>
      <c r="H256" s="4" t="s">
        <v>502</v>
      </c>
      <c r="I256" s="45">
        <f t="shared" si="45"/>
        <v>0</v>
      </c>
      <c r="J256" s="45">
        <f t="shared" si="46"/>
        <v>0</v>
      </c>
      <c r="K256" s="8"/>
      <c r="L256" s="6"/>
      <c r="M256" s="6"/>
      <c r="N256" s="6"/>
      <c r="O256" s="6"/>
      <c r="P256" s="56">
        <f t="shared" si="43"/>
        <v>0</v>
      </c>
      <c r="Q256" s="6"/>
      <c r="R256" s="6"/>
      <c r="S256" s="6"/>
      <c r="T256" s="202"/>
      <c r="U256" s="56">
        <f t="shared" si="47"/>
        <v>0</v>
      </c>
      <c r="V256" s="56">
        <f t="shared" si="48"/>
        <v>0</v>
      </c>
      <c r="W256" s="6"/>
      <c r="X256" s="6"/>
      <c r="Y256" s="6"/>
      <c r="Z256" s="6"/>
      <c r="AA256" s="6"/>
      <c r="AB256" s="56">
        <f t="shared" si="44"/>
        <v>0</v>
      </c>
      <c r="AC256" s="6"/>
      <c r="AD256" s="6"/>
      <c r="AE256" s="6"/>
      <c r="AF256" s="202"/>
      <c r="AG256" s="16">
        <f t="shared" si="49"/>
        <v>0</v>
      </c>
    </row>
    <row r="257" spans="7:33" x14ac:dyDescent="0.15">
      <c r="G257" s="205" t="s">
        <v>501</v>
      </c>
      <c r="H257" s="53" t="s">
        <v>504</v>
      </c>
      <c r="I257" s="45">
        <f t="shared" si="45"/>
        <v>0</v>
      </c>
      <c r="J257" s="45">
        <f t="shared" si="46"/>
        <v>0</v>
      </c>
      <c r="K257" s="8"/>
      <c r="L257" s="6"/>
      <c r="M257" s="6"/>
      <c r="N257" s="6"/>
      <c r="O257" s="6"/>
      <c r="P257" s="56">
        <f t="shared" si="43"/>
        <v>0</v>
      </c>
      <c r="Q257" s="6"/>
      <c r="R257" s="6"/>
      <c r="S257" s="6"/>
      <c r="T257" s="202"/>
      <c r="U257" s="56">
        <f t="shared" si="47"/>
        <v>0</v>
      </c>
      <c r="V257" s="56">
        <f t="shared" si="48"/>
        <v>0</v>
      </c>
      <c r="W257" s="6"/>
      <c r="X257" s="6"/>
      <c r="Y257" s="6"/>
      <c r="Z257" s="6"/>
      <c r="AA257" s="6"/>
      <c r="AB257" s="56">
        <f t="shared" si="44"/>
        <v>0</v>
      </c>
      <c r="AC257" s="6"/>
      <c r="AD257" s="6"/>
      <c r="AE257" s="6"/>
      <c r="AF257" s="202"/>
      <c r="AG257" s="16">
        <f t="shared" si="49"/>
        <v>0</v>
      </c>
    </row>
    <row r="258" spans="7:33" x14ac:dyDescent="0.15">
      <c r="G258" s="205" t="s">
        <v>503</v>
      </c>
      <c r="H258" s="4" t="s">
        <v>506</v>
      </c>
      <c r="I258" s="45">
        <f t="shared" si="45"/>
        <v>0</v>
      </c>
      <c r="J258" s="45">
        <f t="shared" si="46"/>
        <v>0</v>
      </c>
      <c r="K258" s="8"/>
      <c r="L258" s="6"/>
      <c r="M258" s="6"/>
      <c r="N258" s="6"/>
      <c r="O258" s="6"/>
      <c r="P258" s="56">
        <f t="shared" si="43"/>
        <v>0</v>
      </c>
      <c r="Q258" s="6"/>
      <c r="R258" s="6"/>
      <c r="S258" s="6"/>
      <c r="T258" s="202"/>
      <c r="U258" s="56">
        <f t="shared" si="47"/>
        <v>0</v>
      </c>
      <c r="V258" s="56">
        <f t="shared" si="48"/>
        <v>0</v>
      </c>
      <c r="W258" s="6"/>
      <c r="X258" s="6"/>
      <c r="Y258" s="6"/>
      <c r="Z258" s="6"/>
      <c r="AA258" s="6"/>
      <c r="AB258" s="56">
        <f t="shared" si="44"/>
        <v>0</v>
      </c>
      <c r="AC258" s="6"/>
      <c r="AD258" s="6"/>
      <c r="AE258" s="6"/>
      <c r="AF258" s="202"/>
      <c r="AG258" s="16">
        <f t="shared" si="49"/>
        <v>0</v>
      </c>
    </row>
    <row r="259" spans="7:33" x14ac:dyDescent="0.15">
      <c r="G259" s="205" t="s">
        <v>505</v>
      </c>
      <c r="H259" s="4" t="s">
        <v>508</v>
      </c>
      <c r="I259" s="45">
        <f t="shared" si="45"/>
        <v>0</v>
      </c>
      <c r="J259" s="45">
        <f t="shared" si="46"/>
        <v>0</v>
      </c>
      <c r="K259" s="8"/>
      <c r="L259" s="6"/>
      <c r="M259" s="6"/>
      <c r="N259" s="6"/>
      <c r="O259" s="6"/>
      <c r="P259" s="56">
        <f t="shared" si="43"/>
        <v>0</v>
      </c>
      <c r="Q259" s="6"/>
      <c r="R259" s="6"/>
      <c r="S259" s="6"/>
      <c r="T259" s="202"/>
      <c r="U259" s="56">
        <f t="shared" si="47"/>
        <v>0</v>
      </c>
      <c r="V259" s="56">
        <f t="shared" si="48"/>
        <v>0</v>
      </c>
      <c r="W259" s="6"/>
      <c r="X259" s="6"/>
      <c r="Y259" s="6"/>
      <c r="Z259" s="6"/>
      <c r="AA259" s="6"/>
      <c r="AB259" s="56">
        <f t="shared" si="44"/>
        <v>0</v>
      </c>
      <c r="AC259" s="6"/>
      <c r="AD259" s="6"/>
      <c r="AE259" s="6"/>
      <c r="AF259" s="202"/>
      <c r="AG259" s="16">
        <f t="shared" si="49"/>
        <v>0</v>
      </c>
    </row>
    <row r="260" spans="7:33" x14ac:dyDescent="0.15">
      <c r="G260" s="205" t="s">
        <v>507</v>
      </c>
      <c r="H260" s="53" t="s">
        <v>510</v>
      </c>
      <c r="I260" s="45">
        <f t="shared" si="45"/>
        <v>0</v>
      </c>
      <c r="J260" s="45">
        <f t="shared" si="46"/>
        <v>0</v>
      </c>
      <c r="K260" s="8"/>
      <c r="L260" s="6"/>
      <c r="M260" s="6"/>
      <c r="N260" s="6"/>
      <c r="O260" s="6"/>
      <c r="P260" s="56">
        <f t="shared" si="43"/>
        <v>0</v>
      </c>
      <c r="Q260" s="6"/>
      <c r="R260" s="6"/>
      <c r="S260" s="6"/>
      <c r="T260" s="202"/>
      <c r="U260" s="56">
        <f t="shared" si="47"/>
        <v>0</v>
      </c>
      <c r="V260" s="56">
        <f t="shared" si="48"/>
        <v>0</v>
      </c>
      <c r="W260" s="6"/>
      <c r="X260" s="6"/>
      <c r="Y260" s="6"/>
      <c r="Z260" s="6"/>
      <c r="AA260" s="6"/>
      <c r="AB260" s="56">
        <f t="shared" si="44"/>
        <v>0</v>
      </c>
      <c r="AC260" s="6"/>
      <c r="AD260" s="6"/>
      <c r="AE260" s="6"/>
      <c r="AF260" s="202"/>
      <c r="AG260" s="16">
        <f t="shared" si="49"/>
        <v>0</v>
      </c>
    </row>
    <row r="261" spans="7:33" x14ac:dyDescent="0.15">
      <c r="G261" s="205" t="s">
        <v>509</v>
      </c>
      <c r="H261" s="4" t="s">
        <v>512</v>
      </c>
      <c r="I261" s="45">
        <f t="shared" si="45"/>
        <v>0</v>
      </c>
      <c r="J261" s="45">
        <f t="shared" si="46"/>
        <v>0</v>
      </c>
      <c r="K261" s="8"/>
      <c r="L261" s="6"/>
      <c r="M261" s="6"/>
      <c r="N261" s="6"/>
      <c r="O261" s="6"/>
      <c r="P261" s="56">
        <f t="shared" si="43"/>
        <v>0</v>
      </c>
      <c r="Q261" s="6"/>
      <c r="R261" s="6"/>
      <c r="S261" s="6"/>
      <c r="T261" s="202"/>
      <c r="U261" s="56">
        <f t="shared" si="47"/>
        <v>0</v>
      </c>
      <c r="V261" s="56">
        <f t="shared" si="48"/>
        <v>0</v>
      </c>
      <c r="W261" s="6"/>
      <c r="X261" s="6"/>
      <c r="Y261" s="6"/>
      <c r="Z261" s="6"/>
      <c r="AA261" s="6"/>
      <c r="AB261" s="56">
        <f t="shared" si="44"/>
        <v>0</v>
      </c>
      <c r="AC261" s="6"/>
      <c r="AD261" s="6"/>
      <c r="AE261" s="6"/>
      <c r="AF261" s="202"/>
      <c r="AG261" s="16">
        <f t="shared" si="49"/>
        <v>0</v>
      </c>
    </row>
    <row r="262" spans="7:33" x14ac:dyDescent="0.15">
      <c r="G262" s="205" t="s">
        <v>511</v>
      </c>
      <c r="H262" s="4" t="s">
        <v>514</v>
      </c>
      <c r="I262" s="45">
        <f t="shared" si="45"/>
        <v>0</v>
      </c>
      <c r="J262" s="45">
        <f t="shared" si="46"/>
        <v>0</v>
      </c>
      <c r="K262" s="8"/>
      <c r="L262" s="6"/>
      <c r="M262" s="6"/>
      <c r="N262" s="6"/>
      <c r="O262" s="6"/>
      <c r="P262" s="56">
        <f t="shared" si="43"/>
        <v>0</v>
      </c>
      <c r="Q262" s="6"/>
      <c r="R262" s="6"/>
      <c r="S262" s="6"/>
      <c r="T262" s="202"/>
      <c r="U262" s="56">
        <f t="shared" si="47"/>
        <v>0</v>
      </c>
      <c r="V262" s="56">
        <f t="shared" si="48"/>
        <v>0</v>
      </c>
      <c r="W262" s="6"/>
      <c r="X262" s="6"/>
      <c r="Y262" s="6"/>
      <c r="Z262" s="6"/>
      <c r="AA262" s="6"/>
      <c r="AB262" s="56">
        <f t="shared" si="44"/>
        <v>0</v>
      </c>
      <c r="AC262" s="6"/>
      <c r="AD262" s="6"/>
      <c r="AE262" s="6"/>
      <c r="AF262" s="202"/>
      <c r="AG262" s="16">
        <f t="shared" si="49"/>
        <v>0</v>
      </c>
    </row>
    <row r="263" spans="7:33" x14ac:dyDescent="0.15">
      <c r="G263" s="205" t="s">
        <v>513</v>
      </c>
      <c r="H263" s="53" t="s">
        <v>516</v>
      </c>
      <c r="I263" s="45">
        <f t="shared" si="45"/>
        <v>0</v>
      </c>
      <c r="J263" s="45">
        <f t="shared" si="46"/>
        <v>0</v>
      </c>
      <c r="K263" s="8"/>
      <c r="L263" s="6"/>
      <c r="M263" s="6"/>
      <c r="N263" s="6"/>
      <c r="O263" s="6"/>
      <c r="P263" s="56">
        <f t="shared" si="43"/>
        <v>0</v>
      </c>
      <c r="Q263" s="6"/>
      <c r="R263" s="6"/>
      <c r="S263" s="6"/>
      <c r="T263" s="202"/>
      <c r="U263" s="56">
        <f t="shared" si="47"/>
        <v>0</v>
      </c>
      <c r="V263" s="56">
        <f t="shared" si="48"/>
        <v>0</v>
      </c>
      <c r="W263" s="6"/>
      <c r="X263" s="6"/>
      <c r="Y263" s="6"/>
      <c r="Z263" s="6"/>
      <c r="AA263" s="6"/>
      <c r="AB263" s="56">
        <f t="shared" si="44"/>
        <v>0</v>
      </c>
      <c r="AC263" s="6"/>
      <c r="AD263" s="6"/>
      <c r="AE263" s="6"/>
      <c r="AF263" s="202"/>
      <c r="AG263" s="16">
        <f t="shared" si="49"/>
        <v>0</v>
      </c>
    </row>
    <row r="264" spans="7:33" x14ac:dyDescent="0.15">
      <c r="G264" s="208" t="s">
        <v>515</v>
      </c>
      <c r="H264" s="4" t="s">
        <v>518</v>
      </c>
      <c r="I264" s="45">
        <f t="shared" si="45"/>
        <v>0</v>
      </c>
      <c r="J264" s="45">
        <f t="shared" si="46"/>
        <v>0</v>
      </c>
      <c r="K264" s="8"/>
      <c r="L264" s="6"/>
      <c r="M264" s="6"/>
      <c r="N264" s="6"/>
      <c r="O264" s="6"/>
      <c r="P264" s="56">
        <f t="shared" si="43"/>
        <v>0</v>
      </c>
      <c r="Q264" s="6"/>
      <c r="R264" s="6"/>
      <c r="S264" s="6"/>
      <c r="T264" s="202"/>
      <c r="U264" s="56">
        <f t="shared" si="47"/>
        <v>0</v>
      </c>
      <c r="V264" s="56">
        <f t="shared" si="48"/>
        <v>0</v>
      </c>
      <c r="W264" s="6"/>
      <c r="X264" s="6"/>
      <c r="Y264" s="6"/>
      <c r="Z264" s="6"/>
      <c r="AA264" s="6"/>
      <c r="AB264" s="56">
        <f t="shared" si="44"/>
        <v>0</v>
      </c>
      <c r="AC264" s="6"/>
      <c r="AD264" s="6"/>
      <c r="AE264" s="6"/>
      <c r="AF264" s="202"/>
      <c r="AG264" s="16">
        <f t="shared" si="49"/>
        <v>0</v>
      </c>
    </row>
    <row r="265" spans="7:33" x14ac:dyDescent="0.15">
      <c r="G265" s="205" t="s">
        <v>517</v>
      </c>
      <c r="H265" s="4" t="s">
        <v>520</v>
      </c>
      <c r="I265" s="45">
        <f t="shared" si="45"/>
        <v>0</v>
      </c>
      <c r="J265" s="45">
        <f t="shared" si="46"/>
        <v>0</v>
      </c>
      <c r="K265" s="8"/>
      <c r="L265" s="6"/>
      <c r="M265" s="6"/>
      <c r="N265" s="6"/>
      <c r="O265" s="6"/>
      <c r="P265" s="56">
        <f t="shared" si="43"/>
        <v>0</v>
      </c>
      <c r="Q265" s="6"/>
      <c r="R265" s="6"/>
      <c r="S265" s="6"/>
      <c r="T265" s="202"/>
      <c r="U265" s="56">
        <f t="shared" si="47"/>
        <v>0</v>
      </c>
      <c r="V265" s="56">
        <f t="shared" si="48"/>
        <v>0</v>
      </c>
      <c r="W265" s="6"/>
      <c r="X265" s="6"/>
      <c r="Y265" s="6"/>
      <c r="Z265" s="6"/>
      <c r="AA265" s="6"/>
      <c r="AB265" s="56">
        <f t="shared" si="44"/>
        <v>0</v>
      </c>
      <c r="AC265" s="6"/>
      <c r="AD265" s="6"/>
      <c r="AE265" s="6"/>
      <c r="AF265" s="202"/>
      <c r="AG265" s="16">
        <f t="shared" si="49"/>
        <v>0</v>
      </c>
    </row>
    <row r="266" spans="7:33" x14ac:dyDescent="0.15">
      <c r="G266" s="205" t="s">
        <v>519</v>
      </c>
      <c r="H266" s="53" t="s">
        <v>522</v>
      </c>
      <c r="I266" s="45">
        <f t="shared" si="45"/>
        <v>0</v>
      </c>
      <c r="J266" s="45">
        <f t="shared" si="46"/>
        <v>0</v>
      </c>
      <c r="K266" s="8"/>
      <c r="L266" s="6"/>
      <c r="M266" s="6"/>
      <c r="N266" s="6"/>
      <c r="O266" s="6"/>
      <c r="P266" s="56">
        <f t="shared" si="43"/>
        <v>0</v>
      </c>
      <c r="Q266" s="6"/>
      <c r="R266" s="6"/>
      <c r="S266" s="6"/>
      <c r="T266" s="202"/>
      <c r="U266" s="56">
        <f t="shared" si="47"/>
        <v>0</v>
      </c>
      <c r="V266" s="56">
        <f t="shared" si="48"/>
        <v>0</v>
      </c>
      <c r="W266" s="6"/>
      <c r="X266" s="6"/>
      <c r="Y266" s="6"/>
      <c r="Z266" s="6"/>
      <c r="AA266" s="6"/>
      <c r="AB266" s="56">
        <f t="shared" si="44"/>
        <v>0</v>
      </c>
      <c r="AC266" s="6"/>
      <c r="AD266" s="6"/>
      <c r="AE266" s="6"/>
      <c r="AF266" s="202"/>
      <c r="AG266" s="16">
        <f t="shared" si="49"/>
        <v>0</v>
      </c>
    </row>
    <row r="267" spans="7:33" x14ac:dyDescent="0.15">
      <c r="G267" s="205" t="s">
        <v>896</v>
      </c>
      <c r="H267" s="4" t="s">
        <v>524</v>
      </c>
      <c r="I267" s="45">
        <f t="shared" ref="I267" si="55">J267+P267</f>
        <v>0</v>
      </c>
      <c r="J267" s="45">
        <f t="shared" ref="J267" si="56">SUM(K267:O267)</f>
        <v>0</v>
      </c>
      <c r="K267" s="8"/>
      <c r="L267" s="6"/>
      <c r="M267" s="6"/>
      <c r="N267" s="6"/>
      <c r="O267" s="6"/>
      <c r="P267" s="56">
        <f t="shared" ref="P267:P322" si="57">SUM(Q267:T267)</f>
        <v>0</v>
      </c>
      <c r="Q267" s="6"/>
      <c r="R267" s="6"/>
      <c r="S267" s="6"/>
      <c r="T267" s="202"/>
      <c r="U267" s="56">
        <f t="shared" si="47"/>
        <v>0</v>
      </c>
      <c r="V267" s="56">
        <f t="shared" si="48"/>
        <v>0</v>
      </c>
      <c r="W267" s="6"/>
      <c r="X267" s="6"/>
      <c r="Y267" s="6"/>
      <c r="Z267" s="6"/>
      <c r="AA267" s="6"/>
      <c r="AB267" s="56">
        <f t="shared" ref="AB267:AB322" si="58">SUM(AC267:AF267)</f>
        <v>0</v>
      </c>
      <c r="AC267" s="6"/>
      <c r="AD267" s="6"/>
      <c r="AE267" s="6"/>
      <c r="AF267" s="202"/>
      <c r="AG267" s="16">
        <f t="shared" ref="AG267" si="59">SUM(I267:AF267)</f>
        <v>0</v>
      </c>
    </row>
    <row r="268" spans="7:33" x14ac:dyDescent="0.15">
      <c r="G268" s="205" t="s">
        <v>521</v>
      </c>
      <c r="H268" s="4" t="s">
        <v>526</v>
      </c>
      <c r="I268" s="45">
        <f t="shared" si="45"/>
        <v>0</v>
      </c>
      <c r="J268" s="45">
        <f t="shared" si="46"/>
        <v>0</v>
      </c>
      <c r="K268" s="8"/>
      <c r="L268" s="6"/>
      <c r="M268" s="6"/>
      <c r="N268" s="6"/>
      <c r="O268" s="6"/>
      <c r="P268" s="56">
        <f t="shared" si="57"/>
        <v>0</v>
      </c>
      <c r="Q268" s="6"/>
      <c r="R268" s="6"/>
      <c r="S268" s="6"/>
      <c r="T268" s="202"/>
      <c r="U268" s="56">
        <f t="shared" ref="U268:U322" si="60">V268+AB268</f>
        <v>0</v>
      </c>
      <c r="V268" s="56">
        <f t="shared" ref="V268:V322" si="61">SUM(W268:AA268)</f>
        <v>0</v>
      </c>
      <c r="W268" s="6"/>
      <c r="X268" s="6"/>
      <c r="Y268" s="6"/>
      <c r="Z268" s="6"/>
      <c r="AA268" s="6"/>
      <c r="AB268" s="56">
        <f t="shared" si="58"/>
        <v>0</v>
      </c>
      <c r="AC268" s="6"/>
      <c r="AD268" s="6"/>
      <c r="AE268" s="6"/>
      <c r="AF268" s="202"/>
      <c r="AG268" s="16">
        <f t="shared" si="49"/>
        <v>0</v>
      </c>
    </row>
    <row r="269" spans="7:33" x14ac:dyDescent="0.15">
      <c r="G269" s="205" t="s">
        <v>523</v>
      </c>
      <c r="H269" s="53" t="s">
        <v>528</v>
      </c>
      <c r="I269" s="45">
        <f t="shared" ref="I269:I322" si="62">J269+P269</f>
        <v>0</v>
      </c>
      <c r="J269" s="45">
        <f t="shared" ref="J269:J322" si="63">SUM(K269:O269)</f>
        <v>0</v>
      </c>
      <c r="K269" s="8"/>
      <c r="L269" s="6"/>
      <c r="M269" s="6"/>
      <c r="N269" s="6"/>
      <c r="O269" s="6"/>
      <c r="P269" s="56">
        <f t="shared" si="57"/>
        <v>0</v>
      </c>
      <c r="Q269" s="6"/>
      <c r="R269" s="6"/>
      <c r="S269" s="6"/>
      <c r="T269" s="202"/>
      <c r="U269" s="56">
        <f t="shared" si="60"/>
        <v>0</v>
      </c>
      <c r="V269" s="56">
        <f t="shared" si="61"/>
        <v>0</v>
      </c>
      <c r="W269" s="6"/>
      <c r="X269" s="6"/>
      <c r="Y269" s="6"/>
      <c r="Z269" s="6"/>
      <c r="AA269" s="6"/>
      <c r="AB269" s="56">
        <f t="shared" si="58"/>
        <v>0</v>
      </c>
      <c r="AC269" s="6"/>
      <c r="AD269" s="6"/>
      <c r="AE269" s="6"/>
      <c r="AF269" s="202"/>
      <c r="AG269" s="16">
        <f t="shared" ref="AG269:AG322" si="64">SUM(I269:AF269)</f>
        <v>0</v>
      </c>
    </row>
    <row r="270" spans="7:33" x14ac:dyDescent="0.15">
      <c r="G270" s="205" t="s">
        <v>525</v>
      </c>
      <c r="H270" s="4" t="s">
        <v>530</v>
      </c>
      <c r="I270" s="45">
        <f t="shared" si="62"/>
        <v>0</v>
      </c>
      <c r="J270" s="45">
        <f t="shared" si="63"/>
        <v>0</v>
      </c>
      <c r="K270" s="8"/>
      <c r="L270" s="6"/>
      <c r="M270" s="6"/>
      <c r="N270" s="6"/>
      <c r="O270" s="6"/>
      <c r="P270" s="56">
        <f t="shared" si="57"/>
        <v>0</v>
      </c>
      <c r="Q270" s="6"/>
      <c r="R270" s="6"/>
      <c r="S270" s="6"/>
      <c r="T270" s="202"/>
      <c r="U270" s="56">
        <f t="shared" si="60"/>
        <v>0</v>
      </c>
      <c r="V270" s="56">
        <f t="shared" si="61"/>
        <v>0</v>
      </c>
      <c r="W270" s="6"/>
      <c r="X270" s="6"/>
      <c r="Y270" s="6"/>
      <c r="Z270" s="6"/>
      <c r="AA270" s="6"/>
      <c r="AB270" s="56">
        <f t="shared" si="58"/>
        <v>0</v>
      </c>
      <c r="AC270" s="6"/>
      <c r="AD270" s="6"/>
      <c r="AE270" s="6"/>
      <c r="AF270" s="202"/>
      <c r="AG270" s="16">
        <f t="shared" si="64"/>
        <v>0</v>
      </c>
    </row>
    <row r="271" spans="7:33" x14ac:dyDescent="0.15">
      <c r="G271" s="205" t="s">
        <v>527</v>
      </c>
      <c r="H271" s="4" t="s">
        <v>532</v>
      </c>
      <c r="I271" s="45">
        <f t="shared" si="62"/>
        <v>0</v>
      </c>
      <c r="J271" s="45">
        <f t="shared" si="63"/>
        <v>0</v>
      </c>
      <c r="K271" s="46">
        <f>SUM(K272:K276)</f>
        <v>0</v>
      </c>
      <c r="L271" s="46">
        <f t="shared" ref="L271:O271" si="65">SUM(L272:L276)</f>
        <v>0</v>
      </c>
      <c r="M271" s="46">
        <f t="shared" si="65"/>
        <v>0</v>
      </c>
      <c r="N271" s="46">
        <f t="shared" si="65"/>
        <v>0</v>
      </c>
      <c r="O271" s="46">
        <f t="shared" si="65"/>
        <v>0</v>
      </c>
      <c r="P271" s="56">
        <f t="shared" si="57"/>
        <v>0</v>
      </c>
      <c r="Q271" s="46">
        <f>SUM(Q272:Q276)</f>
        <v>0</v>
      </c>
      <c r="R271" s="46">
        <f t="shared" ref="R271:T271" si="66">SUM(R272:R276)</f>
        <v>0</v>
      </c>
      <c r="S271" s="46">
        <f t="shared" si="66"/>
        <v>0</v>
      </c>
      <c r="T271" s="46">
        <f t="shared" si="66"/>
        <v>0</v>
      </c>
      <c r="U271" s="56">
        <f t="shared" si="60"/>
        <v>0</v>
      </c>
      <c r="V271" s="56">
        <f t="shared" si="61"/>
        <v>0</v>
      </c>
      <c r="W271" s="46">
        <f>SUM(W272:W276)</f>
        <v>0</v>
      </c>
      <c r="X271" s="46">
        <f t="shared" ref="X271:AA271" si="67">SUM(X272:X276)</f>
        <v>0</v>
      </c>
      <c r="Y271" s="46">
        <f t="shared" si="67"/>
        <v>0</v>
      </c>
      <c r="Z271" s="46">
        <f t="shared" si="67"/>
        <v>0</v>
      </c>
      <c r="AA271" s="46">
        <f t="shared" si="67"/>
        <v>0</v>
      </c>
      <c r="AB271" s="56">
        <f t="shared" si="58"/>
        <v>0</v>
      </c>
      <c r="AC271" s="46">
        <f>SUM(AC272:AC276)</f>
        <v>0</v>
      </c>
      <c r="AD271" s="46">
        <f t="shared" ref="AD271:AF271" si="68">SUM(AD272:AD276)</f>
        <v>0</v>
      </c>
      <c r="AE271" s="46">
        <f t="shared" si="68"/>
        <v>0</v>
      </c>
      <c r="AF271" s="46">
        <f t="shared" si="68"/>
        <v>0</v>
      </c>
      <c r="AG271" s="16">
        <f t="shared" si="64"/>
        <v>0</v>
      </c>
    </row>
    <row r="272" spans="7:33" ht="21" x14ac:dyDescent="0.15">
      <c r="G272" s="206" t="s">
        <v>529</v>
      </c>
      <c r="H272" s="53" t="s">
        <v>534</v>
      </c>
      <c r="I272" s="45">
        <f t="shared" si="62"/>
        <v>0</v>
      </c>
      <c r="J272" s="45">
        <f t="shared" si="63"/>
        <v>0</v>
      </c>
      <c r="K272" s="8"/>
      <c r="L272" s="6"/>
      <c r="M272" s="6"/>
      <c r="N272" s="6"/>
      <c r="O272" s="6"/>
      <c r="P272" s="56">
        <f t="shared" si="57"/>
        <v>0</v>
      </c>
      <c r="Q272" s="6"/>
      <c r="R272" s="6"/>
      <c r="S272" s="6"/>
      <c r="T272" s="202"/>
      <c r="U272" s="56">
        <f t="shared" si="60"/>
        <v>0</v>
      </c>
      <c r="V272" s="56">
        <f t="shared" si="61"/>
        <v>0</v>
      </c>
      <c r="W272" s="6"/>
      <c r="X272" s="6"/>
      <c r="Y272" s="6"/>
      <c r="Z272" s="6"/>
      <c r="AA272" s="6"/>
      <c r="AB272" s="56">
        <f t="shared" si="58"/>
        <v>0</v>
      </c>
      <c r="AC272" s="6"/>
      <c r="AD272" s="6"/>
      <c r="AE272" s="6"/>
      <c r="AF272" s="202"/>
      <c r="AG272" s="16">
        <f t="shared" si="64"/>
        <v>0</v>
      </c>
    </row>
    <row r="273" spans="7:33" x14ac:dyDescent="0.15">
      <c r="G273" s="206" t="s">
        <v>531</v>
      </c>
      <c r="H273" s="4" t="s">
        <v>536</v>
      </c>
      <c r="I273" s="45">
        <f t="shared" si="62"/>
        <v>0</v>
      </c>
      <c r="J273" s="45">
        <f t="shared" si="63"/>
        <v>0</v>
      </c>
      <c r="K273" s="8"/>
      <c r="L273" s="6"/>
      <c r="M273" s="6"/>
      <c r="N273" s="6"/>
      <c r="O273" s="6"/>
      <c r="P273" s="56">
        <f t="shared" si="57"/>
        <v>0</v>
      </c>
      <c r="Q273" s="6"/>
      <c r="R273" s="6"/>
      <c r="S273" s="6"/>
      <c r="T273" s="202"/>
      <c r="U273" s="56">
        <f t="shared" si="60"/>
        <v>0</v>
      </c>
      <c r="V273" s="56">
        <f t="shared" si="61"/>
        <v>0</v>
      </c>
      <c r="W273" s="6"/>
      <c r="X273" s="6"/>
      <c r="Y273" s="6"/>
      <c r="Z273" s="6"/>
      <c r="AA273" s="6"/>
      <c r="AB273" s="56">
        <f t="shared" si="58"/>
        <v>0</v>
      </c>
      <c r="AC273" s="6"/>
      <c r="AD273" s="6"/>
      <c r="AE273" s="6"/>
      <c r="AF273" s="202"/>
      <c r="AG273" s="16">
        <f t="shared" si="64"/>
        <v>0</v>
      </c>
    </row>
    <row r="274" spans="7:33" x14ac:dyDescent="0.15">
      <c r="G274" s="206" t="s">
        <v>533</v>
      </c>
      <c r="H274" s="4" t="s">
        <v>538</v>
      </c>
      <c r="I274" s="45">
        <f t="shared" si="62"/>
        <v>0</v>
      </c>
      <c r="J274" s="45">
        <f t="shared" si="63"/>
        <v>0</v>
      </c>
      <c r="K274" s="8"/>
      <c r="L274" s="6"/>
      <c r="M274" s="6"/>
      <c r="N274" s="6"/>
      <c r="O274" s="6"/>
      <c r="P274" s="56">
        <f t="shared" si="57"/>
        <v>0</v>
      </c>
      <c r="Q274" s="6"/>
      <c r="R274" s="6"/>
      <c r="S274" s="6"/>
      <c r="T274" s="202"/>
      <c r="U274" s="56">
        <f t="shared" si="60"/>
        <v>0</v>
      </c>
      <c r="V274" s="56">
        <f t="shared" si="61"/>
        <v>0</v>
      </c>
      <c r="W274" s="6"/>
      <c r="X274" s="6"/>
      <c r="Y274" s="6"/>
      <c r="Z274" s="6"/>
      <c r="AA274" s="6"/>
      <c r="AB274" s="56">
        <f t="shared" si="58"/>
        <v>0</v>
      </c>
      <c r="AC274" s="6"/>
      <c r="AD274" s="6"/>
      <c r="AE274" s="6"/>
      <c r="AF274" s="202"/>
      <c r="AG274" s="16">
        <f t="shared" si="64"/>
        <v>0</v>
      </c>
    </row>
    <row r="275" spans="7:33" x14ac:dyDescent="0.15">
      <c r="G275" s="206" t="s">
        <v>535</v>
      </c>
      <c r="H275" s="53" t="s">
        <v>540</v>
      </c>
      <c r="I275" s="45">
        <f t="shared" si="62"/>
        <v>0</v>
      </c>
      <c r="J275" s="45">
        <f t="shared" si="63"/>
        <v>0</v>
      </c>
      <c r="K275" s="8"/>
      <c r="L275" s="6"/>
      <c r="M275" s="6"/>
      <c r="N275" s="6"/>
      <c r="O275" s="6"/>
      <c r="P275" s="56">
        <f t="shared" si="57"/>
        <v>0</v>
      </c>
      <c r="Q275" s="6"/>
      <c r="R275" s="6"/>
      <c r="S275" s="6"/>
      <c r="T275" s="202"/>
      <c r="U275" s="56">
        <f t="shared" si="60"/>
        <v>0</v>
      </c>
      <c r="V275" s="56">
        <f t="shared" si="61"/>
        <v>0</v>
      </c>
      <c r="W275" s="6"/>
      <c r="X275" s="6"/>
      <c r="Y275" s="6"/>
      <c r="Z275" s="6"/>
      <c r="AA275" s="6"/>
      <c r="AB275" s="56">
        <f t="shared" si="58"/>
        <v>0</v>
      </c>
      <c r="AC275" s="6"/>
      <c r="AD275" s="6"/>
      <c r="AE275" s="6"/>
      <c r="AF275" s="202"/>
      <c r="AG275" s="16">
        <f t="shared" si="64"/>
        <v>0</v>
      </c>
    </row>
    <row r="276" spans="7:33" x14ac:dyDescent="0.15">
      <c r="G276" s="206" t="s">
        <v>897</v>
      </c>
      <c r="H276" s="4" t="s">
        <v>542</v>
      </c>
      <c r="I276" s="45">
        <f t="shared" ref="I276" si="69">J276+P276</f>
        <v>0</v>
      </c>
      <c r="J276" s="45">
        <f t="shared" ref="J276" si="70">SUM(K276:O276)</f>
        <v>0</v>
      </c>
      <c r="K276" s="8"/>
      <c r="L276" s="6"/>
      <c r="M276" s="6"/>
      <c r="N276" s="6"/>
      <c r="O276" s="6"/>
      <c r="P276" s="56">
        <f t="shared" si="57"/>
        <v>0</v>
      </c>
      <c r="Q276" s="6"/>
      <c r="R276" s="6"/>
      <c r="S276" s="6"/>
      <c r="T276" s="202"/>
      <c r="U276" s="56">
        <f t="shared" si="60"/>
        <v>0</v>
      </c>
      <c r="V276" s="56">
        <f t="shared" si="61"/>
        <v>0</v>
      </c>
      <c r="W276" s="6"/>
      <c r="X276" s="6"/>
      <c r="Y276" s="6"/>
      <c r="Z276" s="6"/>
      <c r="AA276" s="6"/>
      <c r="AB276" s="56">
        <f t="shared" si="58"/>
        <v>0</v>
      </c>
      <c r="AC276" s="6"/>
      <c r="AD276" s="6"/>
      <c r="AE276" s="6"/>
      <c r="AF276" s="202"/>
      <c r="AG276" s="16">
        <f t="shared" ref="AG276" si="71">SUM(I276:AF276)</f>
        <v>0</v>
      </c>
    </row>
    <row r="277" spans="7:33" x14ac:dyDescent="0.15">
      <c r="G277" s="205" t="s">
        <v>537</v>
      </c>
      <c r="H277" s="4" t="s">
        <v>544</v>
      </c>
      <c r="I277" s="45">
        <f t="shared" si="62"/>
        <v>0</v>
      </c>
      <c r="J277" s="45">
        <f t="shared" si="63"/>
        <v>0</v>
      </c>
      <c r="K277" s="8"/>
      <c r="L277" s="6"/>
      <c r="M277" s="6"/>
      <c r="N277" s="6"/>
      <c r="O277" s="6"/>
      <c r="P277" s="56">
        <f t="shared" si="57"/>
        <v>0</v>
      </c>
      <c r="Q277" s="6"/>
      <c r="R277" s="6"/>
      <c r="S277" s="6"/>
      <c r="T277" s="202"/>
      <c r="U277" s="56">
        <f t="shared" si="60"/>
        <v>0</v>
      </c>
      <c r="V277" s="56">
        <f t="shared" si="61"/>
        <v>0</v>
      </c>
      <c r="W277" s="6"/>
      <c r="X277" s="6"/>
      <c r="Y277" s="6"/>
      <c r="Z277" s="6"/>
      <c r="AA277" s="6"/>
      <c r="AB277" s="56">
        <f t="shared" si="58"/>
        <v>0</v>
      </c>
      <c r="AC277" s="6"/>
      <c r="AD277" s="6"/>
      <c r="AE277" s="6"/>
      <c r="AF277" s="202"/>
      <c r="AG277" s="16">
        <f t="shared" si="64"/>
        <v>0</v>
      </c>
    </row>
    <row r="278" spans="7:33" ht="21" x14ac:dyDescent="0.15">
      <c r="G278" s="205" t="s">
        <v>539</v>
      </c>
      <c r="H278" s="53" t="s">
        <v>546</v>
      </c>
      <c r="I278" s="45">
        <f t="shared" si="62"/>
        <v>0</v>
      </c>
      <c r="J278" s="45">
        <f t="shared" si="63"/>
        <v>0</v>
      </c>
      <c r="K278" s="48">
        <f t="shared" ref="K278:AF278" si="72">SUM(K279:K283)</f>
        <v>0</v>
      </c>
      <c r="L278" s="48">
        <f t="shared" si="72"/>
        <v>0</v>
      </c>
      <c r="M278" s="48">
        <f t="shared" si="72"/>
        <v>0</v>
      </c>
      <c r="N278" s="48">
        <f t="shared" si="72"/>
        <v>0</v>
      </c>
      <c r="O278" s="48">
        <f t="shared" si="72"/>
        <v>0</v>
      </c>
      <c r="P278" s="56">
        <f t="shared" si="57"/>
        <v>0</v>
      </c>
      <c r="Q278" s="48">
        <f t="shared" si="72"/>
        <v>0</v>
      </c>
      <c r="R278" s="48">
        <f t="shared" si="72"/>
        <v>0</v>
      </c>
      <c r="S278" s="48">
        <f t="shared" si="72"/>
        <v>0</v>
      </c>
      <c r="T278" s="48">
        <f t="shared" si="72"/>
        <v>0</v>
      </c>
      <c r="U278" s="56">
        <f t="shared" si="60"/>
        <v>0</v>
      </c>
      <c r="V278" s="56">
        <f t="shared" si="61"/>
        <v>0</v>
      </c>
      <c r="W278" s="48">
        <f t="shared" si="72"/>
        <v>0</v>
      </c>
      <c r="X278" s="48">
        <f t="shared" si="72"/>
        <v>0</v>
      </c>
      <c r="Y278" s="48">
        <f t="shared" si="72"/>
        <v>0</v>
      </c>
      <c r="Z278" s="48">
        <f t="shared" si="72"/>
        <v>0</v>
      </c>
      <c r="AA278" s="48">
        <f t="shared" si="72"/>
        <v>0</v>
      </c>
      <c r="AB278" s="56">
        <f t="shared" si="58"/>
        <v>0</v>
      </c>
      <c r="AC278" s="48">
        <f t="shared" si="72"/>
        <v>0</v>
      </c>
      <c r="AD278" s="48">
        <f t="shared" si="72"/>
        <v>0</v>
      </c>
      <c r="AE278" s="48">
        <f t="shared" si="72"/>
        <v>0</v>
      </c>
      <c r="AF278" s="48">
        <f t="shared" si="72"/>
        <v>0</v>
      </c>
      <c r="AG278" s="16">
        <f t="shared" si="64"/>
        <v>0</v>
      </c>
    </row>
    <row r="279" spans="7:33" ht="21" x14ac:dyDescent="0.15">
      <c r="G279" s="206" t="s">
        <v>541</v>
      </c>
      <c r="H279" s="4" t="s">
        <v>548</v>
      </c>
      <c r="I279" s="45">
        <f t="shared" si="62"/>
        <v>0</v>
      </c>
      <c r="J279" s="45">
        <f t="shared" si="63"/>
        <v>0</v>
      </c>
      <c r="K279" s="8"/>
      <c r="L279" s="6"/>
      <c r="M279" s="6"/>
      <c r="N279" s="6"/>
      <c r="O279" s="6"/>
      <c r="P279" s="56">
        <f t="shared" si="57"/>
        <v>0</v>
      </c>
      <c r="Q279" s="6"/>
      <c r="R279" s="6"/>
      <c r="S279" s="6"/>
      <c r="T279" s="202"/>
      <c r="U279" s="56">
        <f t="shared" si="60"/>
        <v>0</v>
      </c>
      <c r="V279" s="56">
        <f t="shared" si="61"/>
        <v>0</v>
      </c>
      <c r="W279" s="6"/>
      <c r="X279" s="6"/>
      <c r="Y279" s="6"/>
      <c r="Z279" s="6"/>
      <c r="AA279" s="6"/>
      <c r="AB279" s="56">
        <f t="shared" si="58"/>
        <v>0</v>
      </c>
      <c r="AC279" s="6"/>
      <c r="AD279" s="6"/>
      <c r="AE279" s="6"/>
      <c r="AF279" s="202"/>
      <c r="AG279" s="16">
        <f t="shared" si="64"/>
        <v>0</v>
      </c>
    </row>
    <row r="280" spans="7:33" x14ac:dyDescent="0.15">
      <c r="G280" s="206" t="s">
        <v>543</v>
      </c>
      <c r="H280" s="4" t="s">
        <v>549</v>
      </c>
      <c r="I280" s="45">
        <f t="shared" si="62"/>
        <v>0</v>
      </c>
      <c r="J280" s="45">
        <f t="shared" si="63"/>
        <v>0</v>
      </c>
      <c r="K280" s="8"/>
      <c r="L280" s="6"/>
      <c r="M280" s="6"/>
      <c r="N280" s="6"/>
      <c r="O280" s="6"/>
      <c r="P280" s="56">
        <f t="shared" si="57"/>
        <v>0</v>
      </c>
      <c r="Q280" s="6"/>
      <c r="R280" s="6"/>
      <c r="S280" s="6"/>
      <c r="T280" s="202"/>
      <c r="U280" s="56">
        <f t="shared" si="60"/>
        <v>0</v>
      </c>
      <c r="V280" s="56">
        <f t="shared" si="61"/>
        <v>0</v>
      </c>
      <c r="W280" s="6"/>
      <c r="X280" s="6"/>
      <c r="Y280" s="6"/>
      <c r="Z280" s="6"/>
      <c r="AA280" s="6"/>
      <c r="AB280" s="56">
        <f t="shared" si="58"/>
        <v>0</v>
      </c>
      <c r="AC280" s="6"/>
      <c r="AD280" s="6"/>
      <c r="AE280" s="6"/>
      <c r="AF280" s="202"/>
      <c r="AG280" s="16">
        <f t="shared" si="64"/>
        <v>0</v>
      </c>
    </row>
    <row r="281" spans="7:33" x14ac:dyDescent="0.15">
      <c r="G281" s="206" t="s">
        <v>545</v>
      </c>
      <c r="H281" s="53" t="s">
        <v>551</v>
      </c>
      <c r="I281" s="45">
        <f t="shared" si="62"/>
        <v>0</v>
      </c>
      <c r="J281" s="45">
        <f t="shared" si="63"/>
        <v>0</v>
      </c>
      <c r="K281" s="8"/>
      <c r="L281" s="6"/>
      <c r="M281" s="6"/>
      <c r="N281" s="6"/>
      <c r="O281" s="6"/>
      <c r="P281" s="56">
        <f t="shared" si="57"/>
        <v>0</v>
      </c>
      <c r="Q281" s="6"/>
      <c r="R281" s="6"/>
      <c r="S281" s="6"/>
      <c r="T281" s="202"/>
      <c r="U281" s="56">
        <f t="shared" si="60"/>
        <v>0</v>
      </c>
      <c r="V281" s="56">
        <f t="shared" si="61"/>
        <v>0</v>
      </c>
      <c r="W281" s="6"/>
      <c r="X281" s="6"/>
      <c r="Y281" s="6"/>
      <c r="Z281" s="6"/>
      <c r="AA281" s="6"/>
      <c r="AB281" s="56">
        <f t="shared" si="58"/>
        <v>0</v>
      </c>
      <c r="AC281" s="6"/>
      <c r="AD281" s="6"/>
      <c r="AE281" s="6"/>
      <c r="AF281" s="202"/>
      <c r="AG281" s="16">
        <f t="shared" si="64"/>
        <v>0</v>
      </c>
    </row>
    <row r="282" spans="7:33" x14ac:dyDescent="0.15">
      <c r="G282" s="206" t="s">
        <v>547</v>
      </c>
      <c r="H282" s="4" t="s">
        <v>553</v>
      </c>
      <c r="I282" s="45">
        <f t="shared" si="62"/>
        <v>0</v>
      </c>
      <c r="J282" s="45">
        <f t="shared" si="63"/>
        <v>0</v>
      </c>
      <c r="K282" s="8"/>
      <c r="L282" s="6"/>
      <c r="M282" s="6"/>
      <c r="N282" s="6"/>
      <c r="O282" s="6"/>
      <c r="P282" s="56">
        <f t="shared" si="57"/>
        <v>0</v>
      </c>
      <c r="Q282" s="6"/>
      <c r="R282" s="6"/>
      <c r="S282" s="6"/>
      <c r="T282" s="202"/>
      <c r="U282" s="56">
        <f t="shared" si="60"/>
        <v>0</v>
      </c>
      <c r="V282" s="56">
        <f t="shared" si="61"/>
        <v>0</v>
      </c>
      <c r="W282" s="6"/>
      <c r="X282" s="6"/>
      <c r="Y282" s="6"/>
      <c r="Z282" s="6"/>
      <c r="AA282" s="6"/>
      <c r="AB282" s="56">
        <f t="shared" si="58"/>
        <v>0</v>
      </c>
      <c r="AC282" s="6"/>
      <c r="AD282" s="6"/>
      <c r="AE282" s="6"/>
      <c r="AF282" s="202"/>
      <c r="AG282" s="16">
        <f t="shared" si="64"/>
        <v>0</v>
      </c>
    </row>
    <row r="283" spans="7:33" x14ac:dyDescent="0.15">
      <c r="G283" s="206" t="s">
        <v>864</v>
      </c>
      <c r="H283" s="4" t="s">
        <v>555</v>
      </c>
      <c r="I283" s="45">
        <f t="shared" si="62"/>
        <v>0</v>
      </c>
      <c r="J283" s="45">
        <f t="shared" si="63"/>
        <v>0</v>
      </c>
      <c r="K283" s="8"/>
      <c r="L283" s="6"/>
      <c r="M283" s="6"/>
      <c r="N283" s="6"/>
      <c r="O283" s="6"/>
      <c r="P283" s="56">
        <f t="shared" si="57"/>
        <v>0</v>
      </c>
      <c r="Q283" s="6"/>
      <c r="R283" s="6"/>
      <c r="S283" s="6"/>
      <c r="T283" s="202"/>
      <c r="U283" s="56">
        <f t="shared" si="60"/>
        <v>0</v>
      </c>
      <c r="V283" s="56">
        <f t="shared" si="61"/>
        <v>0</v>
      </c>
      <c r="W283" s="6"/>
      <c r="X283" s="6"/>
      <c r="Y283" s="6"/>
      <c r="Z283" s="6"/>
      <c r="AA283" s="6"/>
      <c r="AB283" s="56">
        <f t="shared" si="58"/>
        <v>0</v>
      </c>
      <c r="AC283" s="6"/>
      <c r="AD283" s="6"/>
      <c r="AE283" s="6"/>
      <c r="AF283" s="202"/>
      <c r="AG283" s="16">
        <f t="shared" si="64"/>
        <v>0</v>
      </c>
    </row>
    <row r="284" spans="7:33" x14ac:dyDescent="0.15">
      <c r="G284" s="205" t="s">
        <v>550</v>
      </c>
      <c r="H284" s="53" t="s">
        <v>557</v>
      </c>
      <c r="I284" s="45">
        <f t="shared" si="62"/>
        <v>0</v>
      </c>
      <c r="J284" s="45">
        <f t="shared" si="63"/>
        <v>0</v>
      </c>
      <c r="K284" s="8"/>
      <c r="L284" s="6"/>
      <c r="M284" s="6"/>
      <c r="N284" s="6"/>
      <c r="O284" s="6"/>
      <c r="P284" s="56">
        <f t="shared" si="57"/>
        <v>0</v>
      </c>
      <c r="Q284" s="6"/>
      <c r="R284" s="6"/>
      <c r="S284" s="6"/>
      <c r="T284" s="202"/>
      <c r="U284" s="56">
        <f t="shared" si="60"/>
        <v>0</v>
      </c>
      <c r="V284" s="56">
        <f t="shared" si="61"/>
        <v>0</v>
      </c>
      <c r="W284" s="6"/>
      <c r="X284" s="6"/>
      <c r="Y284" s="6"/>
      <c r="Z284" s="6"/>
      <c r="AA284" s="6"/>
      <c r="AB284" s="56">
        <f t="shared" si="58"/>
        <v>0</v>
      </c>
      <c r="AC284" s="6"/>
      <c r="AD284" s="6"/>
      <c r="AE284" s="6"/>
      <c r="AF284" s="202"/>
      <c r="AG284" s="16">
        <f t="shared" si="64"/>
        <v>0</v>
      </c>
    </row>
    <row r="285" spans="7:33" x14ac:dyDescent="0.15">
      <c r="G285" s="205" t="s">
        <v>552</v>
      </c>
      <c r="H285" s="4" t="s">
        <v>559</v>
      </c>
      <c r="I285" s="45">
        <f t="shared" si="62"/>
        <v>0</v>
      </c>
      <c r="J285" s="45">
        <f t="shared" si="63"/>
        <v>0</v>
      </c>
      <c r="K285" s="8"/>
      <c r="L285" s="6"/>
      <c r="M285" s="6"/>
      <c r="N285" s="6"/>
      <c r="O285" s="6"/>
      <c r="P285" s="56">
        <f t="shared" si="57"/>
        <v>0</v>
      </c>
      <c r="Q285" s="6"/>
      <c r="R285" s="6"/>
      <c r="S285" s="6"/>
      <c r="T285" s="202"/>
      <c r="U285" s="56">
        <f t="shared" si="60"/>
        <v>0</v>
      </c>
      <c r="V285" s="56">
        <f t="shared" si="61"/>
        <v>0</v>
      </c>
      <c r="W285" s="6"/>
      <c r="X285" s="6"/>
      <c r="Y285" s="6"/>
      <c r="Z285" s="6"/>
      <c r="AA285" s="6"/>
      <c r="AB285" s="56">
        <f t="shared" si="58"/>
        <v>0</v>
      </c>
      <c r="AC285" s="6"/>
      <c r="AD285" s="6"/>
      <c r="AE285" s="6"/>
      <c r="AF285" s="202"/>
      <c r="AG285" s="16">
        <f t="shared" si="64"/>
        <v>0</v>
      </c>
    </row>
    <row r="286" spans="7:33" x14ac:dyDescent="0.15">
      <c r="G286" s="205" t="s">
        <v>554</v>
      </c>
      <c r="H286" s="4" t="s">
        <v>560</v>
      </c>
      <c r="I286" s="45">
        <f t="shared" si="62"/>
        <v>0</v>
      </c>
      <c r="J286" s="45">
        <f t="shared" si="63"/>
        <v>0</v>
      </c>
      <c r="K286" s="8"/>
      <c r="L286" s="6"/>
      <c r="M286" s="6"/>
      <c r="N286" s="6"/>
      <c r="O286" s="6"/>
      <c r="P286" s="56">
        <f t="shared" si="57"/>
        <v>0</v>
      </c>
      <c r="Q286" s="6"/>
      <c r="R286" s="6"/>
      <c r="S286" s="6"/>
      <c r="T286" s="202"/>
      <c r="U286" s="56">
        <f t="shared" si="60"/>
        <v>0</v>
      </c>
      <c r="V286" s="56">
        <f t="shared" si="61"/>
        <v>0</v>
      </c>
      <c r="W286" s="6"/>
      <c r="X286" s="6"/>
      <c r="Y286" s="6"/>
      <c r="Z286" s="6"/>
      <c r="AA286" s="6"/>
      <c r="AB286" s="56">
        <f t="shared" si="58"/>
        <v>0</v>
      </c>
      <c r="AC286" s="6"/>
      <c r="AD286" s="6"/>
      <c r="AE286" s="6"/>
      <c r="AF286" s="202"/>
      <c r="AG286" s="16">
        <f t="shared" si="64"/>
        <v>0</v>
      </c>
    </row>
    <row r="287" spans="7:33" x14ac:dyDescent="0.15">
      <c r="G287" s="205" t="s">
        <v>556</v>
      </c>
      <c r="H287" s="53" t="s">
        <v>562</v>
      </c>
      <c r="I287" s="45">
        <f t="shared" si="62"/>
        <v>0</v>
      </c>
      <c r="J287" s="45">
        <f t="shared" si="63"/>
        <v>0</v>
      </c>
      <c r="K287" s="46">
        <f t="shared" ref="K287:AF287" si="73">SUM(K288:K293)</f>
        <v>0</v>
      </c>
      <c r="L287" s="46">
        <f t="shared" si="73"/>
        <v>0</v>
      </c>
      <c r="M287" s="46">
        <f t="shared" si="73"/>
        <v>0</v>
      </c>
      <c r="N287" s="46">
        <f t="shared" si="73"/>
        <v>0</v>
      </c>
      <c r="O287" s="46">
        <f t="shared" si="73"/>
        <v>0</v>
      </c>
      <c r="P287" s="56">
        <f t="shared" si="57"/>
        <v>0</v>
      </c>
      <c r="Q287" s="46">
        <f t="shared" si="73"/>
        <v>0</v>
      </c>
      <c r="R287" s="46">
        <f t="shared" si="73"/>
        <v>0</v>
      </c>
      <c r="S287" s="46">
        <f t="shared" si="73"/>
        <v>0</v>
      </c>
      <c r="T287" s="46">
        <f t="shared" si="73"/>
        <v>0</v>
      </c>
      <c r="U287" s="56">
        <f t="shared" si="60"/>
        <v>0</v>
      </c>
      <c r="V287" s="56">
        <f t="shared" si="61"/>
        <v>0</v>
      </c>
      <c r="W287" s="46">
        <f t="shared" si="73"/>
        <v>0</v>
      </c>
      <c r="X287" s="46">
        <f t="shared" si="73"/>
        <v>0</v>
      </c>
      <c r="Y287" s="46">
        <f t="shared" si="73"/>
        <v>0</v>
      </c>
      <c r="Z287" s="46">
        <f t="shared" si="73"/>
        <v>0</v>
      </c>
      <c r="AA287" s="46">
        <f t="shared" si="73"/>
        <v>0</v>
      </c>
      <c r="AB287" s="56">
        <f t="shared" si="58"/>
        <v>0</v>
      </c>
      <c r="AC287" s="46">
        <f t="shared" si="73"/>
        <v>0</v>
      </c>
      <c r="AD287" s="46">
        <f t="shared" si="73"/>
        <v>0</v>
      </c>
      <c r="AE287" s="46">
        <f t="shared" si="73"/>
        <v>0</v>
      </c>
      <c r="AF287" s="46">
        <f t="shared" si="73"/>
        <v>0</v>
      </c>
      <c r="AG287" s="16">
        <f t="shared" si="64"/>
        <v>0</v>
      </c>
    </row>
    <row r="288" spans="7:33" ht="21" x14ac:dyDescent="0.15">
      <c r="G288" s="206" t="s">
        <v>558</v>
      </c>
      <c r="H288" s="4" t="s">
        <v>564</v>
      </c>
      <c r="I288" s="45">
        <f t="shared" si="62"/>
        <v>0</v>
      </c>
      <c r="J288" s="45">
        <f t="shared" si="63"/>
        <v>0</v>
      </c>
      <c r="K288" s="8"/>
      <c r="L288" s="6"/>
      <c r="M288" s="6"/>
      <c r="N288" s="6"/>
      <c r="O288" s="6"/>
      <c r="P288" s="56">
        <f t="shared" si="57"/>
        <v>0</v>
      </c>
      <c r="Q288" s="6"/>
      <c r="R288" s="6"/>
      <c r="S288" s="6"/>
      <c r="T288" s="202"/>
      <c r="U288" s="56">
        <f t="shared" si="60"/>
        <v>0</v>
      </c>
      <c r="V288" s="56">
        <f t="shared" si="61"/>
        <v>0</v>
      </c>
      <c r="W288" s="6"/>
      <c r="X288" s="6"/>
      <c r="Y288" s="6"/>
      <c r="Z288" s="6"/>
      <c r="AA288" s="6"/>
      <c r="AB288" s="56">
        <f t="shared" si="58"/>
        <v>0</v>
      </c>
      <c r="AC288" s="6"/>
      <c r="AD288" s="6"/>
      <c r="AE288" s="6"/>
      <c r="AF288" s="202"/>
      <c r="AG288" s="16">
        <f t="shared" si="64"/>
        <v>0</v>
      </c>
    </row>
    <row r="289" spans="7:33" x14ac:dyDescent="0.15">
      <c r="G289" s="206" t="s">
        <v>416</v>
      </c>
      <c r="H289" s="4" t="s">
        <v>565</v>
      </c>
      <c r="I289" s="45">
        <f t="shared" si="62"/>
        <v>0</v>
      </c>
      <c r="J289" s="45">
        <f t="shared" si="63"/>
        <v>0</v>
      </c>
      <c r="K289" s="8"/>
      <c r="L289" s="6"/>
      <c r="M289" s="6"/>
      <c r="N289" s="6"/>
      <c r="O289" s="6"/>
      <c r="P289" s="56">
        <f t="shared" si="57"/>
        <v>0</v>
      </c>
      <c r="Q289" s="6"/>
      <c r="R289" s="6"/>
      <c r="S289" s="6"/>
      <c r="T289" s="202"/>
      <c r="U289" s="56">
        <f t="shared" si="60"/>
        <v>0</v>
      </c>
      <c r="V289" s="56">
        <f t="shared" si="61"/>
        <v>0</v>
      </c>
      <c r="W289" s="6"/>
      <c r="X289" s="6"/>
      <c r="Y289" s="6"/>
      <c r="Z289" s="6"/>
      <c r="AA289" s="6"/>
      <c r="AB289" s="56">
        <f t="shared" si="58"/>
        <v>0</v>
      </c>
      <c r="AC289" s="6"/>
      <c r="AD289" s="6"/>
      <c r="AE289" s="6"/>
      <c r="AF289" s="202"/>
      <c r="AG289" s="16">
        <f t="shared" si="64"/>
        <v>0</v>
      </c>
    </row>
    <row r="290" spans="7:33" x14ac:dyDescent="0.15">
      <c r="G290" s="206" t="s">
        <v>561</v>
      </c>
      <c r="H290" s="53" t="s">
        <v>566</v>
      </c>
      <c r="I290" s="45">
        <f t="shared" si="62"/>
        <v>0</v>
      </c>
      <c r="J290" s="45">
        <f t="shared" si="63"/>
        <v>0</v>
      </c>
      <c r="K290" s="8"/>
      <c r="L290" s="6"/>
      <c r="M290" s="6"/>
      <c r="N290" s="6"/>
      <c r="O290" s="6"/>
      <c r="P290" s="56">
        <f t="shared" si="57"/>
        <v>0</v>
      </c>
      <c r="Q290" s="6"/>
      <c r="R290" s="6"/>
      <c r="S290" s="6"/>
      <c r="T290" s="202"/>
      <c r="U290" s="56">
        <f t="shared" si="60"/>
        <v>0</v>
      </c>
      <c r="V290" s="56">
        <f t="shared" si="61"/>
        <v>0</v>
      </c>
      <c r="W290" s="6"/>
      <c r="X290" s="6"/>
      <c r="Y290" s="6"/>
      <c r="Z290" s="6"/>
      <c r="AA290" s="6"/>
      <c r="AB290" s="56">
        <f t="shared" si="58"/>
        <v>0</v>
      </c>
      <c r="AC290" s="6"/>
      <c r="AD290" s="6"/>
      <c r="AE290" s="6"/>
      <c r="AF290" s="202"/>
      <c r="AG290" s="16">
        <f t="shared" si="64"/>
        <v>0</v>
      </c>
    </row>
    <row r="291" spans="7:33" x14ac:dyDescent="0.15">
      <c r="G291" s="206" t="s">
        <v>563</v>
      </c>
      <c r="H291" s="4" t="s">
        <v>568</v>
      </c>
      <c r="I291" s="45">
        <f t="shared" si="62"/>
        <v>0</v>
      </c>
      <c r="J291" s="45">
        <f t="shared" si="63"/>
        <v>0</v>
      </c>
      <c r="K291" s="8"/>
      <c r="L291" s="6"/>
      <c r="M291" s="6"/>
      <c r="N291" s="6"/>
      <c r="O291" s="6"/>
      <c r="P291" s="56">
        <f t="shared" si="57"/>
        <v>0</v>
      </c>
      <c r="Q291" s="6"/>
      <c r="R291" s="6"/>
      <c r="S291" s="6"/>
      <c r="T291" s="202"/>
      <c r="U291" s="56">
        <f t="shared" si="60"/>
        <v>0</v>
      </c>
      <c r="V291" s="56">
        <f t="shared" si="61"/>
        <v>0</v>
      </c>
      <c r="W291" s="6"/>
      <c r="X291" s="6"/>
      <c r="Y291" s="6"/>
      <c r="Z291" s="6"/>
      <c r="AA291" s="6"/>
      <c r="AB291" s="56">
        <f t="shared" si="58"/>
        <v>0</v>
      </c>
      <c r="AC291" s="6"/>
      <c r="AD291" s="6"/>
      <c r="AE291" s="6"/>
      <c r="AF291" s="202"/>
      <c r="AG291" s="16">
        <f t="shared" si="64"/>
        <v>0</v>
      </c>
    </row>
    <row r="292" spans="7:33" x14ac:dyDescent="0.15">
      <c r="G292" s="206" t="s">
        <v>414</v>
      </c>
      <c r="H292" s="4" t="s">
        <v>570</v>
      </c>
      <c r="I292" s="45">
        <f t="shared" si="62"/>
        <v>0</v>
      </c>
      <c r="J292" s="45">
        <f t="shared" si="63"/>
        <v>0</v>
      </c>
      <c r="K292" s="8"/>
      <c r="L292" s="6"/>
      <c r="M292" s="6"/>
      <c r="N292" s="6"/>
      <c r="O292" s="6"/>
      <c r="P292" s="56">
        <f t="shared" si="57"/>
        <v>0</v>
      </c>
      <c r="Q292" s="6"/>
      <c r="R292" s="6"/>
      <c r="S292" s="6"/>
      <c r="T292" s="202"/>
      <c r="U292" s="56">
        <f t="shared" si="60"/>
        <v>0</v>
      </c>
      <c r="V292" s="56">
        <f t="shared" si="61"/>
        <v>0</v>
      </c>
      <c r="W292" s="6"/>
      <c r="X292" s="6"/>
      <c r="Y292" s="6"/>
      <c r="Z292" s="6"/>
      <c r="AA292" s="6"/>
      <c r="AB292" s="56">
        <f t="shared" si="58"/>
        <v>0</v>
      </c>
      <c r="AC292" s="6"/>
      <c r="AD292" s="6"/>
      <c r="AE292" s="6"/>
      <c r="AF292" s="202"/>
      <c r="AG292" s="16">
        <f t="shared" si="64"/>
        <v>0</v>
      </c>
    </row>
    <row r="293" spans="7:33" x14ac:dyDescent="0.15">
      <c r="G293" s="206" t="s">
        <v>418</v>
      </c>
      <c r="H293" s="53" t="s">
        <v>571</v>
      </c>
      <c r="I293" s="45">
        <f t="shared" si="62"/>
        <v>0</v>
      </c>
      <c r="J293" s="45">
        <f t="shared" si="63"/>
        <v>0</v>
      </c>
      <c r="K293" s="8"/>
      <c r="L293" s="6"/>
      <c r="M293" s="6"/>
      <c r="N293" s="6"/>
      <c r="O293" s="6"/>
      <c r="P293" s="56">
        <f t="shared" si="57"/>
        <v>0</v>
      </c>
      <c r="Q293" s="6"/>
      <c r="R293" s="6"/>
      <c r="S293" s="6"/>
      <c r="T293" s="202"/>
      <c r="U293" s="56">
        <f t="shared" si="60"/>
        <v>0</v>
      </c>
      <c r="V293" s="56">
        <f t="shared" si="61"/>
        <v>0</v>
      </c>
      <c r="W293" s="6"/>
      <c r="X293" s="6"/>
      <c r="Y293" s="6"/>
      <c r="Z293" s="6"/>
      <c r="AA293" s="6"/>
      <c r="AB293" s="56">
        <f t="shared" si="58"/>
        <v>0</v>
      </c>
      <c r="AC293" s="6"/>
      <c r="AD293" s="6"/>
      <c r="AE293" s="6"/>
      <c r="AF293" s="202"/>
      <c r="AG293" s="16">
        <f t="shared" si="64"/>
        <v>0</v>
      </c>
    </row>
    <row r="294" spans="7:33" x14ac:dyDescent="0.15">
      <c r="G294" s="205" t="s">
        <v>567</v>
      </c>
      <c r="H294" s="4" t="s">
        <v>573</v>
      </c>
      <c r="I294" s="45">
        <f t="shared" si="62"/>
        <v>0</v>
      </c>
      <c r="J294" s="45">
        <f t="shared" si="63"/>
        <v>0</v>
      </c>
      <c r="K294" s="8"/>
      <c r="L294" s="6"/>
      <c r="M294" s="6"/>
      <c r="N294" s="6"/>
      <c r="O294" s="6"/>
      <c r="P294" s="56">
        <f t="shared" si="57"/>
        <v>0</v>
      </c>
      <c r="Q294" s="6"/>
      <c r="R294" s="6"/>
      <c r="S294" s="6"/>
      <c r="T294" s="202"/>
      <c r="U294" s="56">
        <f t="shared" si="60"/>
        <v>0</v>
      </c>
      <c r="V294" s="56">
        <f t="shared" si="61"/>
        <v>0</v>
      </c>
      <c r="W294" s="6"/>
      <c r="X294" s="6"/>
      <c r="Y294" s="6"/>
      <c r="Z294" s="6"/>
      <c r="AA294" s="6"/>
      <c r="AB294" s="56">
        <f t="shared" si="58"/>
        <v>0</v>
      </c>
      <c r="AC294" s="6"/>
      <c r="AD294" s="6"/>
      <c r="AE294" s="6"/>
      <c r="AF294" s="202"/>
      <c r="AG294" s="16">
        <f t="shared" si="64"/>
        <v>0</v>
      </c>
    </row>
    <row r="295" spans="7:33" x14ac:dyDescent="0.15">
      <c r="G295" s="205" t="s">
        <v>569</v>
      </c>
      <c r="H295" s="4" t="s">
        <v>575</v>
      </c>
      <c r="I295" s="45">
        <f t="shared" si="62"/>
        <v>0</v>
      </c>
      <c r="J295" s="45">
        <f t="shared" si="63"/>
        <v>0</v>
      </c>
      <c r="K295" s="46">
        <f t="shared" ref="K295:AF295" si="74">SUM(K296:K301)</f>
        <v>0</v>
      </c>
      <c r="L295" s="46">
        <f t="shared" si="74"/>
        <v>0</v>
      </c>
      <c r="M295" s="46">
        <f t="shared" si="74"/>
        <v>0</v>
      </c>
      <c r="N295" s="46">
        <f t="shared" si="74"/>
        <v>0</v>
      </c>
      <c r="O295" s="46">
        <f t="shared" si="74"/>
        <v>0</v>
      </c>
      <c r="P295" s="56">
        <f t="shared" si="57"/>
        <v>0</v>
      </c>
      <c r="Q295" s="46">
        <f t="shared" si="74"/>
        <v>0</v>
      </c>
      <c r="R295" s="46">
        <f t="shared" si="74"/>
        <v>0</v>
      </c>
      <c r="S295" s="46">
        <f t="shared" si="74"/>
        <v>0</v>
      </c>
      <c r="T295" s="46">
        <f t="shared" si="74"/>
        <v>0</v>
      </c>
      <c r="U295" s="56">
        <f t="shared" si="60"/>
        <v>0</v>
      </c>
      <c r="V295" s="56">
        <f t="shared" si="61"/>
        <v>0</v>
      </c>
      <c r="W295" s="46">
        <f t="shared" si="74"/>
        <v>0</v>
      </c>
      <c r="X295" s="46">
        <f t="shared" si="74"/>
        <v>0</v>
      </c>
      <c r="Y295" s="46">
        <f t="shared" si="74"/>
        <v>0</v>
      </c>
      <c r="Z295" s="46">
        <f t="shared" si="74"/>
        <v>0</v>
      </c>
      <c r="AA295" s="46">
        <f t="shared" si="74"/>
        <v>0</v>
      </c>
      <c r="AB295" s="56">
        <f t="shared" si="58"/>
        <v>0</v>
      </c>
      <c r="AC295" s="46">
        <f t="shared" si="74"/>
        <v>0</v>
      </c>
      <c r="AD295" s="46">
        <f t="shared" si="74"/>
        <v>0</v>
      </c>
      <c r="AE295" s="46">
        <f t="shared" si="74"/>
        <v>0</v>
      </c>
      <c r="AF295" s="46">
        <f t="shared" si="74"/>
        <v>0</v>
      </c>
      <c r="AG295" s="16">
        <f t="shared" si="64"/>
        <v>0</v>
      </c>
    </row>
    <row r="296" spans="7:33" ht="21" x14ac:dyDescent="0.15">
      <c r="G296" s="206" t="s">
        <v>871</v>
      </c>
      <c r="H296" s="53" t="s">
        <v>577</v>
      </c>
      <c r="I296" s="45">
        <f t="shared" si="62"/>
        <v>0</v>
      </c>
      <c r="J296" s="45">
        <f t="shared" si="63"/>
        <v>0</v>
      </c>
      <c r="K296" s="8"/>
      <c r="L296" s="6"/>
      <c r="M296" s="6"/>
      <c r="N296" s="6"/>
      <c r="O296" s="6"/>
      <c r="P296" s="56">
        <f t="shared" si="57"/>
        <v>0</v>
      </c>
      <c r="Q296" s="6"/>
      <c r="R296" s="6"/>
      <c r="S296" s="6"/>
      <c r="T296" s="202"/>
      <c r="U296" s="56">
        <f t="shared" si="60"/>
        <v>0</v>
      </c>
      <c r="V296" s="56">
        <f t="shared" si="61"/>
        <v>0</v>
      </c>
      <c r="W296" s="6"/>
      <c r="X296" s="6"/>
      <c r="Y296" s="6"/>
      <c r="Z296" s="6"/>
      <c r="AA296" s="6"/>
      <c r="AB296" s="56">
        <f t="shared" si="58"/>
        <v>0</v>
      </c>
      <c r="AC296" s="6"/>
      <c r="AD296" s="6"/>
      <c r="AE296" s="6"/>
      <c r="AF296" s="202"/>
      <c r="AG296" s="16">
        <f t="shared" si="64"/>
        <v>0</v>
      </c>
    </row>
    <row r="297" spans="7:33" x14ac:dyDescent="0.15">
      <c r="G297" s="206" t="s">
        <v>572</v>
      </c>
      <c r="H297" s="4" t="s">
        <v>579</v>
      </c>
      <c r="I297" s="45">
        <f t="shared" si="62"/>
        <v>0</v>
      </c>
      <c r="J297" s="45">
        <f t="shared" si="63"/>
        <v>0</v>
      </c>
      <c r="K297" s="8"/>
      <c r="L297" s="6"/>
      <c r="M297" s="6"/>
      <c r="N297" s="6"/>
      <c r="O297" s="6"/>
      <c r="P297" s="56">
        <f t="shared" si="57"/>
        <v>0</v>
      </c>
      <c r="Q297" s="6"/>
      <c r="R297" s="6"/>
      <c r="S297" s="6"/>
      <c r="T297" s="202"/>
      <c r="U297" s="56">
        <f t="shared" si="60"/>
        <v>0</v>
      </c>
      <c r="V297" s="56">
        <f t="shared" si="61"/>
        <v>0</v>
      </c>
      <c r="W297" s="6"/>
      <c r="X297" s="6"/>
      <c r="Y297" s="6"/>
      <c r="Z297" s="6"/>
      <c r="AA297" s="6"/>
      <c r="AB297" s="56">
        <f t="shared" si="58"/>
        <v>0</v>
      </c>
      <c r="AC297" s="6"/>
      <c r="AD297" s="6"/>
      <c r="AE297" s="6"/>
      <c r="AF297" s="202"/>
      <c r="AG297" s="16">
        <f t="shared" si="64"/>
        <v>0</v>
      </c>
    </row>
    <row r="298" spans="7:33" x14ac:dyDescent="0.15">
      <c r="G298" s="206" t="s">
        <v>574</v>
      </c>
      <c r="H298" s="4" t="s">
        <v>581</v>
      </c>
      <c r="I298" s="45">
        <f t="shared" si="62"/>
        <v>0</v>
      </c>
      <c r="J298" s="45">
        <f t="shared" si="63"/>
        <v>0</v>
      </c>
      <c r="K298" s="8"/>
      <c r="L298" s="6"/>
      <c r="M298" s="6"/>
      <c r="N298" s="6"/>
      <c r="O298" s="6"/>
      <c r="P298" s="56">
        <f t="shared" si="57"/>
        <v>0</v>
      </c>
      <c r="Q298" s="6"/>
      <c r="R298" s="6"/>
      <c r="S298" s="6"/>
      <c r="T298" s="202"/>
      <c r="U298" s="56">
        <f t="shared" si="60"/>
        <v>0</v>
      </c>
      <c r="V298" s="56">
        <f t="shared" si="61"/>
        <v>0</v>
      </c>
      <c r="W298" s="6"/>
      <c r="X298" s="6"/>
      <c r="Y298" s="6"/>
      <c r="Z298" s="6"/>
      <c r="AA298" s="6"/>
      <c r="AB298" s="56">
        <f t="shared" si="58"/>
        <v>0</v>
      </c>
      <c r="AC298" s="6"/>
      <c r="AD298" s="6"/>
      <c r="AE298" s="6"/>
      <c r="AF298" s="202"/>
      <c r="AG298" s="16">
        <f t="shared" si="64"/>
        <v>0</v>
      </c>
    </row>
    <row r="299" spans="7:33" x14ac:dyDescent="0.15">
      <c r="G299" s="206" t="s">
        <v>576</v>
      </c>
      <c r="H299" s="53" t="s">
        <v>583</v>
      </c>
      <c r="I299" s="45">
        <f t="shared" si="62"/>
        <v>0</v>
      </c>
      <c r="J299" s="45">
        <f t="shared" si="63"/>
        <v>0</v>
      </c>
      <c r="K299" s="8"/>
      <c r="L299" s="6"/>
      <c r="M299" s="6"/>
      <c r="N299" s="6"/>
      <c r="O299" s="6"/>
      <c r="P299" s="56">
        <f t="shared" si="57"/>
        <v>0</v>
      </c>
      <c r="Q299" s="6"/>
      <c r="R299" s="6"/>
      <c r="S299" s="6"/>
      <c r="T299" s="202"/>
      <c r="U299" s="56">
        <f t="shared" si="60"/>
        <v>0</v>
      </c>
      <c r="V299" s="56">
        <f t="shared" si="61"/>
        <v>0</v>
      </c>
      <c r="W299" s="6"/>
      <c r="X299" s="6"/>
      <c r="Y299" s="6"/>
      <c r="Z299" s="6"/>
      <c r="AA299" s="6"/>
      <c r="AB299" s="56">
        <f t="shared" si="58"/>
        <v>0</v>
      </c>
      <c r="AC299" s="6"/>
      <c r="AD299" s="6"/>
      <c r="AE299" s="6"/>
      <c r="AF299" s="202"/>
      <c r="AG299" s="16">
        <f t="shared" si="64"/>
        <v>0</v>
      </c>
    </row>
    <row r="300" spans="7:33" x14ac:dyDescent="0.15">
      <c r="G300" s="206" t="s">
        <v>578</v>
      </c>
      <c r="H300" s="4" t="s">
        <v>585</v>
      </c>
      <c r="I300" s="45">
        <f t="shared" si="62"/>
        <v>0</v>
      </c>
      <c r="J300" s="45">
        <f t="shared" si="63"/>
        <v>0</v>
      </c>
      <c r="K300" s="8"/>
      <c r="L300" s="6"/>
      <c r="M300" s="6"/>
      <c r="N300" s="6"/>
      <c r="O300" s="6"/>
      <c r="P300" s="56">
        <f t="shared" si="57"/>
        <v>0</v>
      </c>
      <c r="Q300" s="6"/>
      <c r="R300" s="6"/>
      <c r="S300" s="6"/>
      <c r="T300" s="202"/>
      <c r="U300" s="56">
        <f t="shared" si="60"/>
        <v>0</v>
      </c>
      <c r="V300" s="56">
        <f t="shared" si="61"/>
        <v>0</v>
      </c>
      <c r="W300" s="6"/>
      <c r="X300" s="6"/>
      <c r="Y300" s="6"/>
      <c r="Z300" s="6"/>
      <c r="AA300" s="6"/>
      <c r="AB300" s="56">
        <f t="shared" si="58"/>
        <v>0</v>
      </c>
      <c r="AC300" s="6"/>
      <c r="AD300" s="6"/>
      <c r="AE300" s="6"/>
      <c r="AF300" s="202"/>
      <c r="AG300" s="16">
        <f t="shared" si="64"/>
        <v>0</v>
      </c>
    </row>
    <row r="301" spans="7:33" x14ac:dyDescent="0.15">
      <c r="G301" s="206" t="s">
        <v>580</v>
      </c>
      <c r="H301" s="4" t="s">
        <v>587</v>
      </c>
      <c r="I301" s="45">
        <f t="shared" si="62"/>
        <v>0</v>
      </c>
      <c r="J301" s="45">
        <f t="shared" si="63"/>
        <v>0</v>
      </c>
      <c r="K301" s="8"/>
      <c r="L301" s="6"/>
      <c r="M301" s="6"/>
      <c r="N301" s="6"/>
      <c r="O301" s="6"/>
      <c r="P301" s="56">
        <f t="shared" si="57"/>
        <v>0</v>
      </c>
      <c r="Q301" s="6"/>
      <c r="R301" s="6"/>
      <c r="S301" s="6"/>
      <c r="T301" s="202"/>
      <c r="U301" s="56">
        <f t="shared" si="60"/>
        <v>0</v>
      </c>
      <c r="V301" s="56">
        <f t="shared" si="61"/>
        <v>0</v>
      </c>
      <c r="W301" s="6"/>
      <c r="X301" s="6"/>
      <c r="Y301" s="6"/>
      <c r="Z301" s="6"/>
      <c r="AA301" s="6"/>
      <c r="AB301" s="56">
        <f t="shared" si="58"/>
        <v>0</v>
      </c>
      <c r="AC301" s="6"/>
      <c r="AD301" s="6"/>
      <c r="AE301" s="6"/>
      <c r="AF301" s="202"/>
      <c r="AG301" s="16">
        <f t="shared" si="64"/>
        <v>0</v>
      </c>
    </row>
    <row r="302" spans="7:33" x14ac:dyDescent="0.15">
      <c r="G302" s="205" t="s">
        <v>582</v>
      </c>
      <c r="H302" s="53" t="s">
        <v>588</v>
      </c>
      <c r="I302" s="45">
        <f t="shared" si="62"/>
        <v>0</v>
      </c>
      <c r="J302" s="45">
        <f t="shared" si="63"/>
        <v>0</v>
      </c>
      <c r="K302" s="8"/>
      <c r="L302" s="6"/>
      <c r="M302" s="6"/>
      <c r="N302" s="6"/>
      <c r="O302" s="6"/>
      <c r="P302" s="56">
        <f t="shared" si="57"/>
        <v>0</v>
      </c>
      <c r="Q302" s="6"/>
      <c r="R302" s="6"/>
      <c r="S302" s="6"/>
      <c r="T302" s="202"/>
      <c r="U302" s="56">
        <f t="shared" si="60"/>
        <v>0</v>
      </c>
      <c r="V302" s="56">
        <f t="shared" si="61"/>
        <v>0</v>
      </c>
      <c r="W302" s="6"/>
      <c r="X302" s="6"/>
      <c r="Y302" s="6"/>
      <c r="Z302" s="6"/>
      <c r="AA302" s="6"/>
      <c r="AB302" s="56">
        <f t="shared" si="58"/>
        <v>0</v>
      </c>
      <c r="AC302" s="6"/>
      <c r="AD302" s="6"/>
      <c r="AE302" s="6"/>
      <c r="AF302" s="202"/>
      <c r="AG302" s="16">
        <f t="shared" si="64"/>
        <v>0</v>
      </c>
    </row>
    <row r="303" spans="7:33" x14ac:dyDescent="0.15">
      <c r="G303" s="205" t="s">
        <v>584</v>
      </c>
      <c r="H303" s="4" t="s">
        <v>590</v>
      </c>
      <c r="I303" s="45">
        <f t="shared" si="62"/>
        <v>0</v>
      </c>
      <c r="J303" s="45">
        <f t="shared" si="63"/>
        <v>0</v>
      </c>
      <c r="K303" s="8"/>
      <c r="L303" s="6"/>
      <c r="M303" s="6"/>
      <c r="N303" s="6"/>
      <c r="O303" s="6"/>
      <c r="P303" s="56">
        <f t="shared" si="57"/>
        <v>0</v>
      </c>
      <c r="Q303" s="6"/>
      <c r="R303" s="6"/>
      <c r="S303" s="6"/>
      <c r="T303" s="202"/>
      <c r="U303" s="56">
        <f t="shared" si="60"/>
        <v>0</v>
      </c>
      <c r="V303" s="56">
        <f t="shared" si="61"/>
        <v>0</v>
      </c>
      <c r="W303" s="6"/>
      <c r="X303" s="6"/>
      <c r="Y303" s="6"/>
      <c r="Z303" s="6"/>
      <c r="AA303" s="6"/>
      <c r="AB303" s="56">
        <f t="shared" si="58"/>
        <v>0</v>
      </c>
      <c r="AC303" s="6"/>
      <c r="AD303" s="6"/>
      <c r="AE303" s="6"/>
      <c r="AF303" s="202"/>
      <c r="AG303" s="16">
        <f t="shared" si="64"/>
        <v>0</v>
      </c>
    </row>
    <row r="304" spans="7:33" x14ac:dyDescent="0.15">
      <c r="G304" s="205" t="s">
        <v>586</v>
      </c>
      <c r="H304" s="4" t="s">
        <v>592</v>
      </c>
      <c r="I304" s="45">
        <f t="shared" si="62"/>
        <v>0</v>
      </c>
      <c r="J304" s="45">
        <f t="shared" si="63"/>
        <v>0</v>
      </c>
      <c r="K304" s="46">
        <f t="shared" ref="K304:AF304" si="75">SUM(K305:K309)</f>
        <v>0</v>
      </c>
      <c r="L304" s="46">
        <f t="shared" si="75"/>
        <v>0</v>
      </c>
      <c r="M304" s="46">
        <f t="shared" si="75"/>
        <v>0</v>
      </c>
      <c r="N304" s="46">
        <f t="shared" si="75"/>
        <v>0</v>
      </c>
      <c r="O304" s="46">
        <f t="shared" si="75"/>
        <v>0</v>
      </c>
      <c r="P304" s="56">
        <f t="shared" si="57"/>
        <v>0</v>
      </c>
      <c r="Q304" s="46">
        <f t="shared" si="75"/>
        <v>0</v>
      </c>
      <c r="R304" s="46">
        <f t="shared" si="75"/>
        <v>0</v>
      </c>
      <c r="S304" s="46">
        <f t="shared" si="75"/>
        <v>0</v>
      </c>
      <c r="T304" s="46">
        <f t="shared" si="75"/>
        <v>0</v>
      </c>
      <c r="U304" s="56">
        <f t="shared" si="60"/>
        <v>0</v>
      </c>
      <c r="V304" s="56">
        <f t="shared" si="61"/>
        <v>0</v>
      </c>
      <c r="W304" s="46">
        <f t="shared" si="75"/>
        <v>0</v>
      </c>
      <c r="X304" s="46">
        <f t="shared" si="75"/>
        <v>0</v>
      </c>
      <c r="Y304" s="46">
        <f t="shared" si="75"/>
        <v>0</v>
      </c>
      <c r="Z304" s="46">
        <f t="shared" si="75"/>
        <v>0</v>
      </c>
      <c r="AA304" s="46">
        <f t="shared" si="75"/>
        <v>0</v>
      </c>
      <c r="AB304" s="56">
        <f t="shared" si="58"/>
        <v>0</v>
      </c>
      <c r="AC304" s="46">
        <f t="shared" si="75"/>
        <v>0</v>
      </c>
      <c r="AD304" s="46">
        <f t="shared" si="75"/>
        <v>0</v>
      </c>
      <c r="AE304" s="46">
        <f t="shared" si="75"/>
        <v>0</v>
      </c>
      <c r="AF304" s="46">
        <f t="shared" si="75"/>
        <v>0</v>
      </c>
      <c r="AG304" s="16">
        <f t="shared" si="64"/>
        <v>0</v>
      </c>
    </row>
    <row r="305" spans="7:33" ht="21" x14ac:dyDescent="0.15">
      <c r="G305" s="206" t="s">
        <v>872</v>
      </c>
      <c r="H305" s="53" t="s">
        <v>594</v>
      </c>
      <c r="I305" s="45">
        <f t="shared" si="62"/>
        <v>0</v>
      </c>
      <c r="J305" s="45">
        <f t="shared" si="63"/>
        <v>0</v>
      </c>
      <c r="K305" s="8"/>
      <c r="L305" s="6"/>
      <c r="M305" s="6"/>
      <c r="N305" s="6"/>
      <c r="O305" s="6"/>
      <c r="P305" s="56">
        <f t="shared" si="57"/>
        <v>0</v>
      </c>
      <c r="Q305" s="6"/>
      <c r="R305" s="6"/>
      <c r="S305" s="6"/>
      <c r="T305" s="202"/>
      <c r="U305" s="56">
        <f t="shared" si="60"/>
        <v>0</v>
      </c>
      <c r="V305" s="56">
        <f t="shared" si="61"/>
        <v>0</v>
      </c>
      <c r="W305" s="6"/>
      <c r="X305" s="6"/>
      <c r="Y305" s="6"/>
      <c r="Z305" s="6"/>
      <c r="AA305" s="6"/>
      <c r="AB305" s="56">
        <f t="shared" si="58"/>
        <v>0</v>
      </c>
      <c r="AC305" s="6"/>
      <c r="AD305" s="6"/>
      <c r="AE305" s="6"/>
      <c r="AF305" s="202"/>
      <c r="AG305" s="16">
        <f t="shared" si="64"/>
        <v>0</v>
      </c>
    </row>
    <row r="306" spans="7:33" x14ac:dyDescent="0.15">
      <c r="G306" s="206" t="s">
        <v>589</v>
      </c>
      <c r="H306" s="4" t="s">
        <v>596</v>
      </c>
      <c r="I306" s="45">
        <f t="shared" si="62"/>
        <v>0</v>
      </c>
      <c r="J306" s="45">
        <f t="shared" si="63"/>
        <v>0</v>
      </c>
      <c r="K306" s="8"/>
      <c r="L306" s="6"/>
      <c r="M306" s="6"/>
      <c r="N306" s="6"/>
      <c r="O306" s="6"/>
      <c r="P306" s="56">
        <f t="shared" si="57"/>
        <v>0</v>
      </c>
      <c r="Q306" s="6"/>
      <c r="R306" s="6"/>
      <c r="S306" s="6"/>
      <c r="T306" s="202"/>
      <c r="U306" s="56">
        <f t="shared" si="60"/>
        <v>0</v>
      </c>
      <c r="V306" s="56">
        <f t="shared" si="61"/>
        <v>0</v>
      </c>
      <c r="W306" s="6"/>
      <c r="X306" s="6"/>
      <c r="Y306" s="6"/>
      <c r="Z306" s="6"/>
      <c r="AA306" s="6"/>
      <c r="AB306" s="56">
        <f t="shared" si="58"/>
        <v>0</v>
      </c>
      <c r="AC306" s="6"/>
      <c r="AD306" s="6"/>
      <c r="AE306" s="6"/>
      <c r="AF306" s="202"/>
      <c r="AG306" s="16">
        <f t="shared" si="64"/>
        <v>0</v>
      </c>
    </row>
    <row r="307" spans="7:33" x14ac:dyDescent="0.15">
      <c r="G307" s="206" t="s">
        <v>591</v>
      </c>
      <c r="H307" s="4" t="s">
        <v>598</v>
      </c>
      <c r="I307" s="45">
        <f t="shared" si="62"/>
        <v>0</v>
      </c>
      <c r="J307" s="45">
        <f t="shared" si="63"/>
        <v>0</v>
      </c>
      <c r="K307" s="8"/>
      <c r="L307" s="6"/>
      <c r="M307" s="6"/>
      <c r="N307" s="6"/>
      <c r="O307" s="6"/>
      <c r="P307" s="56">
        <f t="shared" si="57"/>
        <v>0</v>
      </c>
      <c r="Q307" s="6"/>
      <c r="R307" s="6"/>
      <c r="S307" s="6"/>
      <c r="T307" s="202"/>
      <c r="U307" s="56">
        <f t="shared" si="60"/>
        <v>0</v>
      </c>
      <c r="V307" s="56">
        <f t="shared" si="61"/>
        <v>0</v>
      </c>
      <c r="W307" s="6"/>
      <c r="X307" s="6"/>
      <c r="Y307" s="6"/>
      <c r="Z307" s="6"/>
      <c r="AA307" s="6"/>
      <c r="AB307" s="56">
        <f t="shared" si="58"/>
        <v>0</v>
      </c>
      <c r="AC307" s="6"/>
      <c r="AD307" s="6"/>
      <c r="AE307" s="6"/>
      <c r="AF307" s="202"/>
      <c r="AG307" s="16">
        <f t="shared" si="64"/>
        <v>0</v>
      </c>
    </row>
    <row r="308" spans="7:33" x14ac:dyDescent="0.15">
      <c r="G308" s="206" t="s">
        <v>593</v>
      </c>
      <c r="H308" s="53" t="s">
        <v>599</v>
      </c>
      <c r="I308" s="45">
        <f t="shared" si="62"/>
        <v>0</v>
      </c>
      <c r="J308" s="45">
        <f t="shared" si="63"/>
        <v>0</v>
      </c>
      <c r="K308" s="8"/>
      <c r="L308" s="6"/>
      <c r="M308" s="6"/>
      <c r="N308" s="6"/>
      <c r="O308" s="6"/>
      <c r="P308" s="56">
        <f t="shared" si="57"/>
        <v>0</v>
      </c>
      <c r="Q308" s="6"/>
      <c r="R308" s="6"/>
      <c r="S308" s="6"/>
      <c r="T308" s="202"/>
      <c r="U308" s="56">
        <f t="shared" si="60"/>
        <v>0</v>
      </c>
      <c r="V308" s="56">
        <f t="shared" si="61"/>
        <v>0</v>
      </c>
      <c r="W308" s="6"/>
      <c r="X308" s="6"/>
      <c r="Y308" s="6"/>
      <c r="Z308" s="6"/>
      <c r="AA308" s="6"/>
      <c r="AB308" s="56">
        <f t="shared" si="58"/>
        <v>0</v>
      </c>
      <c r="AC308" s="6"/>
      <c r="AD308" s="6"/>
      <c r="AE308" s="6"/>
      <c r="AF308" s="202"/>
      <c r="AG308" s="16">
        <f t="shared" si="64"/>
        <v>0</v>
      </c>
    </row>
    <row r="309" spans="7:33" x14ac:dyDescent="0.15">
      <c r="G309" s="206" t="s">
        <v>595</v>
      </c>
      <c r="H309" s="4" t="s">
        <v>601</v>
      </c>
      <c r="I309" s="45">
        <f t="shared" si="62"/>
        <v>0</v>
      </c>
      <c r="J309" s="45">
        <f t="shared" si="63"/>
        <v>0</v>
      </c>
      <c r="K309" s="8"/>
      <c r="L309" s="6"/>
      <c r="M309" s="6"/>
      <c r="N309" s="6"/>
      <c r="O309" s="6"/>
      <c r="P309" s="56">
        <f t="shared" si="57"/>
        <v>0</v>
      </c>
      <c r="Q309" s="6"/>
      <c r="R309" s="6"/>
      <c r="S309" s="6"/>
      <c r="T309" s="202"/>
      <c r="U309" s="56">
        <f t="shared" si="60"/>
        <v>0</v>
      </c>
      <c r="V309" s="56">
        <f t="shared" si="61"/>
        <v>0</v>
      </c>
      <c r="W309" s="6"/>
      <c r="X309" s="6"/>
      <c r="Y309" s="6"/>
      <c r="Z309" s="6"/>
      <c r="AA309" s="6"/>
      <c r="AB309" s="56">
        <f t="shared" si="58"/>
        <v>0</v>
      </c>
      <c r="AC309" s="6"/>
      <c r="AD309" s="6"/>
      <c r="AE309" s="6"/>
      <c r="AF309" s="202"/>
      <c r="AG309" s="16">
        <f t="shared" si="64"/>
        <v>0</v>
      </c>
    </row>
    <row r="310" spans="7:33" x14ac:dyDescent="0.15">
      <c r="G310" s="205" t="s">
        <v>597</v>
      </c>
      <c r="H310" s="4" t="s">
        <v>603</v>
      </c>
      <c r="I310" s="45">
        <f t="shared" si="62"/>
        <v>0</v>
      </c>
      <c r="J310" s="45">
        <f t="shared" si="63"/>
        <v>0</v>
      </c>
      <c r="K310" s="46">
        <f t="shared" ref="K310:AF310" si="76">SUM(K311:K312)</f>
        <v>0</v>
      </c>
      <c r="L310" s="46">
        <f t="shared" si="76"/>
        <v>0</v>
      </c>
      <c r="M310" s="46">
        <f t="shared" si="76"/>
        <v>0</v>
      </c>
      <c r="N310" s="46">
        <f t="shared" si="76"/>
        <v>0</v>
      </c>
      <c r="O310" s="46">
        <f t="shared" si="76"/>
        <v>0</v>
      </c>
      <c r="P310" s="56">
        <f t="shared" si="57"/>
        <v>0</v>
      </c>
      <c r="Q310" s="46">
        <f t="shared" si="76"/>
        <v>0</v>
      </c>
      <c r="R310" s="46">
        <f t="shared" si="76"/>
        <v>0</v>
      </c>
      <c r="S310" s="46">
        <f t="shared" si="76"/>
        <v>0</v>
      </c>
      <c r="T310" s="46">
        <f t="shared" si="76"/>
        <v>0</v>
      </c>
      <c r="U310" s="56">
        <f t="shared" si="60"/>
        <v>0</v>
      </c>
      <c r="V310" s="56">
        <f t="shared" si="61"/>
        <v>0</v>
      </c>
      <c r="W310" s="46">
        <f t="shared" si="76"/>
        <v>0</v>
      </c>
      <c r="X310" s="46">
        <f t="shared" si="76"/>
        <v>0</v>
      </c>
      <c r="Y310" s="46">
        <f t="shared" si="76"/>
        <v>0</v>
      </c>
      <c r="Z310" s="46">
        <f t="shared" si="76"/>
        <v>0</v>
      </c>
      <c r="AA310" s="46">
        <f t="shared" si="76"/>
        <v>0</v>
      </c>
      <c r="AB310" s="56">
        <f t="shared" si="58"/>
        <v>0</v>
      </c>
      <c r="AC310" s="46">
        <f t="shared" si="76"/>
        <v>0</v>
      </c>
      <c r="AD310" s="46">
        <f t="shared" si="76"/>
        <v>0</v>
      </c>
      <c r="AE310" s="46">
        <f t="shared" si="76"/>
        <v>0</v>
      </c>
      <c r="AF310" s="46">
        <f t="shared" si="76"/>
        <v>0</v>
      </c>
      <c r="AG310" s="16">
        <f t="shared" si="64"/>
        <v>0</v>
      </c>
    </row>
    <row r="311" spans="7:33" ht="21" x14ac:dyDescent="0.15">
      <c r="G311" s="206" t="s">
        <v>888</v>
      </c>
      <c r="H311" s="53" t="s">
        <v>605</v>
      </c>
      <c r="I311" s="45">
        <f t="shared" si="62"/>
        <v>0</v>
      </c>
      <c r="J311" s="45">
        <f t="shared" si="63"/>
        <v>0</v>
      </c>
      <c r="K311" s="6"/>
      <c r="L311" s="6"/>
      <c r="M311" s="6"/>
      <c r="N311" s="6"/>
      <c r="O311" s="6"/>
      <c r="P311" s="56">
        <f t="shared" si="57"/>
        <v>0</v>
      </c>
      <c r="Q311" s="6"/>
      <c r="R311" s="6"/>
      <c r="S311" s="6"/>
      <c r="T311" s="202"/>
      <c r="U311" s="56">
        <f t="shared" si="60"/>
        <v>0</v>
      </c>
      <c r="V311" s="56">
        <f t="shared" si="61"/>
        <v>0</v>
      </c>
      <c r="W311" s="6"/>
      <c r="X311" s="6"/>
      <c r="Y311" s="6"/>
      <c r="Z311" s="6"/>
      <c r="AA311" s="6"/>
      <c r="AB311" s="56">
        <f t="shared" si="58"/>
        <v>0</v>
      </c>
      <c r="AC311" s="6"/>
      <c r="AD311" s="6"/>
      <c r="AE311" s="6"/>
      <c r="AF311" s="202"/>
      <c r="AG311" s="16">
        <f t="shared" si="64"/>
        <v>0</v>
      </c>
    </row>
    <row r="312" spans="7:33" ht="21" x14ac:dyDescent="0.15">
      <c r="G312" s="206" t="s">
        <v>600</v>
      </c>
      <c r="H312" s="4" t="s">
        <v>607</v>
      </c>
      <c r="I312" s="45">
        <f t="shared" si="62"/>
        <v>0</v>
      </c>
      <c r="J312" s="45">
        <f t="shared" si="63"/>
        <v>0</v>
      </c>
      <c r="K312" s="6"/>
      <c r="L312" s="6"/>
      <c r="M312" s="6"/>
      <c r="N312" s="6"/>
      <c r="O312" s="6"/>
      <c r="P312" s="56">
        <f t="shared" si="57"/>
        <v>0</v>
      </c>
      <c r="Q312" s="6"/>
      <c r="R312" s="6"/>
      <c r="S312" s="6"/>
      <c r="T312" s="202"/>
      <c r="U312" s="56">
        <f t="shared" si="60"/>
        <v>0</v>
      </c>
      <c r="V312" s="56">
        <f t="shared" si="61"/>
        <v>0</v>
      </c>
      <c r="W312" s="6"/>
      <c r="X312" s="6"/>
      <c r="Y312" s="6"/>
      <c r="Z312" s="6"/>
      <c r="AA312" s="6"/>
      <c r="AB312" s="56">
        <f t="shared" si="58"/>
        <v>0</v>
      </c>
      <c r="AC312" s="6"/>
      <c r="AD312" s="6"/>
      <c r="AE312" s="6"/>
      <c r="AF312" s="202"/>
      <c r="AG312" s="16">
        <f t="shared" si="64"/>
        <v>0</v>
      </c>
    </row>
    <row r="313" spans="7:33" x14ac:dyDescent="0.15">
      <c r="G313" s="205" t="s">
        <v>602</v>
      </c>
      <c r="H313" s="4" t="s">
        <v>609</v>
      </c>
      <c r="I313" s="45">
        <f t="shared" si="62"/>
        <v>0</v>
      </c>
      <c r="J313" s="45">
        <f t="shared" si="63"/>
        <v>0</v>
      </c>
      <c r="K313" s="6"/>
      <c r="L313" s="6"/>
      <c r="M313" s="6"/>
      <c r="N313" s="6"/>
      <c r="O313" s="6"/>
      <c r="P313" s="56">
        <f t="shared" si="57"/>
        <v>0</v>
      </c>
      <c r="Q313" s="6"/>
      <c r="R313" s="6"/>
      <c r="S313" s="6"/>
      <c r="T313" s="202"/>
      <c r="U313" s="56">
        <f t="shared" si="60"/>
        <v>0</v>
      </c>
      <c r="V313" s="56">
        <f t="shared" si="61"/>
        <v>0</v>
      </c>
      <c r="W313" s="6"/>
      <c r="X313" s="6"/>
      <c r="Y313" s="6"/>
      <c r="Z313" s="6"/>
      <c r="AA313" s="6"/>
      <c r="AB313" s="56">
        <f t="shared" si="58"/>
        <v>0</v>
      </c>
      <c r="AC313" s="6"/>
      <c r="AD313" s="6"/>
      <c r="AE313" s="6"/>
      <c r="AF313" s="202"/>
      <c r="AG313" s="16">
        <f t="shared" si="64"/>
        <v>0</v>
      </c>
    </row>
    <row r="314" spans="7:33" x14ac:dyDescent="0.15">
      <c r="G314" s="205" t="s">
        <v>604</v>
      </c>
      <c r="H314" s="53" t="s">
        <v>611</v>
      </c>
      <c r="I314" s="45">
        <f t="shared" si="62"/>
        <v>0</v>
      </c>
      <c r="J314" s="45">
        <f t="shared" si="63"/>
        <v>0</v>
      </c>
      <c r="K314" s="6"/>
      <c r="L314" s="6"/>
      <c r="M314" s="6"/>
      <c r="N314" s="6"/>
      <c r="O314" s="6"/>
      <c r="P314" s="56">
        <f t="shared" si="57"/>
        <v>0</v>
      </c>
      <c r="Q314" s="6"/>
      <c r="R314" s="6"/>
      <c r="S314" s="6"/>
      <c r="T314" s="202"/>
      <c r="U314" s="56">
        <f t="shared" si="60"/>
        <v>0</v>
      </c>
      <c r="V314" s="56">
        <f t="shared" si="61"/>
        <v>0</v>
      </c>
      <c r="W314" s="6"/>
      <c r="X314" s="6"/>
      <c r="Y314" s="6"/>
      <c r="Z314" s="6"/>
      <c r="AA314" s="6"/>
      <c r="AB314" s="56">
        <f t="shared" si="58"/>
        <v>0</v>
      </c>
      <c r="AC314" s="6"/>
      <c r="AD314" s="6"/>
      <c r="AE314" s="6"/>
      <c r="AF314" s="202"/>
      <c r="AG314" s="16">
        <f t="shared" si="64"/>
        <v>0</v>
      </c>
    </row>
    <row r="315" spans="7:33" x14ac:dyDescent="0.15">
      <c r="G315" s="205" t="s">
        <v>606</v>
      </c>
      <c r="H315" s="4" t="s">
        <v>613</v>
      </c>
      <c r="I315" s="45">
        <f t="shared" si="62"/>
        <v>0</v>
      </c>
      <c r="J315" s="45">
        <f t="shared" si="63"/>
        <v>0</v>
      </c>
      <c r="K315" s="6"/>
      <c r="L315" s="6"/>
      <c r="M315" s="6"/>
      <c r="N315" s="6"/>
      <c r="O315" s="6"/>
      <c r="P315" s="56">
        <f t="shared" si="57"/>
        <v>0</v>
      </c>
      <c r="Q315" s="6"/>
      <c r="R315" s="6"/>
      <c r="S315" s="6"/>
      <c r="T315" s="202"/>
      <c r="U315" s="56">
        <f t="shared" si="60"/>
        <v>0</v>
      </c>
      <c r="V315" s="56">
        <f t="shared" si="61"/>
        <v>0</v>
      </c>
      <c r="W315" s="6"/>
      <c r="X315" s="6"/>
      <c r="Y315" s="6"/>
      <c r="Z315" s="6"/>
      <c r="AA315" s="6"/>
      <c r="AB315" s="56">
        <f t="shared" si="58"/>
        <v>0</v>
      </c>
      <c r="AC315" s="6"/>
      <c r="AD315" s="6"/>
      <c r="AE315" s="6"/>
      <c r="AF315" s="202"/>
      <c r="AG315" s="16">
        <f t="shared" si="64"/>
        <v>0</v>
      </c>
    </row>
    <row r="316" spans="7:33" x14ac:dyDescent="0.15">
      <c r="G316" s="205" t="s">
        <v>608</v>
      </c>
      <c r="H316" s="4" t="s">
        <v>615</v>
      </c>
      <c r="I316" s="45">
        <f t="shared" si="62"/>
        <v>0</v>
      </c>
      <c r="J316" s="45">
        <f t="shared" si="63"/>
        <v>0</v>
      </c>
      <c r="K316" s="6"/>
      <c r="L316" s="6"/>
      <c r="M316" s="6"/>
      <c r="N316" s="6"/>
      <c r="O316" s="6"/>
      <c r="P316" s="56">
        <f t="shared" si="57"/>
        <v>0</v>
      </c>
      <c r="Q316" s="6"/>
      <c r="R316" s="6"/>
      <c r="S316" s="6"/>
      <c r="T316" s="202"/>
      <c r="U316" s="56">
        <f t="shared" si="60"/>
        <v>0</v>
      </c>
      <c r="V316" s="56">
        <f t="shared" si="61"/>
        <v>0</v>
      </c>
      <c r="W316" s="6"/>
      <c r="X316" s="6"/>
      <c r="Y316" s="6"/>
      <c r="Z316" s="6"/>
      <c r="AA316" s="6"/>
      <c r="AB316" s="56">
        <f t="shared" si="58"/>
        <v>0</v>
      </c>
      <c r="AC316" s="6"/>
      <c r="AD316" s="6"/>
      <c r="AE316" s="6"/>
      <c r="AF316" s="202"/>
      <c r="AG316" s="16">
        <f t="shared" si="64"/>
        <v>0</v>
      </c>
    </row>
    <row r="317" spans="7:33" x14ac:dyDescent="0.15">
      <c r="G317" s="205" t="s">
        <v>610</v>
      </c>
      <c r="H317" s="53" t="s">
        <v>617</v>
      </c>
      <c r="I317" s="45">
        <f t="shared" si="62"/>
        <v>0</v>
      </c>
      <c r="J317" s="45">
        <f t="shared" si="63"/>
        <v>0</v>
      </c>
      <c r="K317" s="6"/>
      <c r="L317" s="6"/>
      <c r="M317" s="6"/>
      <c r="N317" s="6"/>
      <c r="O317" s="6"/>
      <c r="P317" s="56">
        <f t="shared" si="57"/>
        <v>0</v>
      </c>
      <c r="Q317" s="6"/>
      <c r="R317" s="6"/>
      <c r="S317" s="6"/>
      <c r="T317" s="202"/>
      <c r="U317" s="56">
        <f t="shared" si="60"/>
        <v>0</v>
      </c>
      <c r="V317" s="56">
        <f t="shared" si="61"/>
        <v>0</v>
      </c>
      <c r="W317" s="6"/>
      <c r="X317" s="6"/>
      <c r="Y317" s="6"/>
      <c r="Z317" s="6"/>
      <c r="AA317" s="6"/>
      <c r="AB317" s="56">
        <f t="shared" si="58"/>
        <v>0</v>
      </c>
      <c r="AC317" s="6"/>
      <c r="AD317" s="6"/>
      <c r="AE317" s="6"/>
      <c r="AF317" s="202"/>
      <c r="AG317" s="16">
        <f t="shared" si="64"/>
        <v>0</v>
      </c>
    </row>
    <row r="318" spans="7:33" x14ac:dyDescent="0.15">
      <c r="G318" s="205" t="s">
        <v>612</v>
      </c>
      <c r="H318" s="4" t="s">
        <v>619</v>
      </c>
      <c r="I318" s="45">
        <f t="shared" si="62"/>
        <v>0</v>
      </c>
      <c r="J318" s="45">
        <f t="shared" si="63"/>
        <v>0</v>
      </c>
      <c r="K318" s="6"/>
      <c r="L318" s="6"/>
      <c r="M318" s="6"/>
      <c r="N318" s="6"/>
      <c r="O318" s="6"/>
      <c r="P318" s="56">
        <f t="shared" si="57"/>
        <v>0</v>
      </c>
      <c r="Q318" s="6"/>
      <c r="R318" s="6"/>
      <c r="S318" s="6"/>
      <c r="T318" s="6"/>
      <c r="U318" s="56">
        <f t="shared" si="60"/>
        <v>0</v>
      </c>
      <c r="V318" s="56">
        <f t="shared" si="61"/>
        <v>0</v>
      </c>
      <c r="W318" s="6"/>
      <c r="X318" s="6"/>
      <c r="Y318" s="6"/>
      <c r="Z318" s="6"/>
      <c r="AA318" s="6"/>
      <c r="AB318" s="56">
        <f t="shared" si="58"/>
        <v>0</v>
      </c>
      <c r="AC318" s="6"/>
      <c r="AD318" s="6"/>
      <c r="AE318" s="6"/>
      <c r="AF318" s="6"/>
      <c r="AG318" s="16">
        <f t="shared" si="64"/>
        <v>0</v>
      </c>
    </row>
    <row r="319" spans="7:33" x14ac:dyDescent="0.15">
      <c r="G319" s="205" t="s">
        <v>614</v>
      </c>
      <c r="H319" s="4" t="s">
        <v>621</v>
      </c>
      <c r="I319" s="45">
        <f t="shared" si="62"/>
        <v>0</v>
      </c>
      <c r="J319" s="45">
        <f t="shared" si="63"/>
        <v>0</v>
      </c>
      <c r="K319" s="6"/>
      <c r="L319" s="6"/>
      <c r="M319" s="6"/>
      <c r="N319" s="6"/>
      <c r="O319" s="6"/>
      <c r="P319" s="56">
        <f t="shared" si="57"/>
        <v>0</v>
      </c>
      <c r="Q319" s="6"/>
      <c r="R319" s="6"/>
      <c r="S319" s="6"/>
      <c r="T319" s="6"/>
      <c r="U319" s="56">
        <f t="shared" si="60"/>
        <v>0</v>
      </c>
      <c r="V319" s="56">
        <f t="shared" si="61"/>
        <v>0</v>
      </c>
      <c r="W319" s="6"/>
      <c r="X319" s="6"/>
      <c r="Y319" s="6"/>
      <c r="Z319" s="6"/>
      <c r="AA319" s="6"/>
      <c r="AB319" s="56">
        <f t="shared" si="58"/>
        <v>0</v>
      </c>
      <c r="AC319" s="6"/>
      <c r="AD319" s="6"/>
      <c r="AE319" s="6"/>
      <c r="AF319" s="6"/>
      <c r="AG319" s="16">
        <f t="shared" si="64"/>
        <v>0</v>
      </c>
    </row>
    <row r="320" spans="7:33" x14ac:dyDescent="0.15">
      <c r="G320" s="205" t="s">
        <v>616</v>
      </c>
      <c r="H320" s="53" t="s">
        <v>623</v>
      </c>
      <c r="I320" s="45">
        <f t="shared" si="62"/>
        <v>0</v>
      </c>
      <c r="J320" s="45">
        <f t="shared" si="63"/>
        <v>0</v>
      </c>
      <c r="K320" s="6"/>
      <c r="L320" s="6"/>
      <c r="M320" s="6"/>
      <c r="N320" s="6"/>
      <c r="O320" s="6"/>
      <c r="P320" s="56">
        <f t="shared" si="57"/>
        <v>0</v>
      </c>
      <c r="Q320" s="6"/>
      <c r="R320" s="6"/>
      <c r="S320" s="6"/>
      <c r="T320" s="202"/>
      <c r="U320" s="56">
        <f t="shared" si="60"/>
        <v>0</v>
      </c>
      <c r="V320" s="56">
        <f t="shared" si="61"/>
        <v>0</v>
      </c>
      <c r="W320" s="6"/>
      <c r="X320" s="6"/>
      <c r="Y320" s="6"/>
      <c r="Z320" s="6"/>
      <c r="AA320" s="6"/>
      <c r="AB320" s="56">
        <f t="shared" si="58"/>
        <v>0</v>
      </c>
      <c r="AC320" s="6"/>
      <c r="AD320" s="6"/>
      <c r="AE320" s="6"/>
      <c r="AF320" s="202"/>
      <c r="AG320" s="16">
        <f t="shared" si="64"/>
        <v>0</v>
      </c>
    </row>
    <row r="321" spans="7:33" x14ac:dyDescent="0.15">
      <c r="G321" s="205" t="s">
        <v>618</v>
      </c>
      <c r="H321" s="4" t="s">
        <v>898</v>
      </c>
      <c r="I321" s="45">
        <f t="shared" si="62"/>
        <v>0</v>
      </c>
      <c r="J321" s="45">
        <f t="shared" si="63"/>
        <v>0</v>
      </c>
      <c r="K321" s="6"/>
      <c r="L321" s="6"/>
      <c r="M321" s="6"/>
      <c r="N321" s="6"/>
      <c r="O321" s="6"/>
      <c r="P321" s="56">
        <f t="shared" si="57"/>
        <v>0</v>
      </c>
      <c r="Q321" s="6"/>
      <c r="R321" s="6"/>
      <c r="S321" s="6"/>
      <c r="T321" s="202"/>
      <c r="U321" s="56">
        <f t="shared" si="60"/>
        <v>0</v>
      </c>
      <c r="V321" s="56">
        <f t="shared" si="61"/>
        <v>0</v>
      </c>
      <c r="W321" s="6"/>
      <c r="X321" s="6"/>
      <c r="Y321" s="6"/>
      <c r="Z321" s="6"/>
      <c r="AA321" s="6"/>
      <c r="AB321" s="56">
        <f t="shared" si="58"/>
        <v>0</v>
      </c>
      <c r="AC321" s="6"/>
      <c r="AD321" s="6"/>
      <c r="AE321" s="6"/>
      <c r="AF321" s="202"/>
      <c r="AG321" s="16">
        <f t="shared" si="64"/>
        <v>0</v>
      </c>
    </row>
    <row r="322" spans="7:33" x14ac:dyDescent="0.15">
      <c r="G322" s="205" t="s">
        <v>620</v>
      </c>
      <c r="H322" s="4" t="s">
        <v>899</v>
      </c>
      <c r="I322" s="45">
        <f t="shared" si="62"/>
        <v>0</v>
      </c>
      <c r="J322" s="45">
        <f t="shared" si="63"/>
        <v>0</v>
      </c>
      <c r="K322" s="6"/>
      <c r="L322" s="6"/>
      <c r="M322" s="6"/>
      <c r="N322" s="6"/>
      <c r="O322" s="6"/>
      <c r="P322" s="56">
        <f t="shared" si="57"/>
        <v>0</v>
      </c>
      <c r="Q322" s="6"/>
      <c r="R322" s="6"/>
      <c r="S322" s="6"/>
      <c r="T322" s="202"/>
      <c r="U322" s="56">
        <f t="shared" si="60"/>
        <v>0</v>
      </c>
      <c r="V322" s="56">
        <f t="shared" si="61"/>
        <v>0</v>
      </c>
      <c r="W322" s="6"/>
      <c r="X322" s="6"/>
      <c r="Y322" s="6"/>
      <c r="Z322" s="6"/>
      <c r="AA322" s="6"/>
      <c r="AB322" s="56">
        <f t="shared" si="58"/>
        <v>0</v>
      </c>
      <c r="AC322" s="6"/>
      <c r="AD322" s="6"/>
      <c r="AE322" s="6"/>
      <c r="AF322" s="202"/>
      <c r="AG322" s="16">
        <f t="shared" si="64"/>
        <v>0</v>
      </c>
    </row>
    <row r="323" spans="7:33" x14ac:dyDescent="0.15">
      <c r="G323" s="209" t="s">
        <v>622</v>
      </c>
      <c r="H323" s="53" t="s">
        <v>900</v>
      </c>
      <c r="I323" s="45">
        <f t="shared" ref="I323:AF323" si="77">SUM(I11:I17,I20:I26,I31:I34,I39:I45,I52:I53,I56:I64,I68:I70,I73:I76,I81:I88,I91:I102,I105:I110,I118:I119,I124:I150,I153:I159,I164:I165,I171:I174,I180:I195,I199:I210,I217:I223,I229:I233,I240:I243,I247:I250,I255:I271,I277:I278,I284:I287,I294:I295,I302:I304,I310,I313:I322)</f>
        <v>0</v>
      </c>
      <c r="J323" s="45">
        <f t="shared" si="77"/>
        <v>0</v>
      </c>
      <c r="K323" s="45">
        <f>SUM(K11:K17,K20:K26,K31:K34,K39:K45,K52:K53,K56:K64,K68:K70,K73:K76,K81:K88,K91:K102,K105:K110,K118:K119,K124:K150,K153:K159,K164:K165,K171:K174,K180:K195,K199:K210,K217:K223,K229:K233,K240:K243,K247:K250,K255:K271,K277:K278,K284:K287,K294:K295,K302:K304,K310,K313:K322)</f>
        <v>0</v>
      </c>
      <c r="L323" s="45">
        <f t="shared" si="77"/>
        <v>0</v>
      </c>
      <c r="M323" s="45">
        <f t="shared" si="77"/>
        <v>0</v>
      </c>
      <c r="N323" s="45">
        <f t="shared" si="77"/>
        <v>0</v>
      </c>
      <c r="O323" s="45">
        <f t="shared" si="77"/>
        <v>0</v>
      </c>
      <c r="P323" s="45">
        <f t="shared" si="77"/>
        <v>0</v>
      </c>
      <c r="Q323" s="45">
        <f t="shared" si="77"/>
        <v>0</v>
      </c>
      <c r="R323" s="45">
        <f t="shared" si="77"/>
        <v>0</v>
      </c>
      <c r="S323" s="45">
        <f t="shared" si="77"/>
        <v>0</v>
      </c>
      <c r="T323" s="45">
        <f t="shared" si="77"/>
        <v>0</v>
      </c>
      <c r="U323" s="45">
        <f t="shared" si="77"/>
        <v>0</v>
      </c>
      <c r="V323" s="45">
        <f t="shared" si="77"/>
        <v>0</v>
      </c>
      <c r="W323" s="45">
        <f t="shared" si="77"/>
        <v>0</v>
      </c>
      <c r="X323" s="45">
        <f t="shared" si="77"/>
        <v>0</v>
      </c>
      <c r="Y323" s="45">
        <f t="shared" si="77"/>
        <v>0</v>
      </c>
      <c r="Z323" s="45">
        <f t="shared" si="77"/>
        <v>0</v>
      </c>
      <c r="AA323" s="45">
        <f t="shared" si="77"/>
        <v>0</v>
      </c>
      <c r="AB323" s="45">
        <f t="shared" si="77"/>
        <v>0</v>
      </c>
      <c r="AC323" s="45">
        <f t="shared" si="77"/>
        <v>0</v>
      </c>
      <c r="AD323" s="45">
        <f t="shared" si="77"/>
        <v>0</v>
      </c>
      <c r="AE323" s="45">
        <f t="shared" si="77"/>
        <v>0</v>
      </c>
      <c r="AF323" s="45">
        <f t="shared" si="77"/>
        <v>0</v>
      </c>
      <c r="AG323" s="16">
        <f>SUM(I11:AF323)</f>
        <v>0</v>
      </c>
    </row>
    <row r="324" spans="7:33" x14ac:dyDescent="0.15">
      <c r="I324" s="16"/>
    </row>
  </sheetData>
  <sheetProtection algorithmName="SHA-512" hashValue="mdSRt2Ti8D9cmo1hgZaSa0CjQQ8ePoR7Sm2HZolWcEjWaEu84UzsuZsF18D94zRejYASawXoJUCKaXwp4X9JGg==" saltValue="uo0TbNN97SFA4IfStPN3RA==" spinCount="100000" sheet="1" objects="1" scenarios="1" selectLockedCells="1"/>
  <autoFilter ref="G1:G324" xr:uid="{5637FE06-2905-4B2A-A3C0-3761B4773A02}"/>
  <mergeCells count="19">
    <mergeCell ref="K8:O8"/>
    <mergeCell ref="P8:P9"/>
    <mergeCell ref="Q8:T8"/>
    <mergeCell ref="G1:AF5"/>
    <mergeCell ref="V8:V9"/>
    <mergeCell ref="V7:AA7"/>
    <mergeCell ref="U7:U9"/>
    <mergeCell ref="G6:G9"/>
    <mergeCell ref="H6:H9"/>
    <mergeCell ref="I6:T6"/>
    <mergeCell ref="U6:AF6"/>
    <mergeCell ref="I7:I9"/>
    <mergeCell ref="J7:O7"/>
    <mergeCell ref="P7:T7"/>
    <mergeCell ref="AB7:AF7"/>
    <mergeCell ref="W8:AA8"/>
    <mergeCell ref="AB8:AB9"/>
    <mergeCell ref="AC8:AF8"/>
    <mergeCell ref="J8:J9"/>
  </mergeCells>
  <phoneticPr fontId="20" type="noConversion"/>
  <conditionalFormatting sqref="I11:AF323">
    <cfRule type="expression" dxfId="99" priority="14">
      <formula>MOD(I11,1)&lt;&gt;0</formula>
    </cfRule>
    <cfRule type="expression" dxfId="98" priority="16">
      <formula>ISTEXT(I11)</formula>
    </cfRule>
  </conditionalFormatting>
  <conditionalFormatting sqref="K11:O16 Q11:T16 W11:AA16 AC11:AF16 K18:O25 Q18:T25 W18:AA25 AC18:AF25 K27:O33 Q27:T33 W27:AA33 AC27:AF33 K35:O44 Q35:T44 W35:AA44 AC35:AF44 K46:O52 Q46:T52 W46:AA52 AC46:AF52 K54:O63 Q54:T63 W54:AA63 AC54:AF63 K65:O69 Q65:T69 W65:AA69 AC65:AF69 K71:O75 Q71:T75 W71:AA75 AC71:AF75 K77:O87 Q77:T87 W77:AA87 AC77:AF87 K89:O101 Q89:T101 W89:AA101 AC89:AF101 K103:O109 Q103:T109 W103:AA109 AC103:AF109 K111:O118 Q111:T118 W111:AA118 AC111:AF118 K120:O149 Q120:T149 W120:AA149 AC120:AF149 K151:O158 Q151:T158 W151:AA158 AC151:AF158 K160:O164 Q160:T164 W160:AA164 AC160:AF164 K166:O173 Q166:T173 W166:AA173 AC166:AF173 K175:O194 Q175:T194 W175:AA194 AC175:AF194 K196:O209 Q196:T209 W196:AA209 AC196:AF209 K211:O222 Q211:T222 W211:AA222 AC211:AF222 K224:O232 Q224:T232 W224:AA232 AC224:AF232 K234:O242 Q234:T242 W234:AA242 AC234:AF242 K244:O249 Q244:T249 W244:AA249 AC244:AF249 K251:O270 Q251:T270 W251:AA270 AC251:AF270 K272:O277 Q272:T277 W272:AA277 AC272:AF277 K279:O286 Q279:T286 W279:AA286 AC279:AF286 K288:O294 Q288:T294 W288:AA294 AC288:AF294 K296:O303 Q296:T303 W296:AA303 AC296:AF303 K305:O309 Q305:T309 W305:AA309 AC305:AF309 K311:O322 Q311:T322 W311:AA322 AC311:AF322">
    <cfRule type="expression" dxfId="97" priority="15">
      <formula>_xlfn.ISFORMULA(K11)</formula>
    </cfRule>
  </conditionalFormatting>
  <conditionalFormatting sqref="T11:T73 T75:T317 T320:T322">
    <cfRule type="expression" dxfId="95" priority="5">
      <formula>$T11&gt;0</formula>
    </cfRule>
  </conditionalFormatting>
  <conditionalFormatting sqref="AF11:AF73 AF75:AF317 AF320:AF322">
    <cfRule type="expression" dxfId="94" priority="4">
      <formula>AF11&gt;0</formula>
    </cfRule>
  </conditionalFormatting>
  <pageMargins left="0.7" right="0.7" top="0.75" bottom="0.75" header="0.3" footer="0.3"/>
  <ignoredErrors>
    <ignoredError sqref="H11:H13" numberStoredAsText="1"/>
    <ignoredError sqref="Q17:T22 Q53:T72 P323:AB323 Q317:S321 W317:AA320 Q277:T314 Q73:S75 W73:AA75 Q76:T129 Q131:T266 Q268:T270 Q322:T322 Q272:T275 W17:AA20 W53:AA72 W277:AA316 W76:AA129 W131:AA266 W268:AA270 W322:AA322 W272:AA275 Q316:S316 Q315:S315 X321:AA321 W22:AA45 W21 Y21:AA21 Q24:T45 Q23:R23 T23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C387D69A-A818-46FC-AE63-484661D5AFDF}">
            <xm:f>$I11&gt;('Раздел 2'!$K11+'Раздел 9'!$I$12-'Раздел 9'!$I$13)</xm:f>
            <x14:dxf>
              <fill>
                <patternFill>
                  <bgColor rgb="FFFF0000"/>
                </patternFill>
              </fill>
            </x14:dxf>
          </x14:cfRule>
          <xm:sqref>I11:I323</xm:sqref>
        </x14:conditionalFormatting>
        <x14:conditionalFormatting xmlns:xm="http://schemas.microsoft.com/office/excel/2006/main">
          <x14:cfRule type="expression" priority="21" id="{7A3A9A70-1E44-4797-8AF2-45643816D388}">
            <xm:f>AND('Раздел 2'!$I11=1,$I11=0)</xm:f>
            <x14:dxf>
              <fill>
                <patternFill>
                  <bgColor rgb="FFFFFF00"/>
                </patternFill>
              </fill>
            </x14:dxf>
          </x14:cfRule>
          <xm:sqref>K11:O16 Q11:T16 W11:AA16 AC11:AF16 K18:O25 Q18:T25 W18:AA25 AC18:AF25 K27:O33 Q27:T33 W27:AA33 AC27:AF33 K35:O44 Q35:T44 W35:AA44 AC35:AF44 K46:O52 Q46:T52 W46:AA52 AC46:AF52 K54:O63 Q54:T63 W54:AA63 AC54:AF63 K65:O69 Q65:T69 W65:AA69 AC65:AF69 K71:O75 Q71:T75 W71:AA75 AC71:AF75 K77:O87 Q77:T87 W77:AA87 AC77:AF87 K89:O101 Q89:T101 W89:AA101 AC89:AF101 K103:O109 Q103:T109 W103:AA109 AC103:AF109 K111:O118 Q111:T118 W111:AA118 AC111:AF118 K120:O149 Q120:T149 W120:AA149 AC120:AF149 K151:O158 Q151:T158 W151:AA158 AC151:AF158 K160:O164 Q160:T164 W160:AA164 AC160:AF164 K166:O173 Q166:T173 W166:AA173 AC166:AF173 K175:O194 Q175:T194 W175:AA194 AC175:AF194 K196:O209 Q196:T209 W196:AA209 AC196:AF209 K211:O222 Q211:T222 W211:AA222 AC211:AF222 K224:O232 Q224:T232 W224:AA232 AC224:AF232 K234:O242 Q234:T242 W234:AA242 AC234:AF242 K244:O249 Q244:T249 W244:AA249 AC244:AF249 K251:O270 Q251:T270 W251:AA270 AC251:AF270 K272:O277 Q272:T277 W272:AA277 AC272:AF277 K279:O286 Q279:T286 W279:AA286 AC279:AF286 K288:O294 Q288:T294 W288:AA294 AC288:AF294 K296:O303 Q296:T303 W296:AA303 AC296:AF303 K305:O309 Q305:T309 W305:AA309 AC305:AF309 K311:O322 Q311:T322 W311:AA322 AC311:AF322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C84F-5557-4DB3-9D40-394F266A807A}">
  <dimension ref="A1:AC323"/>
  <sheetViews>
    <sheetView topLeftCell="A4" zoomScaleNormal="100" workbookViewId="0">
      <pane xSplit="9" ySplit="7" topLeftCell="J301" activePane="bottomRight" state="frozen"/>
      <selection activeCell="H19" sqref="H19:I19"/>
      <selection pane="topRight" activeCell="H19" sqref="H19:I19"/>
      <selection pane="bottomLeft" activeCell="H19" sqref="H19:I19"/>
      <selection pane="bottomRight" activeCell="L317" sqref="L317"/>
    </sheetView>
  </sheetViews>
  <sheetFormatPr defaultColWidth="9.140625" defaultRowHeight="10.5" x14ac:dyDescent="0.15"/>
  <cols>
    <col min="1" max="1" width="3.28515625" style="12" hidden="1" customWidth="1"/>
    <col min="2" max="2" width="12.7109375" style="12" hidden="1" customWidth="1"/>
    <col min="3" max="5" width="5.5703125" style="12" hidden="1" customWidth="1"/>
    <col min="6" max="6" width="8.28515625" style="12" hidden="1" customWidth="1"/>
    <col min="7" max="7" width="30.42578125" style="18" customWidth="1"/>
    <col min="8" max="8" width="4.5703125" style="17" customWidth="1"/>
    <col min="9" max="9" width="11.5703125" style="17" customWidth="1"/>
    <col min="10" max="10" width="12" style="17" customWidth="1"/>
    <col min="11" max="12" width="10.5703125" style="17" customWidth="1"/>
    <col min="13" max="13" width="12" style="17" customWidth="1"/>
    <col min="14" max="15" width="10.5703125" style="17" customWidth="1"/>
    <col min="16" max="16" width="12" style="17" customWidth="1"/>
    <col min="17" max="18" width="10.5703125" style="17" customWidth="1"/>
    <col min="19" max="19" width="12.5703125" style="17" customWidth="1"/>
    <col min="20" max="20" width="12" style="17" customWidth="1"/>
    <col min="21" max="22" width="10.5703125" style="17" customWidth="1"/>
    <col min="23" max="23" width="12" style="17" customWidth="1"/>
    <col min="24" max="25" width="10.5703125" style="17" customWidth="1"/>
    <col min="26" max="26" width="12" style="17" customWidth="1"/>
    <col min="27" max="28" width="10.5703125" style="17" customWidth="1"/>
    <col min="29" max="29" width="6.7109375" style="17" customWidth="1"/>
    <col min="30" max="16384" width="9.140625" style="12"/>
  </cols>
  <sheetData>
    <row r="1" spans="1:29" hidden="1" x14ac:dyDescent="0.15"/>
    <row r="2" spans="1:29" hidden="1" x14ac:dyDescent="0.15"/>
    <row r="3" spans="1:29" hidden="1" x14ac:dyDescent="0.15"/>
    <row r="4" spans="1:29" ht="17.25" customHeight="1" x14ac:dyDescent="0.15">
      <c r="G4" s="351" t="s">
        <v>767</v>
      </c>
      <c r="H4" s="351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1"/>
      <c r="U4" s="351"/>
      <c r="V4" s="351"/>
      <c r="W4" s="351"/>
      <c r="X4" s="351"/>
      <c r="Y4" s="351"/>
      <c r="Z4" s="351"/>
      <c r="AA4" s="351"/>
      <c r="AB4" s="351"/>
    </row>
    <row r="5" spans="1:29" ht="23.25" customHeight="1" x14ac:dyDescent="0.15">
      <c r="G5" s="352" t="s">
        <v>1</v>
      </c>
      <c r="H5" s="353" t="s">
        <v>2</v>
      </c>
      <c r="I5" s="339" t="s">
        <v>855</v>
      </c>
      <c r="J5" s="340"/>
      <c r="K5" s="340"/>
      <c r="L5" s="340"/>
      <c r="M5" s="340"/>
      <c r="N5" s="340"/>
      <c r="O5" s="340"/>
      <c r="P5" s="340"/>
      <c r="Q5" s="340"/>
      <c r="R5" s="341"/>
      <c r="S5" s="339" t="s">
        <v>655</v>
      </c>
      <c r="T5" s="340"/>
      <c r="U5" s="340"/>
      <c r="V5" s="340"/>
      <c r="W5" s="340"/>
      <c r="X5" s="340"/>
      <c r="Y5" s="340"/>
      <c r="Z5" s="340"/>
      <c r="AA5" s="340"/>
      <c r="AB5" s="341"/>
    </row>
    <row r="6" spans="1:29" ht="22.5" customHeight="1" x14ac:dyDescent="0.15">
      <c r="G6" s="352"/>
      <c r="H6" s="353"/>
      <c r="I6" s="342" t="s">
        <v>640</v>
      </c>
      <c r="J6" s="341" t="s">
        <v>656</v>
      </c>
      <c r="K6" s="341"/>
      <c r="L6" s="341"/>
      <c r="M6" s="347" t="s">
        <v>657</v>
      </c>
      <c r="N6" s="347"/>
      <c r="O6" s="347"/>
      <c r="P6" s="347" t="s">
        <v>658</v>
      </c>
      <c r="Q6" s="347"/>
      <c r="R6" s="347"/>
      <c r="S6" s="342" t="s">
        <v>640</v>
      </c>
      <c r="T6" s="354" t="s">
        <v>656</v>
      </c>
      <c r="U6" s="355"/>
      <c r="V6" s="356"/>
      <c r="W6" s="354" t="s">
        <v>657</v>
      </c>
      <c r="X6" s="355"/>
      <c r="Y6" s="356"/>
      <c r="Z6" s="354" t="s">
        <v>658</v>
      </c>
      <c r="AA6" s="355"/>
      <c r="AB6" s="356"/>
    </row>
    <row r="7" spans="1:29" ht="6" customHeight="1" x14ac:dyDescent="0.15">
      <c r="G7" s="352"/>
      <c r="H7" s="353"/>
      <c r="I7" s="343"/>
      <c r="J7" s="341"/>
      <c r="K7" s="341"/>
      <c r="L7" s="341"/>
      <c r="M7" s="347"/>
      <c r="N7" s="347"/>
      <c r="O7" s="347"/>
      <c r="P7" s="347"/>
      <c r="Q7" s="347"/>
      <c r="R7" s="347"/>
      <c r="S7" s="343"/>
      <c r="T7" s="357"/>
      <c r="U7" s="358"/>
      <c r="V7" s="359"/>
      <c r="W7" s="357"/>
      <c r="X7" s="358"/>
      <c r="Y7" s="359"/>
      <c r="Z7" s="357"/>
      <c r="AA7" s="358"/>
      <c r="AB7" s="359"/>
    </row>
    <row r="8" spans="1:29" ht="36.75" customHeight="1" x14ac:dyDescent="0.15">
      <c r="G8" s="352"/>
      <c r="H8" s="353"/>
      <c r="I8" s="343"/>
      <c r="J8" s="341" t="s">
        <v>659</v>
      </c>
      <c r="K8" s="347" t="s">
        <v>645</v>
      </c>
      <c r="L8" s="347"/>
      <c r="M8" s="347" t="s">
        <v>663</v>
      </c>
      <c r="N8" s="347" t="s">
        <v>645</v>
      </c>
      <c r="O8" s="347"/>
      <c r="P8" s="347" t="s">
        <v>664</v>
      </c>
      <c r="Q8" s="347" t="s">
        <v>645</v>
      </c>
      <c r="R8" s="347"/>
      <c r="S8" s="343"/>
      <c r="T8" s="341" t="s">
        <v>667</v>
      </c>
      <c r="U8" s="347" t="s">
        <v>645</v>
      </c>
      <c r="V8" s="347"/>
      <c r="W8" s="347" t="s">
        <v>668</v>
      </c>
      <c r="X8" s="347" t="s">
        <v>645</v>
      </c>
      <c r="Y8" s="347"/>
      <c r="Z8" s="347" t="s">
        <v>669</v>
      </c>
      <c r="AA8" s="347" t="s">
        <v>645</v>
      </c>
      <c r="AB8" s="347"/>
    </row>
    <row r="9" spans="1:29" ht="21" customHeight="1" x14ac:dyDescent="0.15">
      <c r="G9" s="352"/>
      <c r="H9" s="353"/>
      <c r="I9" s="344"/>
      <c r="J9" s="341"/>
      <c r="K9" s="13" t="s">
        <v>665</v>
      </c>
      <c r="L9" s="13" t="s">
        <v>666</v>
      </c>
      <c r="M9" s="347"/>
      <c r="N9" s="13" t="s">
        <v>665</v>
      </c>
      <c r="O9" s="13" t="s">
        <v>666</v>
      </c>
      <c r="P9" s="347"/>
      <c r="Q9" s="13" t="s">
        <v>665</v>
      </c>
      <c r="R9" s="13" t="s">
        <v>666</v>
      </c>
      <c r="S9" s="344"/>
      <c r="T9" s="341"/>
      <c r="U9" s="13" t="s">
        <v>665</v>
      </c>
      <c r="V9" s="13" t="s">
        <v>666</v>
      </c>
      <c r="W9" s="347"/>
      <c r="X9" s="13" t="s">
        <v>665</v>
      </c>
      <c r="Y9" s="13" t="s">
        <v>666</v>
      </c>
      <c r="Z9" s="347"/>
      <c r="AA9" s="13" t="s">
        <v>665</v>
      </c>
      <c r="AB9" s="13" t="s">
        <v>666</v>
      </c>
    </row>
    <row r="10" spans="1:29" ht="10.5" customHeight="1" thickBot="1" x14ac:dyDescent="0.2">
      <c r="A10" s="186">
        <f>'Раздел 0'!M27</f>
        <v>0</v>
      </c>
      <c r="B10" s="185">
        <f>'Раздел 1'!D15</f>
        <v>0</v>
      </c>
      <c r="C10" s="184" t="str" cm="1">
        <f t="array" ref="C10">_xlfn.IFS(SUM('Раздел 1'!$D$5:$D$6)&gt;0,"ФКиС",SUM('Раздел 1'!$D$7:$D$8)&gt;0,"Образование",SUM('Раздел 1'!$D$9:$D$10)&gt;0,"Другая")</f>
        <v>ФКиС</v>
      </c>
      <c r="D10" s="184" t="str" cm="1">
        <f t="array" ref="D10">_xlfn.IFS(SUM('Раздел 1'!$E$12)&gt;0,"СШ",SUM('Раздел 1'!$F$12)&gt;0,"СШОР",SUM('Раздел 1'!$G$12)&gt;0,"УОР",SUM('Раздел 1'!$H$12)&gt;0,"ЦСП",SUM('Раздел 1'!$I$12)&gt;0,"ДРУГИЕ",SUM('Раздел 1'!$E$13)&gt;0,"ОСП СШ",SUM('Раздел 1'!$F$13)&gt;0,"ОСП СШОР",SUM('Раздел 1'!$I$13)&gt;0,"ОСП ДРУГИЕ")</f>
        <v>ЦСП</v>
      </c>
      <c r="E10" s="184">
        <f>IF(SUM('Раздел 1'!$D$12)&gt;0,SUM('Раздел 1'!$D$13),"")</f>
        <v>0</v>
      </c>
      <c r="F10" s="184" t="e" cm="1">
        <f t="array" ref="F10">_xlfn.IFS(SUM('Раздел 1'!$D$19)&gt;0,"РФ",SUM('Раздел 1'!$E$19)&gt;0,"СУБЪЕКТ",SUM('Раздел 1'!$F$19:$G$19)&gt;0,"МУНИЦИПАЛ",SUM('Раздел 1'!$H$19:$I$19)&gt;0,"ИНЫЕ")</f>
        <v>#N/A</v>
      </c>
      <c r="G10" s="57">
        <v>1</v>
      </c>
      <c r="H10" s="57">
        <v>2</v>
      </c>
      <c r="I10" s="57">
        <v>3</v>
      </c>
      <c r="J10" s="57">
        <v>4</v>
      </c>
      <c r="K10" s="57">
        <v>5</v>
      </c>
      <c r="L10" s="57">
        <v>6</v>
      </c>
      <c r="M10" s="57">
        <v>7</v>
      </c>
      <c r="N10" s="57">
        <v>8</v>
      </c>
      <c r="O10" s="57">
        <v>9</v>
      </c>
      <c r="P10" s="57">
        <v>10</v>
      </c>
      <c r="Q10" s="57">
        <v>11</v>
      </c>
      <c r="R10" s="57">
        <v>12</v>
      </c>
      <c r="S10" s="57">
        <v>13</v>
      </c>
      <c r="T10" s="57">
        <v>14</v>
      </c>
      <c r="U10" s="57">
        <v>15</v>
      </c>
      <c r="V10" s="57">
        <v>16</v>
      </c>
      <c r="W10" s="57">
        <v>17</v>
      </c>
      <c r="X10" s="57">
        <v>18</v>
      </c>
      <c r="Y10" s="57">
        <v>19</v>
      </c>
      <c r="Z10" s="57">
        <v>20</v>
      </c>
      <c r="AA10" s="57">
        <v>21</v>
      </c>
      <c r="AB10" s="57">
        <v>22</v>
      </c>
      <c r="AC10" s="49">
        <v>23</v>
      </c>
    </row>
    <row r="11" spans="1:29" x14ac:dyDescent="0.15">
      <c r="G11" s="204" t="s">
        <v>21</v>
      </c>
      <c r="H11" s="53" t="s">
        <v>22</v>
      </c>
      <c r="I11" s="56">
        <f>J11+M11+P11</f>
        <v>0</v>
      </c>
      <c r="J11" s="56">
        <f>K11+L11</f>
        <v>0</v>
      </c>
      <c r="K11" s="54"/>
      <c r="L11" s="54"/>
      <c r="M11" s="56">
        <f>N11+O11</f>
        <v>0</v>
      </c>
      <c r="N11" s="54"/>
      <c r="O11" s="54"/>
      <c r="P11" s="56">
        <f>Q11+R11</f>
        <v>0</v>
      </c>
      <c r="Q11" s="54"/>
      <c r="R11" s="54"/>
      <c r="S11" s="56">
        <f>T11+W11+Z11</f>
        <v>0</v>
      </c>
      <c r="T11" s="56">
        <f>U11+V11</f>
        <v>0</v>
      </c>
      <c r="U11" s="54"/>
      <c r="V11" s="54"/>
      <c r="W11" s="56">
        <f>X11+Y11</f>
        <v>0</v>
      </c>
      <c r="X11" s="54"/>
      <c r="Y11" s="54"/>
      <c r="Z11" s="56">
        <f>AA11+AB11</f>
        <v>0</v>
      </c>
      <c r="AA11" s="54"/>
      <c r="AB11" s="54"/>
      <c r="AC11" s="50">
        <f>SUM(I11:AB11)</f>
        <v>0</v>
      </c>
    </row>
    <row r="12" spans="1:29" x14ac:dyDescent="0.15">
      <c r="G12" s="205" t="s">
        <v>23</v>
      </c>
      <c r="H12" s="4" t="s">
        <v>24</v>
      </c>
      <c r="I12" s="45">
        <f t="shared" ref="I12:I75" si="0">J12+M12+P12</f>
        <v>0</v>
      </c>
      <c r="J12" s="45">
        <f t="shared" ref="J12:J75" si="1">K12+L12</f>
        <v>0</v>
      </c>
      <c r="K12" s="8"/>
      <c r="L12" s="8"/>
      <c r="M12" s="45">
        <f t="shared" ref="M12:M75" si="2">N12+O12</f>
        <v>0</v>
      </c>
      <c r="N12" s="8"/>
      <c r="O12" s="8"/>
      <c r="P12" s="45">
        <f t="shared" ref="P12:P75" si="3">Q12+R12</f>
        <v>0</v>
      </c>
      <c r="Q12" s="8"/>
      <c r="R12" s="8"/>
      <c r="S12" s="45">
        <f t="shared" ref="S12:S75" si="4">T12+W12+Z12</f>
        <v>0</v>
      </c>
      <c r="T12" s="45">
        <f t="shared" ref="T12:T75" si="5">U12+V12</f>
        <v>0</v>
      </c>
      <c r="U12" s="8"/>
      <c r="V12" s="8"/>
      <c r="W12" s="45">
        <f t="shared" ref="W12:W75" si="6">X12+Y12</f>
        <v>0</v>
      </c>
      <c r="X12" s="8"/>
      <c r="Y12" s="8"/>
      <c r="Z12" s="45">
        <f t="shared" ref="Z12:Z75" si="7">AA12+AB12</f>
        <v>0</v>
      </c>
      <c r="AA12" s="8"/>
      <c r="AB12" s="8"/>
      <c r="AC12" s="50">
        <f t="shared" ref="AC12:AC75" si="8">SUM(I12:AB12)</f>
        <v>0</v>
      </c>
    </row>
    <row r="13" spans="1:29" x14ac:dyDescent="0.15">
      <c r="G13" s="205" t="s">
        <v>25</v>
      </c>
      <c r="H13" s="4" t="s">
        <v>26</v>
      </c>
      <c r="I13" s="45">
        <f t="shared" si="0"/>
        <v>0</v>
      </c>
      <c r="J13" s="45">
        <f t="shared" si="1"/>
        <v>0</v>
      </c>
      <c r="K13" s="8"/>
      <c r="L13" s="8"/>
      <c r="M13" s="45">
        <f t="shared" si="2"/>
        <v>0</v>
      </c>
      <c r="N13" s="8"/>
      <c r="O13" s="8"/>
      <c r="P13" s="45">
        <f t="shared" si="3"/>
        <v>0</v>
      </c>
      <c r="Q13" s="8"/>
      <c r="R13" s="8"/>
      <c r="S13" s="45">
        <f t="shared" si="4"/>
        <v>0</v>
      </c>
      <c r="T13" s="45">
        <f t="shared" si="5"/>
        <v>0</v>
      </c>
      <c r="U13" s="8"/>
      <c r="V13" s="8"/>
      <c r="W13" s="45">
        <f t="shared" si="6"/>
        <v>0</v>
      </c>
      <c r="X13" s="8"/>
      <c r="Y13" s="8"/>
      <c r="Z13" s="45">
        <f t="shared" si="7"/>
        <v>0</v>
      </c>
      <c r="AA13" s="8"/>
      <c r="AB13" s="8"/>
      <c r="AC13" s="50">
        <f t="shared" si="8"/>
        <v>0</v>
      </c>
    </row>
    <row r="14" spans="1:29" x14ac:dyDescent="0.15">
      <c r="G14" s="205" t="s">
        <v>27</v>
      </c>
      <c r="H14" s="53" t="s">
        <v>28</v>
      </c>
      <c r="I14" s="45">
        <f t="shared" si="0"/>
        <v>0</v>
      </c>
      <c r="J14" s="45">
        <f t="shared" si="1"/>
        <v>0</v>
      </c>
      <c r="K14" s="8"/>
      <c r="L14" s="8"/>
      <c r="M14" s="45">
        <f t="shared" si="2"/>
        <v>0</v>
      </c>
      <c r="N14" s="8"/>
      <c r="O14" s="8"/>
      <c r="P14" s="45">
        <f t="shared" si="3"/>
        <v>0</v>
      </c>
      <c r="Q14" s="8"/>
      <c r="R14" s="8"/>
      <c r="S14" s="45">
        <f t="shared" si="4"/>
        <v>0</v>
      </c>
      <c r="T14" s="45">
        <f t="shared" si="5"/>
        <v>0</v>
      </c>
      <c r="U14" s="8"/>
      <c r="V14" s="8"/>
      <c r="W14" s="45">
        <f t="shared" si="6"/>
        <v>0</v>
      </c>
      <c r="X14" s="8"/>
      <c r="Y14" s="8"/>
      <c r="Z14" s="45">
        <f t="shared" si="7"/>
        <v>0</v>
      </c>
      <c r="AA14" s="8"/>
      <c r="AB14" s="8"/>
      <c r="AC14" s="50">
        <f t="shared" si="8"/>
        <v>0</v>
      </c>
    </row>
    <row r="15" spans="1:29" x14ac:dyDescent="0.15">
      <c r="G15" s="205" t="s">
        <v>29</v>
      </c>
      <c r="H15" s="4" t="s">
        <v>30</v>
      </c>
      <c r="I15" s="45">
        <f t="shared" si="0"/>
        <v>0</v>
      </c>
      <c r="J15" s="45">
        <f t="shared" si="1"/>
        <v>0</v>
      </c>
      <c r="K15" s="8"/>
      <c r="L15" s="8"/>
      <c r="M15" s="45">
        <f t="shared" si="2"/>
        <v>0</v>
      </c>
      <c r="N15" s="8"/>
      <c r="O15" s="8"/>
      <c r="P15" s="45">
        <f t="shared" si="3"/>
        <v>0</v>
      </c>
      <c r="Q15" s="8"/>
      <c r="R15" s="8"/>
      <c r="S15" s="45">
        <f t="shared" si="4"/>
        <v>0</v>
      </c>
      <c r="T15" s="45">
        <f t="shared" si="5"/>
        <v>0</v>
      </c>
      <c r="U15" s="8"/>
      <c r="V15" s="8"/>
      <c r="W15" s="45">
        <f t="shared" si="6"/>
        <v>0</v>
      </c>
      <c r="X15" s="8"/>
      <c r="Y15" s="8"/>
      <c r="Z15" s="45">
        <f t="shared" si="7"/>
        <v>0</v>
      </c>
      <c r="AA15" s="8"/>
      <c r="AB15" s="8"/>
      <c r="AC15" s="50">
        <f t="shared" si="8"/>
        <v>0</v>
      </c>
    </row>
    <row r="16" spans="1:29" x14ac:dyDescent="0.15">
      <c r="G16" s="205" t="s">
        <v>31</v>
      </c>
      <c r="H16" s="4" t="s">
        <v>32</v>
      </c>
      <c r="I16" s="45">
        <f t="shared" si="0"/>
        <v>0</v>
      </c>
      <c r="J16" s="45">
        <f t="shared" si="1"/>
        <v>0</v>
      </c>
      <c r="K16" s="8"/>
      <c r="L16" s="8"/>
      <c r="M16" s="45">
        <f t="shared" si="2"/>
        <v>0</v>
      </c>
      <c r="N16" s="8"/>
      <c r="O16" s="8"/>
      <c r="P16" s="45">
        <f t="shared" si="3"/>
        <v>0</v>
      </c>
      <c r="Q16" s="8"/>
      <c r="R16" s="8"/>
      <c r="S16" s="45">
        <f t="shared" si="4"/>
        <v>0</v>
      </c>
      <c r="T16" s="45">
        <f t="shared" si="5"/>
        <v>0</v>
      </c>
      <c r="U16" s="8"/>
      <c r="V16" s="8"/>
      <c r="W16" s="45">
        <f t="shared" si="6"/>
        <v>0</v>
      </c>
      <c r="X16" s="8"/>
      <c r="Y16" s="8"/>
      <c r="Z16" s="45">
        <f t="shared" si="7"/>
        <v>0</v>
      </c>
      <c r="AA16" s="8"/>
      <c r="AB16" s="8"/>
      <c r="AC16" s="50">
        <f t="shared" si="8"/>
        <v>0</v>
      </c>
    </row>
    <row r="17" spans="7:29" x14ac:dyDescent="0.15">
      <c r="G17" s="205" t="s">
        <v>33</v>
      </c>
      <c r="H17" s="53" t="s">
        <v>34</v>
      </c>
      <c r="I17" s="45">
        <f t="shared" si="0"/>
        <v>0</v>
      </c>
      <c r="J17" s="45">
        <f t="shared" si="1"/>
        <v>0</v>
      </c>
      <c r="K17" s="45">
        <f t="shared" ref="K17:AB17" si="9">SUM(K18:K19)</f>
        <v>0</v>
      </c>
      <c r="L17" s="45">
        <f t="shared" si="9"/>
        <v>0</v>
      </c>
      <c r="M17" s="45">
        <f t="shared" si="2"/>
        <v>0</v>
      </c>
      <c r="N17" s="45">
        <f t="shared" si="9"/>
        <v>0</v>
      </c>
      <c r="O17" s="45">
        <f t="shared" si="9"/>
        <v>0</v>
      </c>
      <c r="P17" s="45">
        <f t="shared" si="3"/>
        <v>0</v>
      </c>
      <c r="Q17" s="45">
        <f t="shared" si="9"/>
        <v>0</v>
      </c>
      <c r="R17" s="45">
        <f t="shared" si="9"/>
        <v>0</v>
      </c>
      <c r="S17" s="45">
        <f t="shared" si="4"/>
        <v>0</v>
      </c>
      <c r="T17" s="45">
        <f t="shared" si="5"/>
        <v>0</v>
      </c>
      <c r="U17" s="45">
        <f t="shared" si="9"/>
        <v>0</v>
      </c>
      <c r="V17" s="45">
        <f t="shared" si="9"/>
        <v>0</v>
      </c>
      <c r="W17" s="45">
        <f t="shared" si="6"/>
        <v>0</v>
      </c>
      <c r="X17" s="45">
        <f t="shared" si="9"/>
        <v>0</v>
      </c>
      <c r="Y17" s="45">
        <f t="shared" si="9"/>
        <v>0</v>
      </c>
      <c r="Z17" s="45">
        <f t="shared" si="7"/>
        <v>0</v>
      </c>
      <c r="AA17" s="45">
        <f t="shared" si="9"/>
        <v>0</v>
      </c>
      <c r="AB17" s="45">
        <f t="shared" si="9"/>
        <v>0</v>
      </c>
      <c r="AC17" s="50">
        <f t="shared" si="8"/>
        <v>0</v>
      </c>
    </row>
    <row r="18" spans="7:29" ht="21" x14ac:dyDescent="0.15">
      <c r="G18" s="206" t="s">
        <v>35</v>
      </c>
      <c r="H18" s="4" t="s">
        <v>36</v>
      </c>
      <c r="I18" s="45">
        <f t="shared" si="0"/>
        <v>0</v>
      </c>
      <c r="J18" s="45">
        <f t="shared" si="1"/>
        <v>0</v>
      </c>
      <c r="K18" s="8"/>
      <c r="L18" s="8"/>
      <c r="M18" s="45">
        <f t="shared" si="2"/>
        <v>0</v>
      </c>
      <c r="N18" s="8"/>
      <c r="O18" s="8"/>
      <c r="P18" s="45">
        <f t="shared" si="3"/>
        <v>0</v>
      </c>
      <c r="Q18" s="8"/>
      <c r="R18" s="8"/>
      <c r="S18" s="45">
        <f t="shared" si="4"/>
        <v>0</v>
      </c>
      <c r="T18" s="45">
        <f t="shared" si="5"/>
        <v>0</v>
      </c>
      <c r="U18" s="8"/>
      <c r="V18" s="8"/>
      <c r="W18" s="45">
        <f t="shared" si="6"/>
        <v>0</v>
      </c>
      <c r="X18" s="8"/>
      <c r="Y18" s="8"/>
      <c r="Z18" s="45">
        <f t="shared" si="7"/>
        <v>0</v>
      </c>
      <c r="AA18" s="8"/>
      <c r="AB18" s="8"/>
      <c r="AC18" s="50">
        <f t="shared" si="8"/>
        <v>0</v>
      </c>
    </row>
    <row r="19" spans="7:29" ht="21" x14ac:dyDescent="0.15">
      <c r="G19" s="206" t="s">
        <v>37</v>
      </c>
      <c r="H19" s="4" t="s">
        <v>38</v>
      </c>
      <c r="I19" s="45">
        <f t="shared" si="0"/>
        <v>0</v>
      </c>
      <c r="J19" s="45">
        <f t="shared" si="1"/>
        <v>0</v>
      </c>
      <c r="K19" s="8"/>
      <c r="L19" s="8"/>
      <c r="M19" s="45">
        <f t="shared" si="2"/>
        <v>0</v>
      </c>
      <c r="N19" s="8"/>
      <c r="O19" s="8"/>
      <c r="P19" s="45">
        <f t="shared" si="3"/>
        <v>0</v>
      </c>
      <c r="Q19" s="8"/>
      <c r="R19" s="8"/>
      <c r="S19" s="45">
        <f t="shared" si="4"/>
        <v>0</v>
      </c>
      <c r="T19" s="45">
        <f t="shared" si="5"/>
        <v>0</v>
      </c>
      <c r="U19" s="8"/>
      <c r="V19" s="8"/>
      <c r="W19" s="45">
        <f t="shared" si="6"/>
        <v>0</v>
      </c>
      <c r="X19" s="8"/>
      <c r="Y19" s="8"/>
      <c r="Z19" s="45">
        <f t="shared" si="7"/>
        <v>0</v>
      </c>
      <c r="AA19" s="8"/>
      <c r="AB19" s="8"/>
      <c r="AC19" s="50">
        <f t="shared" si="8"/>
        <v>0</v>
      </c>
    </row>
    <row r="20" spans="7:29" x14ac:dyDescent="0.15">
      <c r="G20" s="205" t="s">
        <v>39</v>
      </c>
      <c r="H20" s="53" t="s">
        <v>40</v>
      </c>
      <c r="I20" s="45">
        <f t="shared" si="0"/>
        <v>0</v>
      </c>
      <c r="J20" s="45">
        <f t="shared" si="1"/>
        <v>0</v>
      </c>
      <c r="K20" s="8"/>
      <c r="L20" s="8"/>
      <c r="M20" s="45">
        <f t="shared" si="2"/>
        <v>0</v>
      </c>
      <c r="N20" s="8"/>
      <c r="O20" s="8"/>
      <c r="P20" s="45">
        <f t="shared" si="3"/>
        <v>0</v>
      </c>
      <c r="Q20" s="8"/>
      <c r="R20" s="8"/>
      <c r="S20" s="45">
        <f t="shared" si="4"/>
        <v>0</v>
      </c>
      <c r="T20" s="45">
        <f t="shared" si="5"/>
        <v>0</v>
      </c>
      <c r="U20" s="8"/>
      <c r="V20" s="8"/>
      <c r="W20" s="45">
        <f t="shared" si="6"/>
        <v>0</v>
      </c>
      <c r="X20" s="8"/>
      <c r="Y20" s="8"/>
      <c r="Z20" s="45">
        <f t="shared" si="7"/>
        <v>0</v>
      </c>
      <c r="AA20" s="8"/>
      <c r="AB20" s="8"/>
      <c r="AC20" s="50">
        <f t="shared" si="8"/>
        <v>0</v>
      </c>
    </row>
    <row r="21" spans="7:29" x14ac:dyDescent="0.15">
      <c r="G21" s="205" t="s">
        <v>41</v>
      </c>
      <c r="H21" s="4" t="s">
        <v>42</v>
      </c>
      <c r="I21" s="45">
        <f t="shared" si="0"/>
        <v>0</v>
      </c>
      <c r="J21" s="45">
        <f t="shared" si="1"/>
        <v>0</v>
      </c>
      <c r="K21" s="8"/>
      <c r="L21" s="8"/>
      <c r="M21" s="45">
        <f t="shared" si="2"/>
        <v>0</v>
      </c>
      <c r="N21" s="8"/>
      <c r="O21" s="8"/>
      <c r="P21" s="45">
        <f t="shared" si="3"/>
        <v>0</v>
      </c>
      <c r="Q21" s="8"/>
      <c r="R21" s="8"/>
      <c r="S21" s="45">
        <f t="shared" si="4"/>
        <v>0</v>
      </c>
      <c r="T21" s="45">
        <f t="shared" si="5"/>
        <v>0</v>
      </c>
      <c r="U21" s="8"/>
      <c r="V21" s="8"/>
      <c r="W21" s="45">
        <f t="shared" si="6"/>
        <v>0</v>
      </c>
      <c r="X21" s="8"/>
      <c r="Y21" s="8"/>
      <c r="Z21" s="45">
        <f t="shared" si="7"/>
        <v>0</v>
      </c>
      <c r="AA21" s="8"/>
      <c r="AB21" s="8"/>
      <c r="AC21" s="50">
        <f t="shared" si="8"/>
        <v>0</v>
      </c>
    </row>
    <row r="22" spans="7:29" x14ac:dyDescent="0.15">
      <c r="G22" s="205" t="s">
        <v>43</v>
      </c>
      <c r="H22" s="4" t="s">
        <v>44</v>
      </c>
      <c r="I22" s="45">
        <f t="shared" si="0"/>
        <v>0</v>
      </c>
      <c r="J22" s="45">
        <f t="shared" si="1"/>
        <v>0</v>
      </c>
      <c r="K22" s="8"/>
      <c r="L22" s="8"/>
      <c r="M22" s="45">
        <f t="shared" si="2"/>
        <v>0</v>
      </c>
      <c r="N22" s="8"/>
      <c r="O22" s="8"/>
      <c r="P22" s="45">
        <f t="shared" si="3"/>
        <v>0</v>
      </c>
      <c r="Q22" s="8"/>
      <c r="R22" s="8"/>
      <c r="S22" s="45">
        <f t="shared" si="4"/>
        <v>0</v>
      </c>
      <c r="T22" s="45">
        <f t="shared" si="5"/>
        <v>0</v>
      </c>
      <c r="U22" s="8"/>
      <c r="V22" s="8"/>
      <c r="W22" s="45">
        <f t="shared" si="6"/>
        <v>0</v>
      </c>
      <c r="X22" s="8"/>
      <c r="Y22" s="8"/>
      <c r="Z22" s="45">
        <f t="shared" si="7"/>
        <v>0</v>
      </c>
      <c r="AA22" s="8"/>
      <c r="AB22" s="8"/>
      <c r="AC22" s="50">
        <f t="shared" si="8"/>
        <v>0</v>
      </c>
    </row>
    <row r="23" spans="7:29" ht="21" x14ac:dyDescent="0.15">
      <c r="G23" s="205" t="s">
        <v>45</v>
      </c>
      <c r="H23" s="53" t="s">
        <v>46</v>
      </c>
      <c r="I23" s="45">
        <f t="shared" si="0"/>
        <v>0</v>
      </c>
      <c r="J23" s="45">
        <f t="shared" si="1"/>
        <v>0</v>
      </c>
      <c r="K23" s="8"/>
      <c r="L23" s="8"/>
      <c r="M23" s="45">
        <f t="shared" si="2"/>
        <v>0</v>
      </c>
      <c r="N23" s="8"/>
      <c r="O23" s="8"/>
      <c r="P23" s="45">
        <f t="shared" si="3"/>
        <v>0</v>
      </c>
      <c r="Q23" s="8"/>
      <c r="R23" s="8"/>
      <c r="S23" s="45">
        <f t="shared" si="4"/>
        <v>0</v>
      </c>
      <c r="T23" s="45">
        <f t="shared" si="5"/>
        <v>0</v>
      </c>
      <c r="U23" s="8"/>
      <c r="V23" s="8"/>
      <c r="W23" s="45">
        <f t="shared" si="6"/>
        <v>0</v>
      </c>
      <c r="X23" s="8"/>
      <c r="Y23" s="8"/>
      <c r="Z23" s="45">
        <f t="shared" si="7"/>
        <v>0</v>
      </c>
      <c r="AA23" s="8"/>
      <c r="AB23" s="8"/>
      <c r="AC23" s="50">
        <f t="shared" si="8"/>
        <v>0</v>
      </c>
    </row>
    <row r="24" spans="7:29" x14ac:dyDescent="0.15">
      <c r="G24" s="205" t="s">
        <v>47</v>
      </c>
      <c r="H24" s="4" t="s">
        <v>48</v>
      </c>
      <c r="I24" s="45">
        <f t="shared" si="0"/>
        <v>0</v>
      </c>
      <c r="J24" s="45">
        <f t="shared" si="1"/>
        <v>0</v>
      </c>
      <c r="K24" s="8"/>
      <c r="L24" s="8"/>
      <c r="M24" s="45">
        <f t="shared" si="2"/>
        <v>0</v>
      </c>
      <c r="N24" s="8"/>
      <c r="O24" s="8"/>
      <c r="P24" s="45">
        <f t="shared" si="3"/>
        <v>0</v>
      </c>
      <c r="Q24" s="8"/>
      <c r="R24" s="8"/>
      <c r="S24" s="45">
        <f t="shared" si="4"/>
        <v>0</v>
      </c>
      <c r="T24" s="45">
        <f t="shared" si="5"/>
        <v>0</v>
      </c>
      <c r="U24" s="8"/>
      <c r="V24" s="8"/>
      <c r="W24" s="45">
        <f t="shared" si="6"/>
        <v>0</v>
      </c>
      <c r="X24" s="8"/>
      <c r="Y24" s="8"/>
      <c r="Z24" s="45">
        <f t="shared" si="7"/>
        <v>0</v>
      </c>
      <c r="AA24" s="8"/>
      <c r="AB24" s="8"/>
      <c r="AC24" s="50">
        <f t="shared" si="8"/>
        <v>0</v>
      </c>
    </row>
    <row r="25" spans="7:29" x14ac:dyDescent="0.15">
      <c r="G25" s="205" t="s">
        <v>49</v>
      </c>
      <c r="H25" s="4" t="s">
        <v>50</v>
      </c>
      <c r="I25" s="45">
        <f t="shared" si="0"/>
        <v>0</v>
      </c>
      <c r="J25" s="45">
        <f t="shared" si="1"/>
        <v>0</v>
      </c>
      <c r="K25" s="8"/>
      <c r="L25" s="8"/>
      <c r="M25" s="45">
        <f t="shared" si="2"/>
        <v>0</v>
      </c>
      <c r="N25" s="8"/>
      <c r="O25" s="8"/>
      <c r="P25" s="45">
        <f t="shared" si="3"/>
        <v>0</v>
      </c>
      <c r="Q25" s="8"/>
      <c r="R25" s="8"/>
      <c r="S25" s="45">
        <f t="shared" si="4"/>
        <v>0</v>
      </c>
      <c r="T25" s="45">
        <f t="shared" si="5"/>
        <v>0</v>
      </c>
      <c r="U25" s="8"/>
      <c r="V25" s="8"/>
      <c r="W25" s="45">
        <f t="shared" si="6"/>
        <v>0</v>
      </c>
      <c r="X25" s="8"/>
      <c r="Y25" s="8"/>
      <c r="Z25" s="45">
        <f t="shared" si="7"/>
        <v>0</v>
      </c>
      <c r="AA25" s="8"/>
      <c r="AB25" s="8"/>
      <c r="AC25" s="50">
        <f t="shared" si="8"/>
        <v>0</v>
      </c>
    </row>
    <row r="26" spans="7:29" x14ac:dyDescent="0.15">
      <c r="G26" s="205" t="s">
        <v>51</v>
      </c>
      <c r="H26" s="53" t="s">
        <v>52</v>
      </c>
      <c r="I26" s="45">
        <f t="shared" si="0"/>
        <v>0</v>
      </c>
      <c r="J26" s="45">
        <f t="shared" si="1"/>
        <v>0</v>
      </c>
      <c r="K26" s="46">
        <f t="shared" ref="K26:AB26" si="10">SUM(K27:K30)</f>
        <v>0</v>
      </c>
      <c r="L26" s="46">
        <f t="shared" si="10"/>
        <v>0</v>
      </c>
      <c r="M26" s="45">
        <f t="shared" si="2"/>
        <v>0</v>
      </c>
      <c r="N26" s="46">
        <f t="shared" si="10"/>
        <v>0</v>
      </c>
      <c r="O26" s="46">
        <f t="shared" si="10"/>
        <v>0</v>
      </c>
      <c r="P26" s="45">
        <f t="shared" si="3"/>
        <v>0</v>
      </c>
      <c r="Q26" s="46">
        <f t="shared" si="10"/>
        <v>0</v>
      </c>
      <c r="R26" s="46">
        <f t="shared" si="10"/>
        <v>0</v>
      </c>
      <c r="S26" s="45">
        <f t="shared" si="4"/>
        <v>0</v>
      </c>
      <c r="T26" s="45">
        <f t="shared" si="5"/>
        <v>0</v>
      </c>
      <c r="U26" s="46">
        <f t="shared" si="10"/>
        <v>0</v>
      </c>
      <c r="V26" s="46">
        <f t="shared" si="10"/>
        <v>0</v>
      </c>
      <c r="W26" s="45">
        <f t="shared" si="6"/>
        <v>0</v>
      </c>
      <c r="X26" s="46">
        <f t="shared" si="10"/>
        <v>0</v>
      </c>
      <c r="Y26" s="46">
        <f t="shared" si="10"/>
        <v>0</v>
      </c>
      <c r="Z26" s="45">
        <f t="shared" si="7"/>
        <v>0</v>
      </c>
      <c r="AA26" s="46">
        <f t="shared" si="10"/>
        <v>0</v>
      </c>
      <c r="AB26" s="46">
        <f t="shared" si="10"/>
        <v>0</v>
      </c>
      <c r="AC26" s="50">
        <f t="shared" si="8"/>
        <v>0</v>
      </c>
    </row>
    <row r="27" spans="7:29" ht="21" x14ac:dyDescent="0.15">
      <c r="G27" s="206" t="s">
        <v>865</v>
      </c>
      <c r="H27" s="4" t="s">
        <v>53</v>
      </c>
      <c r="I27" s="45">
        <f t="shared" si="0"/>
        <v>0</v>
      </c>
      <c r="J27" s="45">
        <f t="shared" si="1"/>
        <v>0</v>
      </c>
      <c r="K27" s="8"/>
      <c r="L27" s="8"/>
      <c r="M27" s="45">
        <f t="shared" si="2"/>
        <v>0</v>
      </c>
      <c r="N27" s="8"/>
      <c r="O27" s="8"/>
      <c r="P27" s="45">
        <f t="shared" si="3"/>
        <v>0</v>
      </c>
      <c r="Q27" s="8"/>
      <c r="R27" s="8"/>
      <c r="S27" s="45">
        <f t="shared" si="4"/>
        <v>0</v>
      </c>
      <c r="T27" s="45">
        <f t="shared" si="5"/>
        <v>0</v>
      </c>
      <c r="U27" s="8"/>
      <c r="V27" s="8"/>
      <c r="W27" s="45">
        <f t="shared" si="6"/>
        <v>0</v>
      </c>
      <c r="X27" s="8"/>
      <c r="Y27" s="8"/>
      <c r="Z27" s="45">
        <f t="shared" si="7"/>
        <v>0</v>
      </c>
      <c r="AA27" s="8"/>
      <c r="AB27" s="8"/>
      <c r="AC27" s="50">
        <f t="shared" si="8"/>
        <v>0</v>
      </c>
    </row>
    <row r="28" spans="7:29" x14ac:dyDescent="0.15">
      <c r="G28" s="206" t="s">
        <v>54</v>
      </c>
      <c r="H28" s="4" t="s">
        <v>55</v>
      </c>
      <c r="I28" s="45">
        <f t="shared" si="0"/>
        <v>0</v>
      </c>
      <c r="J28" s="45">
        <f t="shared" si="1"/>
        <v>0</v>
      </c>
      <c r="K28" s="8"/>
      <c r="L28" s="8"/>
      <c r="M28" s="45">
        <f t="shared" si="2"/>
        <v>0</v>
      </c>
      <c r="N28" s="8"/>
      <c r="O28" s="8"/>
      <c r="P28" s="45">
        <f t="shared" si="3"/>
        <v>0</v>
      </c>
      <c r="Q28" s="8"/>
      <c r="R28" s="8"/>
      <c r="S28" s="45">
        <f t="shared" si="4"/>
        <v>0</v>
      </c>
      <c r="T28" s="45">
        <f t="shared" si="5"/>
        <v>0</v>
      </c>
      <c r="U28" s="8"/>
      <c r="V28" s="8"/>
      <c r="W28" s="45">
        <f t="shared" si="6"/>
        <v>0</v>
      </c>
      <c r="X28" s="8"/>
      <c r="Y28" s="8"/>
      <c r="Z28" s="45">
        <f t="shared" si="7"/>
        <v>0</v>
      </c>
      <c r="AA28" s="8"/>
      <c r="AB28" s="8"/>
      <c r="AC28" s="50">
        <f t="shared" si="8"/>
        <v>0</v>
      </c>
    </row>
    <row r="29" spans="7:29" x14ac:dyDescent="0.15">
      <c r="G29" s="206" t="s">
        <v>56</v>
      </c>
      <c r="H29" s="53" t="s">
        <v>57</v>
      </c>
      <c r="I29" s="45">
        <f t="shared" si="0"/>
        <v>0</v>
      </c>
      <c r="J29" s="45">
        <f t="shared" si="1"/>
        <v>0</v>
      </c>
      <c r="K29" s="8"/>
      <c r="L29" s="8"/>
      <c r="M29" s="45">
        <f t="shared" si="2"/>
        <v>0</v>
      </c>
      <c r="N29" s="8"/>
      <c r="O29" s="8"/>
      <c r="P29" s="45">
        <f t="shared" si="3"/>
        <v>0</v>
      </c>
      <c r="Q29" s="8"/>
      <c r="R29" s="8"/>
      <c r="S29" s="45">
        <f t="shared" si="4"/>
        <v>0</v>
      </c>
      <c r="T29" s="45">
        <f t="shared" si="5"/>
        <v>0</v>
      </c>
      <c r="U29" s="8"/>
      <c r="V29" s="8"/>
      <c r="W29" s="45">
        <f t="shared" si="6"/>
        <v>0</v>
      </c>
      <c r="X29" s="8"/>
      <c r="Y29" s="8"/>
      <c r="Z29" s="45">
        <f t="shared" si="7"/>
        <v>0</v>
      </c>
      <c r="AA29" s="8"/>
      <c r="AB29" s="8"/>
      <c r="AC29" s="50">
        <f t="shared" si="8"/>
        <v>0</v>
      </c>
    </row>
    <row r="30" spans="7:29" ht="21" x14ac:dyDescent="0.15">
      <c r="G30" s="206" t="s">
        <v>58</v>
      </c>
      <c r="H30" s="4" t="s">
        <v>59</v>
      </c>
      <c r="I30" s="45">
        <f t="shared" si="0"/>
        <v>0</v>
      </c>
      <c r="J30" s="45">
        <f t="shared" si="1"/>
        <v>0</v>
      </c>
      <c r="K30" s="8"/>
      <c r="L30" s="8"/>
      <c r="M30" s="45">
        <f t="shared" si="2"/>
        <v>0</v>
      </c>
      <c r="N30" s="8"/>
      <c r="O30" s="8"/>
      <c r="P30" s="45">
        <f t="shared" si="3"/>
        <v>0</v>
      </c>
      <c r="Q30" s="8"/>
      <c r="R30" s="8"/>
      <c r="S30" s="45">
        <f t="shared" si="4"/>
        <v>0</v>
      </c>
      <c r="T30" s="45">
        <f t="shared" si="5"/>
        <v>0</v>
      </c>
      <c r="U30" s="8"/>
      <c r="V30" s="8"/>
      <c r="W30" s="45">
        <f t="shared" si="6"/>
        <v>0</v>
      </c>
      <c r="X30" s="8"/>
      <c r="Y30" s="8"/>
      <c r="Z30" s="45">
        <f t="shared" si="7"/>
        <v>0</v>
      </c>
      <c r="AA30" s="8"/>
      <c r="AB30" s="8"/>
      <c r="AC30" s="50">
        <f t="shared" si="8"/>
        <v>0</v>
      </c>
    </row>
    <row r="31" spans="7:29" x14ac:dyDescent="0.15">
      <c r="G31" s="205" t="s">
        <v>60</v>
      </c>
      <c r="H31" s="4" t="s">
        <v>61</v>
      </c>
      <c r="I31" s="45">
        <f t="shared" si="0"/>
        <v>0</v>
      </c>
      <c r="J31" s="45">
        <f t="shared" si="1"/>
        <v>0</v>
      </c>
      <c r="K31" s="8"/>
      <c r="L31" s="8"/>
      <c r="M31" s="45">
        <f t="shared" si="2"/>
        <v>0</v>
      </c>
      <c r="N31" s="8"/>
      <c r="O31" s="8"/>
      <c r="P31" s="45">
        <f t="shared" si="3"/>
        <v>0</v>
      </c>
      <c r="Q31" s="8"/>
      <c r="R31" s="8"/>
      <c r="S31" s="45">
        <f t="shared" si="4"/>
        <v>0</v>
      </c>
      <c r="T31" s="45">
        <f t="shared" si="5"/>
        <v>0</v>
      </c>
      <c r="U31" s="8"/>
      <c r="V31" s="8"/>
      <c r="W31" s="45">
        <f t="shared" si="6"/>
        <v>0</v>
      </c>
      <c r="X31" s="8"/>
      <c r="Y31" s="8"/>
      <c r="Z31" s="45">
        <f t="shared" si="7"/>
        <v>0</v>
      </c>
      <c r="AA31" s="8"/>
      <c r="AB31" s="8"/>
      <c r="AC31" s="50">
        <f t="shared" si="8"/>
        <v>0</v>
      </c>
    </row>
    <row r="32" spans="7:29" x14ac:dyDescent="0.15">
      <c r="G32" s="205" t="s">
        <v>62</v>
      </c>
      <c r="H32" s="53" t="s">
        <v>63</v>
      </c>
      <c r="I32" s="45">
        <f t="shared" si="0"/>
        <v>0</v>
      </c>
      <c r="J32" s="45">
        <f t="shared" si="1"/>
        <v>0</v>
      </c>
      <c r="K32" s="8"/>
      <c r="L32" s="8"/>
      <c r="M32" s="45">
        <f t="shared" si="2"/>
        <v>0</v>
      </c>
      <c r="N32" s="8"/>
      <c r="O32" s="8"/>
      <c r="P32" s="45">
        <f t="shared" si="3"/>
        <v>0</v>
      </c>
      <c r="Q32" s="8"/>
      <c r="R32" s="8"/>
      <c r="S32" s="45">
        <f t="shared" si="4"/>
        <v>0</v>
      </c>
      <c r="T32" s="45">
        <f t="shared" si="5"/>
        <v>0</v>
      </c>
      <c r="U32" s="8"/>
      <c r="V32" s="8"/>
      <c r="W32" s="45">
        <f t="shared" si="6"/>
        <v>0</v>
      </c>
      <c r="X32" s="8"/>
      <c r="Y32" s="8"/>
      <c r="Z32" s="45">
        <f t="shared" si="7"/>
        <v>0</v>
      </c>
      <c r="AA32" s="8"/>
      <c r="AB32" s="8"/>
      <c r="AC32" s="50">
        <f t="shared" si="8"/>
        <v>0</v>
      </c>
    </row>
    <row r="33" spans="7:29" x14ac:dyDescent="0.15">
      <c r="G33" s="205" t="s">
        <v>64</v>
      </c>
      <c r="H33" s="4" t="s">
        <v>65</v>
      </c>
      <c r="I33" s="45">
        <f t="shared" si="0"/>
        <v>0</v>
      </c>
      <c r="J33" s="45">
        <f t="shared" si="1"/>
        <v>0</v>
      </c>
      <c r="K33" s="8"/>
      <c r="L33" s="8"/>
      <c r="M33" s="45">
        <f t="shared" si="2"/>
        <v>0</v>
      </c>
      <c r="N33" s="8"/>
      <c r="O33" s="8"/>
      <c r="P33" s="45">
        <f t="shared" si="3"/>
        <v>0</v>
      </c>
      <c r="Q33" s="8"/>
      <c r="R33" s="8"/>
      <c r="S33" s="45">
        <f t="shared" si="4"/>
        <v>0</v>
      </c>
      <c r="T33" s="45">
        <f t="shared" si="5"/>
        <v>0</v>
      </c>
      <c r="U33" s="8"/>
      <c r="V33" s="8"/>
      <c r="W33" s="45">
        <f t="shared" si="6"/>
        <v>0</v>
      </c>
      <c r="X33" s="8"/>
      <c r="Y33" s="8"/>
      <c r="Z33" s="45">
        <f t="shared" si="7"/>
        <v>0</v>
      </c>
      <c r="AA33" s="8"/>
      <c r="AB33" s="8"/>
      <c r="AC33" s="50">
        <f t="shared" si="8"/>
        <v>0</v>
      </c>
    </row>
    <row r="34" spans="7:29" x14ac:dyDescent="0.15">
      <c r="G34" s="205" t="s">
        <v>66</v>
      </c>
      <c r="H34" s="4" t="s">
        <v>67</v>
      </c>
      <c r="I34" s="45">
        <f t="shared" si="0"/>
        <v>0</v>
      </c>
      <c r="J34" s="45">
        <f t="shared" si="1"/>
        <v>0</v>
      </c>
      <c r="K34" s="46">
        <f t="shared" ref="K34:AB34" si="11">SUM(K35:K38)</f>
        <v>0</v>
      </c>
      <c r="L34" s="46">
        <f t="shared" si="11"/>
        <v>0</v>
      </c>
      <c r="M34" s="45">
        <f t="shared" si="2"/>
        <v>0</v>
      </c>
      <c r="N34" s="46">
        <f t="shared" si="11"/>
        <v>0</v>
      </c>
      <c r="O34" s="46">
        <f t="shared" si="11"/>
        <v>0</v>
      </c>
      <c r="P34" s="45">
        <f t="shared" si="3"/>
        <v>0</v>
      </c>
      <c r="Q34" s="46">
        <f t="shared" si="11"/>
        <v>0</v>
      </c>
      <c r="R34" s="46">
        <f t="shared" si="11"/>
        <v>0</v>
      </c>
      <c r="S34" s="45">
        <f t="shared" si="4"/>
        <v>0</v>
      </c>
      <c r="T34" s="45">
        <f t="shared" si="5"/>
        <v>0</v>
      </c>
      <c r="U34" s="46">
        <f t="shared" si="11"/>
        <v>0</v>
      </c>
      <c r="V34" s="46">
        <f t="shared" si="11"/>
        <v>0</v>
      </c>
      <c r="W34" s="45">
        <f t="shared" si="6"/>
        <v>0</v>
      </c>
      <c r="X34" s="46">
        <f t="shared" si="11"/>
        <v>0</v>
      </c>
      <c r="Y34" s="46">
        <f t="shared" si="11"/>
        <v>0</v>
      </c>
      <c r="Z34" s="45">
        <f t="shared" si="7"/>
        <v>0</v>
      </c>
      <c r="AA34" s="46">
        <f t="shared" si="11"/>
        <v>0</v>
      </c>
      <c r="AB34" s="46">
        <f t="shared" si="11"/>
        <v>0</v>
      </c>
      <c r="AC34" s="50">
        <f t="shared" si="8"/>
        <v>0</v>
      </c>
    </row>
    <row r="35" spans="7:29" ht="21" x14ac:dyDescent="0.15">
      <c r="G35" s="206" t="s">
        <v>68</v>
      </c>
      <c r="H35" s="53" t="s">
        <v>69</v>
      </c>
      <c r="I35" s="45">
        <f t="shared" si="0"/>
        <v>0</v>
      </c>
      <c r="J35" s="45">
        <f t="shared" si="1"/>
        <v>0</v>
      </c>
      <c r="K35" s="8"/>
      <c r="L35" s="8"/>
      <c r="M35" s="45">
        <f t="shared" si="2"/>
        <v>0</v>
      </c>
      <c r="N35" s="8"/>
      <c r="O35" s="8"/>
      <c r="P35" s="45">
        <f t="shared" si="3"/>
        <v>0</v>
      </c>
      <c r="Q35" s="8"/>
      <c r="R35" s="8"/>
      <c r="S35" s="45">
        <f t="shared" si="4"/>
        <v>0</v>
      </c>
      <c r="T35" s="45">
        <f t="shared" si="5"/>
        <v>0</v>
      </c>
      <c r="U35" s="8"/>
      <c r="V35" s="8"/>
      <c r="W35" s="45">
        <f t="shared" si="6"/>
        <v>0</v>
      </c>
      <c r="X35" s="8"/>
      <c r="Y35" s="8"/>
      <c r="Z35" s="45">
        <f t="shared" si="7"/>
        <v>0</v>
      </c>
      <c r="AA35" s="8"/>
      <c r="AB35" s="8"/>
      <c r="AC35" s="50">
        <f t="shared" si="8"/>
        <v>0</v>
      </c>
    </row>
    <row r="36" spans="7:29" x14ac:dyDescent="0.15">
      <c r="G36" s="206" t="s">
        <v>70</v>
      </c>
      <c r="H36" s="4" t="s">
        <v>71</v>
      </c>
      <c r="I36" s="45">
        <f t="shared" si="0"/>
        <v>0</v>
      </c>
      <c r="J36" s="45">
        <f t="shared" si="1"/>
        <v>0</v>
      </c>
      <c r="K36" s="8"/>
      <c r="L36" s="8"/>
      <c r="M36" s="45">
        <f t="shared" si="2"/>
        <v>0</v>
      </c>
      <c r="N36" s="8"/>
      <c r="O36" s="8"/>
      <c r="P36" s="45">
        <f t="shared" si="3"/>
        <v>0</v>
      </c>
      <c r="Q36" s="8"/>
      <c r="R36" s="8"/>
      <c r="S36" s="45">
        <f t="shared" si="4"/>
        <v>0</v>
      </c>
      <c r="T36" s="45">
        <f t="shared" si="5"/>
        <v>0</v>
      </c>
      <c r="U36" s="8"/>
      <c r="V36" s="8"/>
      <c r="W36" s="45">
        <f t="shared" si="6"/>
        <v>0</v>
      </c>
      <c r="X36" s="8"/>
      <c r="Y36" s="8"/>
      <c r="Z36" s="45">
        <f t="shared" si="7"/>
        <v>0</v>
      </c>
      <c r="AA36" s="8"/>
      <c r="AB36" s="8"/>
      <c r="AC36" s="50">
        <f t="shared" si="8"/>
        <v>0</v>
      </c>
    </row>
    <row r="37" spans="7:29" x14ac:dyDescent="0.15">
      <c r="G37" s="206" t="s">
        <v>72</v>
      </c>
      <c r="H37" s="4" t="s">
        <v>73</v>
      </c>
      <c r="I37" s="45">
        <f t="shared" si="0"/>
        <v>0</v>
      </c>
      <c r="J37" s="45">
        <f t="shared" si="1"/>
        <v>0</v>
      </c>
      <c r="K37" s="8"/>
      <c r="L37" s="8"/>
      <c r="M37" s="45">
        <f t="shared" si="2"/>
        <v>0</v>
      </c>
      <c r="N37" s="8"/>
      <c r="O37" s="8"/>
      <c r="P37" s="45">
        <f t="shared" si="3"/>
        <v>0</v>
      </c>
      <c r="Q37" s="8"/>
      <c r="R37" s="8"/>
      <c r="S37" s="45">
        <f t="shared" si="4"/>
        <v>0</v>
      </c>
      <c r="T37" s="45">
        <f t="shared" si="5"/>
        <v>0</v>
      </c>
      <c r="U37" s="8"/>
      <c r="V37" s="8"/>
      <c r="W37" s="45">
        <f t="shared" si="6"/>
        <v>0</v>
      </c>
      <c r="X37" s="8"/>
      <c r="Y37" s="8"/>
      <c r="Z37" s="45">
        <f t="shared" si="7"/>
        <v>0</v>
      </c>
      <c r="AA37" s="8"/>
      <c r="AB37" s="8"/>
      <c r="AC37" s="50">
        <f t="shared" si="8"/>
        <v>0</v>
      </c>
    </row>
    <row r="38" spans="7:29" ht="21" x14ac:dyDescent="0.15">
      <c r="G38" s="206" t="s">
        <v>74</v>
      </c>
      <c r="H38" s="53" t="s">
        <v>75</v>
      </c>
      <c r="I38" s="45">
        <f t="shared" si="0"/>
        <v>0</v>
      </c>
      <c r="J38" s="45">
        <f t="shared" si="1"/>
        <v>0</v>
      </c>
      <c r="K38" s="8"/>
      <c r="L38" s="8"/>
      <c r="M38" s="45">
        <f t="shared" si="2"/>
        <v>0</v>
      </c>
      <c r="N38" s="8"/>
      <c r="O38" s="8"/>
      <c r="P38" s="45">
        <f t="shared" si="3"/>
        <v>0</v>
      </c>
      <c r="Q38" s="8"/>
      <c r="R38" s="8"/>
      <c r="S38" s="45">
        <f t="shared" si="4"/>
        <v>0</v>
      </c>
      <c r="T38" s="45">
        <f t="shared" si="5"/>
        <v>0</v>
      </c>
      <c r="U38" s="8"/>
      <c r="V38" s="8"/>
      <c r="W38" s="45">
        <f t="shared" si="6"/>
        <v>0</v>
      </c>
      <c r="X38" s="8"/>
      <c r="Y38" s="8"/>
      <c r="Z38" s="45">
        <f t="shared" si="7"/>
        <v>0</v>
      </c>
      <c r="AA38" s="8"/>
      <c r="AB38" s="8"/>
      <c r="AC38" s="50">
        <f t="shared" si="8"/>
        <v>0</v>
      </c>
    </row>
    <row r="39" spans="7:29" x14ac:dyDescent="0.15">
      <c r="G39" s="205" t="s">
        <v>76</v>
      </c>
      <c r="H39" s="4" t="s">
        <v>77</v>
      </c>
      <c r="I39" s="45">
        <f t="shared" si="0"/>
        <v>0</v>
      </c>
      <c r="J39" s="45">
        <f t="shared" si="1"/>
        <v>0</v>
      </c>
      <c r="K39" s="8"/>
      <c r="L39" s="8"/>
      <c r="M39" s="45">
        <f t="shared" si="2"/>
        <v>0</v>
      </c>
      <c r="N39" s="8"/>
      <c r="O39" s="8"/>
      <c r="P39" s="45">
        <f t="shared" si="3"/>
        <v>0</v>
      </c>
      <c r="Q39" s="8"/>
      <c r="R39" s="8"/>
      <c r="S39" s="45">
        <f t="shared" si="4"/>
        <v>0</v>
      </c>
      <c r="T39" s="45">
        <f t="shared" si="5"/>
        <v>0</v>
      </c>
      <c r="U39" s="8"/>
      <c r="V39" s="8"/>
      <c r="W39" s="45">
        <f t="shared" si="6"/>
        <v>0</v>
      </c>
      <c r="X39" s="8"/>
      <c r="Y39" s="8"/>
      <c r="Z39" s="45">
        <f t="shared" si="7"/>
        <v>0</v>
      </c>
      <c r="AA39" s="8"/>
      <c r="AB39" s="8"/>
      <c r="AC39" s="50">
        <f t="shared" si="8"/>
        <v>0</v>
      </c>
    </row>
    <row r="40" spans="7:29" x14ac:dyDescent="0.15">
      <c r="G40" s="205" t="s">
        <v>78</v>
      </c>
      <c r="H40" s="4" t="s">
        <v>79</v>
      </c>
      <c r="I40" s="45">
        <f t="shared" si="0"/>
        <v>0</v>
      </c>
      <c r="J40" s="45">
        <f t="shared" si="1"/>
        <v>0</v>
      </c>
      <c r="K40" s="8"/>
      <c r="L40" s="8"/>
      <c r="M40" s="45">
        <f t="shared" si="2"/>
        <v>0</v>
      </c>
      <c r="N40" s="8"/>
      <c r="O40" s="8"/>
      <c r="P40" s="45">
        <f t="shared" si="3"/>
        <v>0</v>
      </c>
      <c r="Q40" s="8"/>
      <c r="R40" s="8"/>
      <c r="S40" s="45">
        <f t="shared" si="4"/>
        <v>0</v>
      </c>
      <c r="T40" s="45">
        <f t="shared" si="5"/>
        <v>0</v>
      </c>
      <c r="U40" s="8"/>
      <c r="V40" s="8"/>
      <c r="W40" s="45">
        <f t="shared" si="6"/>
        <v>0</v>
      </c>
      <c r="X40" s="8"/>
      <c r="Y40" s="8"/>
      <c r="Z40" s="45">
        <f t="shared" si="7"/>
        <v>0</v>
      </c>
      <c r="AA40" s="8"/>
      <c r="AB40" s="8"/>
      <c r="AC40" s="50">
        <f t="shared" si="8"/>
        <v>0</v>
      </c>
    </row>
    <row r="41" spans="7:29" x14ac:dyDescent="0.15">
      <c r="G41" s="205" t="s">
        <v>80</v>
      </c>
      <c r="H41" s="53" t="s">
        <v>81</v>
      </c>
      <c r="I41" s="45">
        <f t="shared" si="0"/>
        <v>0</v>
      </c>
      <c r="J41" s="45">
        <f t="shared" si="1"/>
        <v>0</v>
      </c>
      <c r="K41" s="8"/>
      <c r="L41" s="8"/>
      <c r="M41" s="45">
        <f t="shared" si="2"/>
        <v>0</v>
      </c>
      <c r="N41" s="8"/>
      <c r="O41" s="8"/>
      <c r="P41" s="45">
        <f t="shared" si="3"/>
        <v>0</v>
      </c>
      <c r="Q41" s="8"/>
      <c r="R41" s="8"/>
      <c r="S41" s="45">
        <f t="shared" si="4"/>
        <v>0</v>
      </c>
      <c r="T41" s="45">
        <f t="shared" si="5"/>
        <v>0</v>
      </c>
      <c r="U41" s="8"/>
      <c r="V41" s="8"/>
      <c r="W41" s="45">
        <f t="shared" si="6"/>
        <v>0</v>
      </c>
      <c r="X41" s="8"/>
      <c r="Y41" s="8"/>
      <c r="Z41" s="45">
        <f t="shared" si="7"/>
        <v>0</v>
      </c>
      <c r="AA41" s="8"/>
      <c r="AB41" s="8"/>
      <c r="AC41" s="50">
        <f t="shared" si="8"/>
        <v>0</v>
      </c>
    </row>
    <row r="42" spans="7:29" x14ac:dyDescent="0.15">
      <c r="G42" s="205" t="s">
        <v>82</v>
      </c>
      <c r="H42" s="4" t="s">
        <v>83</v>
      </c>
      <c r="I42" s="45">
        <f t="shared" si="0"/>
        <v>0</v>
      </c>
      <c r="J42" s="45">
        <f t="shared" si="1"/>
        <v>0</v>
      </c>
      <c r="K42" s="8"/>
      <c r="L42" s="8"/>
      <c r="M42" s="45">
        <f t="shared" si="2"/>
        <v>0</v>
      </c>
      <c r="N42" s="8"/>
      <c r="O42" s="8"/>
      <c r="P42" s="45">
        <f t="shared" si="3"/>
        <v>0</v>
      </c>
      <c r="Q42" s="8"/>
      <c r="R42" s="8"/>
      <c r="S42" s="45">
        <f t="shared" si="4"/>
        <v>0</v>
      </c>
      <c r="T42" s="45">
        <f t="shared" si="5"/>
        <v>0</v>
      </c>
      <c r="U42" s="8"/>
      <c r="V42" s="8"/>
      <c r="W42" s="45">
        <f t="shared" si="6"/>
        <v>0</v>
      </c>
      <c r="X42" s="8"/>
      <c r="Y42" s="8"/>
      <c r="Z42" s="45">
        <f t="shared" si="7"/>
        <v>0</v>
      </c>
      <c r="AA42" s="8"/>
      <c r="AB42" s="8"/>
      <c r="AC42" s="50">
        <f t="shared" si="8"/>
        <v>0</v>
      </c>
    </row>
    <row r="43" spans="7:29" x14ac:dyDescent="0.15">
      <c r="G43" s="205" t="s">
        <v>84</v>
      </c>
      <c r="H43" s="4" t="s">
        <v>85</v>
      </c>
      <c r="I43" s="45">
        <f t="shared" si="0"/>
        <v>0</v>
      </c>
      <c r="J43" s="45">
        <f t="shared" si="1"/>
        <v>0</v>
      </c>
      <c r="K43" s="8"/>
      <c r="L43" s="8"/>
      <c r="M43" s="45">
        <f t="shared" si="2"/>
        <v>0</v>
      </c>
      <c r="N43" s="8"/>
      <c r="O43" s="8"/>
      <c r="P43" s="45">
        <f t="shared" si="3"/>
        <v>0</v>
      </c>
      <c r="Q43" s="8"/>
      <c r="R43" s="8"/>
      <c r="S43" s="45">
        <f t="shared" si="4"/>
        <v>0</v>
      </c>
      <c r="T43" s="45">
        <f t="shared" si="5"/>
        <v>0</v>
      </c>
      <c r="U43" s="8"/>
      <c r="V43" s="8"/>
      <c r="W43" s="45">
        <f t="shared" si="6"/>
        <v>0</v>
      </c>
      <c r="X43" s="8"/>
      <c r="Y43" s="8"/>
      <c r="Z43" s="45">
        <f t="shared" si="7"/>
        <v>0</v>
      </c>
      <c r="AA43" s="8"/>
      <c r="AB43" s="8"/>
      <c r="AC43" s="50">
        <f t="shared" si="8"/>
        <v>0</v>
      </c>
    </row>
    <row r="44" spans="7:29" x14ac:dyDescent="0.15">
      <c r="G44" s="205" t="s">
        <v>86</v>
      </c>
      <c r="H44" s="53" t="s">
        <v>87</v>
      </c>
      <c r="I44" s="45">
        <f t="shared" si="0"/>
        <v>0</v>
      </c>
      <c r="J44" s="45">
        <f t="shared" si="1"/>
        <v>0</v>
      </c>
      <c r="K44" s="8"/>
      <c r="L44" s="8"/>
      <c r="M44" s="45">
        <f t="shared" si="2"/>
        <v>0</v>
      </c>
      <c r="N44" s="8"/>
      <c r="O44" s="8"/>
      <c r="P44" s="45">
        <f t="shared" si="3"/>
        <v>0</v>
      </c>
      <c r="Q44" s="8"/>
      <c r="R44" s="8"/>
      <c r="S44" s="45">
        <f t="shared" si="4"/>
        <v>0</v>
      </c>
      <c r="T44" s="45">
        <f t="shared" si="5"/>
        <v>0</v>
      </c>
      <c r="U44" s="8"/>
      <c r="V44" s="8"/>
      <c r="W44" s="45">
        <f t="shared" si="6"/>
        <v>0</v>
      </c>
      <c r="X44" s="8"/>
      <c r="Y44" s="8"/>
      <c r="Z44" s="45">
        <f t="shared" si="7"/>
        <v>0</v>
      </c>
      <c r="AA44" s="8"/>
      <c r="AB44" s="8"/>
      <c r="AC44" s="50">
        <f t="shared" si="8"/>
        <v>0</v>
      </c>
    </row>
    <row r="45" spans="7:29" x14ac:dyDescent="0.15">
      <c r="G45" s="205" t="s">
        <v>88</v>
      </c>
      <c r="H45" s="4" t="s">
        <v>89</v>
      </c>
      <c r="I45" s="45">
        <f t="shared" si="0"/>
        <v>0</v>
      </c>
      <c r="J45" s="45">
        <f t="shared" si="1"/>
        <v>0</v>
      </c>
      <c r="K45" s="46">
        <f t="shared" ref="K45:AB45" si="12">SUM(K46:K51)</f>
        <v>0</v>
      </c>
      <c r="L45" s="46">
        <f t="shared" si="12"/>
        <v>0</v>
      </c>
      <c r="M45" s="45">
        <f t="shared" si="2"/>
        <v>0</v>
      </c>
      <c r="N45" s="46">
        <f t="shared" si="12"/>
        <v>0</v>
      </c>
      <c r="O45" s="46">
        <f t="shared" si="12"/>
        <v>0</v>
      </c>
      <c r="P45" s="45">
        <f t="shared" si="3"/>
        <v>0</v>
      </c>
      <c r="Q45" s="46">
        <f t="shared" si="12"/>
        <v>0</v>
      </c>
      <c r="R45" s="46">
        <f t="shared" si="12"/>
        <v>0</v>
      </c>
      <c r="S45" s="45">
        <f t="shared" si="4"/>
        <v>0</v>
      </c>
      <c r="T45" s="45">
        <f t="shared" si="5"/>
        <v>0</v>
      </c>
      <c r="U45" s="46">
        <f t="shared" si="12"/>
        <v>0</v>
      </c>
      <c r="V45" s="46">
        <f t="shared" si="12"/>
        <v>0</v>
      </c>
      <c r="W45" s="45">
        <f t="shared" si="6"/>
        <v>0</v>
      </c>
      <c r="X45" s="46">
        <f t="shared" si="12"/>
        <v>0</v>
      </c>
      <c r="Y45" s="46">
        <f t="shared" si="12"/>
        <v>0</v>
      </c>
      <c r="Z45" s="45">
        <f t="shared" si="7"/>
        <v>0</v>
      </c>
      <c r="AA45" s="46">
        <f t="shared" si="12"/>
        <v>0</v>
      </c>
      <c r="AB45" s="46">
        <f t="shared" si="12"/>
        <v>0</v>
      </c>
      <c r="AC45" s="50">
        <f t="shared" si="8"/>
        <v>0</v>
      </c>
    </row>
    <row r="46" spans="7:29" ht="21" x14ac:dyDescent="0.15">
      <c r="G46" s="206" t="s">
        <v>90</v>
      </c>
      <c r="H46" s="4" t="s">
        <v>91</v>
      </c>
      <c r="I46" s="45">
        <f t="shared" si="0"/>
        <v>0</v>
      </c>
      <c r="J46" s="45">
        <f t="shared" si="1"/>
        <v>0</v>
      </c>
      <c r="K46" s="8"/>
      <c r="L46" s="8"/>
      <c r="M46" s="45">
        <f t="shared" si="2"/>
        <v>0</v>
      </c>
      <c r="N46" s="8"/>
      <c r="O46" s="8"/>
      <c r="P46" s="45">
        <f t="shared" si="3"/>
        <v>0</v>
      </c>
      <c r="Q46" s="8"/>
      <c r="R46" s="8"/>
      <c r="S46" s="45">
        <f t="shared" si="4"/>
        <v>0</v>
      </c>
      <c r="T46" s="45">
        <f t="shared" si="5"/>
        <v>0</v>
      </c>
      <c r="U46" s="8"/>
      <c r="V46" s="8"/>
      <c r="W46" s="45">
        <f t="shared" si="6"/>
        <v>0</v>
      </c>
      <c r="X46" s="8"/>
      <c r="Y46" s="8"/>
      <c r="Z46" s="45">
        <f t="shared" si="7"/>
        <v>0</v>
      </c>
      <c r="AA46" s="8"/>
      <c r="AB46" s="8"/>
      <c r="AC46" s="50">
        <f t="shared" si="8"/>
        <v>0</v>
      </c>
    </row>
    <row r="47" spans="7:29" x14ac:dyDescent="0.15">
      <c r="G47" s="206" t="s">
        <v>92</v>
      </c>
      <c r="H47" s="53" t="s">
        <v>93</v>
      </c>
      <c r="I47" s="45">
        <f t="shared" si="0"/>
        <v>0</v>
      </c>
      <c r="J47" s="45">
        <f t="shared" si="1"/>
        <v>0</v>
      </c>
      <c r="K47" s="8"/>
      <c r="L47" s="8"/>
      <c r="M47" s="45">
        <f t="shared" si="2"/>
        <v>0</v>
      </c>
      <c r="N47" s="8"/>
      <c r="O47" s="8"/>
      <c r="P47" s="45">
        <f t="shared" si="3"/>
        <v>0</v>
      </c>
      <c r="Q47" s="8"/>
      <c r="R47" s="8"/>
      <c r="S47" s="45">
        <f t="shared" si="4"/>
        <v>0</v>
      </c>
      <c r="T47" s="45">
        <f t="shared" si="5"/>
        <v>0</v>
      </c>
      <c r="U47" s="8"/>
      <c r="V47" s="8"/>
      <c r="W47" s="45">
        <f t="shared" si="6"/>
        <v>0</v>
      </c>
      <c r="X47" s="8"/>
      <c r="Y47" s="8"/>
      <c r="Z47" s="45">
        <f t="shared" si="7"/>
        <v>0</v>
      </c>
      <c r="AA47" s="8"/>
      <c r="AB47" s="8"/>
      <c r="AC47" s="50">
        <f t="shared" si="8"/>
        <v>0</v>
      </c>
    </row>
    <row r="48" spans="7:29" x14ac:dyDescent="0.15">
      <c r="G48" s="206" t="s">
        <v>94</v>
      </c>
      <c r="H48" s="4" t="s">
        <v>95</v>
      </c>
      <c r="I48" s="45">
        <f t="shared" si="0"/>
        <v>0</v>
      </c>
      <c r="J48" s="45">
        <f t="shared" si="1"/>
        <v>0</v>
      </c>
      <c r="K48" s="8"/>
      <c r="L48" s="8"/>
      <c r="M48" s="45">
        <f t="shared" si="2"/>
        <v>0</v>
      </c>
      <c r="N48" s="8"/>
      <c r="O48" s="8"/>
      <c r="P48" s="45">
        <f t="shared" si="3"/>
        <v>0</v>
      </c>
      <c r="Q48" s="8"/>
      <c r="R48" s="8"/>
      <c r="S48" s="45">
        <f t="shared" si="4"/>
        <v>0</v>
      </c>
      <c r="T48" s="45">
        <f t="shared" si="5"/>
        <v>0</v>
      </c>
      <c r="U48" s="8"/>
      <c r="V48" s="8"/>
      <c r="W48" s="45">
        <f t="shared" si="6"/>
        <v>0</v>
      </c>
      <c r="X48" s="8"/>
      <c r="Y48" s="8"/>
      <c r="Z48" s="45">
        <f t="shared" si="7"/>
        <v>0</v>
      </c>
      <c r="AA48" s="8"/>
      <c r="AB48" s="8"/>
      <c r="AC48" s="50">
        <f t="shared" si="8"/>
        <v>0</v>
      </c>
    </row>
    <row r="49" spans="7:29" x14ac:dyDescent="0.15">
      <c r="G49" s="206" t="s">
        <v>96</v>
      </c>
      <c r="H49" s="4" t="s">
        <v>97</v>
      </c>
      <c r="I49" s="45">
        <f t="shared" si="0"/>
        <v>0</v>
      </c>
      <c r="J49" s="45">
        <f t="shared" si="1"/>
        <v>0</v>
      </c>
      <c r="K49" s="8"/>
      <c r="L49" s="8"/>
      <c r="M49" s="45">
        <f t="shared" si="2"/>
        <v>0</v>
      </c>
      <c r="N49" s="8"/>
      <c r="O49" s="8"/>
      <c r="P49" s="45">
        <f t="shared" si="3"/>
        <v>0</v>
      </c>
      <c r="Q49" s="8"/>
      <c r="R49" s="8"/>
      <c r="S49" s="45">
        <f t="shared" si="4"/>
        <v>0</v>
      </c>
      <c r="T49" s="45">
        <f t="shared" si="5"/>
        <v>0</v>
      </c>
      <c r="U49" s="8"/>
      <c r="V49" s="8"/>
      <c r="W49" s="45">
        <f t="shared" si="6"/>
        <v>0</v>
      </c>
      <c r="X49" s="8"/>
      <c r="Y49" s="8"/>
      <c r="Z49" s="45">
        <f t="shared" si="7"/>
        <v>0</v>
      </c>
      <c r="AA49" s="8"/>
      <c r="AB49" s="8"/>
      <c r="AC49" s="50">
        <f t="shared" si="8"/>
        <v>0</v>
      </c>
    </row>
    <row r="50" spans="7:29" x14ac:dyDescent="0.15">
      <c r="G50" s="206" t="s">
        <v>98</v>
      </c>
      <c r="H50" s="53" t="s">
        <v>99</v>
      </c>
      <c r="I50" s="45">
        <f t="shared" si="0"/>
        <v>0</v>
      </c>
      <c r="J50" s="45">
        <f t="shared" si="1"/>
        <v>0</v>
      </c>
      <c r="K50" s="8"/>
      <c r="L50" s="8"/>
      <c r="M50" s="45">
        <f t="shared" si="2"/>
        <v>0</v>
      </c>
      <c r="N50" s="8"/>
      <c r="O50" s="8"/>
      <c r="P50" s="45">
        <f t="shared" si="3"/>
        <v>0</v>
      </c>
      <c r="Q50" s="8"/>
      <c r="R50" s="8"/>
      <c r="S50" s="45">
        <f t="shared" si="4"/>
        <v>0</v>
      </c>
      <c r="T50" s="45">
        <f t="shared" si="5"/>
        <v>0</v>
      </c>
      <c r="U50" s="8"/>
      <c r="V50" s="8"/>
      <c r="W50" s="45">
        <f t="shared" si="6"/>
        <v>0</v>
      </c>
      <c r="X50" s="8"/>
      <c r="Y50" s="8"/>
      <c r="Z50" s="45">
        <f t="shared" si="7"/>
        <v>0</v>
      </c>
      <c r="AA50" s="8"/>
      <c r="AB50" s="8"/>
      <c r="AC50" s="50">
        <f t="shared" si="8"/>
        <v>0</v>
      </c>
    </row>
    <row r="51" spans="7:29" x14ac:dyDescent="0.15">
      <c r="G51" s="206" t="s">
        <v>100</v>
      </c>
      <c r="H51" s="4" t="s">
        <v>101</v>
      </c>
      <c r="I51" s="45">
        <f t="shared" si="0"/>
        <v>0</v>
      </c>
      <c r="J51" s="45">
        <f t="shared" si="1"/>
        <v>0</v>
      </c>
      <c r="K51" s="8"/>
      <c r="L51" s="8"/>
      <c r="M51" s="45">
        <f t="shared" si="2"/>
        <v>0</v>
      </c>
      <c r="N51" s="8"/>
      <c r="O51" s="8"/>
      <c r="P51" s="45">
        <f t="shared" si="3"/>
        <v>0</v>
      </c>
      <c r="Q51" s="8"/>
      <c r="R51" s="8"/>
      <c r="S51" s="45">
        <f t="shared" si="4"/>
        <v>0</v>
      </c>
      <c r="T51" s="45">
        <f t="shared" si="5"/>
        <v>0</v>
      </c>
      <c r="U51" s="8"/>
      <c r="V51" s="8"/>
      <c r="W51" s="45">
        <f t="shared" si="6"/>
        <v>0</v>
      </c>
      <c r="X51" s="8"/>
      <c r="Y51" s="8"/>
      <c r="Z51" s="45">
        <f t="shared" si="7"/>
        <v>0</v>
      </c>
      <c r="AA51" s="8"/>
      <c r="AB51" s="8"/>
      <c r="AC51" s="50">
        <f t="shared" si="8"/>
        <v>0</v>
      </c>
    </row>
    <row r="52" spans="7:29" x14ac:dyDescent="0.15">
      <c r="G52" s="205" t="s">
        <v>102</v>
      </c>
      <c r="H52" s="4" t="s">
        <v>638</v>
      </c>
      <c r="I52" s="45">
        <f t="shared" si="0"/>
        <v>0</v>
      </c>
      <c r="J52" s="45">
        <f t="shared" si="1"/>
        <v>0</v>
      </c>
      <c r="K52" s="8"/>
      <c r="L52" s="8"/>
      <c r="M52" s="45">
        <f t="shared" si="2"/>
        <v>0</v>
      </c>
      <c r="N52" s="8"/>
      <c r="O52" s="8"/>
      <c r="P52" s="45">
        <f t="shared" si="3"/>
        <v>0</v>
      </c>
      <c r="Q52" s="8"/>
      <c r="R52" s="8"/>
      <c r="S52" s="45">
        <f t="shared" si="4"/>
        <v>0</v>
      </c>
      <c r="T52" s="45">
        <f t="shared" si="5"/>
        <v>0</v>
      </c>
      <c r="U52" s="8"/>
      <c r="V52" s="8"/>
      <c r="W52" s="45">
        <f t="shared" si="6"/>
        <v>0</v>
      </c>
      <c r="X52" s="8"/>
      <c r="Y52" s="8"/>
      <c r="Z52" s="45">
        <f t="shared" si="7"/>
        <v>0</v>
      </c>
      <c r="AA52" s="8"/>
      <c r="AB52" s="8"/>
      <c r="AC52" s="50">
        <f t="shared" si="8"/>
        <v>0</v>
      </c>
    </row>
    <row r="53" spans="7:29" x14ac:dyDescent="0.15">
      <c r="G53" s="205" t="s">
        <v>103</v>
      </c>
      <c r="H53" s="53" t="s">
        <v>104</v>
      </c>
      <c r="I53" s="45">
        <f t="shared" si="0"/>
        <v>0</v>
      </c>
      <c r="J53" s="45">
        <f t="shared" si="1"/>
        <v>0</v>
      </c>
      <c r="K53" s="46">
        <f t="shared" ref="K53:AB53" si="13">SUM(K54:K55)</f>
        <v>0</v>
      </c>
      <c r="L53" s="46">
        <f t="shared" si="13"/>
        <v>0</v>
      </c>
      <c r="M53" s="45">
        <f t="shared" si="2"/>
        <v>0</v>
      </c>
      <c r="N53" s="46">
        <f t="shared" si="13"/>
        <v>0</v>
      </c>
      <c r="O53" s="46">
        <f t="shared" si="13"/>
        <v>0</v>
      </c>
      <c r="P53" s="45">
        <f t="shared" si="3"/>
        <v>0</v>
      </c>
      <c r="Q53" s="46">
        <f t="shared" si="13"/>
        <v>0</v>
      </c>
      <c r="R53" s="46">
        <f t="shared" si="13"/>
        <v>0</v>
      </c>
      <c r="S53" s="45">
        <f t="shared" si="4"/>
        <v>0</v>
      </c>
      <c r="T53" s="45">
        <f t="shared" si="5"/>
        <v>0</v>
      </c>
      <c r="U53" s="46">
        <f t="shared" si="13"/>
        <v>0</v>
      </c>
      <c r="V53" s="46">
        <f t="shared" si="13"/>
        <v>0</v>
      </c>
      <c r="W53" s="45">
        <f t="shared" si="6"/>
        <v>0</v>
      </c>
      <c r="X53" s="46">
        <f t="shared" si="13"/>
        <v>0</v>
      </c>
      <c r="Y53" s="46">
        <f t="shared" si="13"/>
        <v>0</v>
      </c>
      <c r="Z53" s="45">
        <f t="shared" si="7"/>
        <v>0</v>
      </c>
      <c r="AA53" s="46">
        <f t="shared" si="13"/>
        <v>0</v>
      </c>
      <c r="AB53" s="46">
        <f t="shared" si="13"/>
        <v>0</v>
      </c>
      <c r="AC53" s="50">
        <f t="shared" si="8"/>
        <v>0</v>
      </c>
    </row>
    <row r="54" spans="7:29" ht="21" x14ac:dyDescent="0.15">
      <c r="G54" s="206" t="s">
        <v>866</v>
      </c>
      <c r="H54" s="4" t="s">
        <v>105</v>
      </c>
      <c r="I54" s="45">
        <f t="shared" si="0"/>
        <v>0</v>
      </c>
      <c r="J54" s="45">
        <f t="shared" si="1"/>
        <v>0</v>
      </c>
      <c r="K54" s="8"/>
      <c r="L54" s="8"/>
      <c r="M54" s="45">
        <f t="shared" si="2"/>
        <v>0</v>
      </c>
      <c r="N54" s="8"/>
      <c r="O54" s="8"/>
      <c r="P54" s="45">
        <f t="shared" si="3"/>
        <v>0</v>
      </c>
      <c r="Q54" s="8"/>
      <c r="R54" s="8"/>
      <c r="S54" s="45">
        <f t="shared" si="4"/>
        <v>0</v>
      </c>
      <c r="T54" s="45">
        <f t="shared" si="5"/>
        <v>0</v>
      </c>
      <c r="U54" s="8"/>
      <c r="V54" s="8"/>
      <c r="W54" s="45">
        <f t="shared" si="6"/>
        <v>0</v>
      </c>
      <c r="X54" s="8"/>
      <c r="Y54" s="8"/>
      <c r="Z54" s="45">
        <f t="shared" si="7"/>
        <v>0</v>
      </c>
      <c r="AA54" s="8"/>
      <c r="AB54" s="8"/>
      <c r="AC54" s="50">
        <f t="shared" si="8"/>
        <v>0</v>
      </c>
    </row>
    <row r="55" spans="7:29" ht="21" x14ac:dyDescent="0.15">
      <c r="G55" s="206" t="s">
        <v>106</v>
      </c>
      <c r="H55" s="4" t="s">
        <v>107</v>
      </c>
      <c r="I55" s="45">
        <f t="shared" si="0"/>
        <v>0</v>
      </c>
      <c r="J55" s="45">
        <f t="shared" si="1"/>
        <v>0</v>
      </c>
      <c r="K55" s="8"/>
      <c r="L55" s="8"/>
      <c r="M55" s="45">
        <f t="shared" si="2"/>
        <v>0</v>
      </c>
      <c r="N55" s="8"/>
      <c r="O55" s="8"/>
      <c r="P55" s="45">
        <f t="shared" si="3"/>
        <v>0</v>
      </c>
      <c r="Q55" s="8"/>
      <c r="R55" s="8"/>
      <c r="S55" s="45">
        <f t="shared" si="4"/>
        <v>0</v>
      </c>
      <c r="T55" s="45">
        <f t="shared" si="5"/>
        <v>0</v>
      </c>
      <c r="U55" s="8"/>
      <c r="V55" s="8"/>
      <c r="W55" s="45">
        <f t="shared" si="6"/>
        <v>0</v>
      </c>
      <c r="X55" s="8"/>
      <c r="Y55" s="8"/>
      <c r="Z55" s="45">
        <f t="shared" si="7"/>
        <v>0</v>
      </c>
      <c r="AA55" s="8"/>
      <c r="AB55" s="8"/>
      <c r="AC55" s="50">
        <f t="shared" si="8"/>
        <v>0</v>
      </c>
    </row>
    <row r="56" spans="7:29" x14ac:dyDescent="0.15">
      <c r="G56" s="205" t="s">
        <v>108</v>
      </c>
      <c r="H56" s="53" t="s">
        <v>109</v>
      </c>
      <c r="I56" s="45">
        <f t="shared" si="0"/>
        <v>0</v>
      </c>
      <c r="J56" s="45">
        <f t="shared" si="1"/>
        <v>0</v>
      </c>
      <c r="K56" s="8"/>
      <c r="L56" s="8"/>
      <c r="M56" s="45">
        <f t="shared" si="2"/>
        <v>0</v>
      </c>
      <c r="N56" s="8"/>
      <c r="O56" s="8"/>
      <c r="P56" s="45">
        <f t="shared" si="3"/>
        <v>0</v>
      </c>
      <c r="Q56" s="8"/>
      <c r="R56" s="8"/>
      <c r="S56" s="45">
        <f t="shared" si="4"/>
        <v>0</v>
      </c>
      <c r="T56" s="45">
        <f t="shared" si="5"/>
        <v>0</v>
      </c>
      <c r="U56" s="8"/>
      <c r="V56" s="8"/>
      <c r="W56" s="45">
        <f t="shared" si="6"/>
        <v>0</v>
      </c>
      <c r="X56" s="8"/>
      <c r="Y56" s="8"/>
      <c r="Z56" s="45">
        <f t="shared" si="7"/>
        <v>0</v>
      </c>
      <c r="AA56" s="8"/>
      <c r="AB56" s="8"/>
      <c r="AC56" s="50">
        <f t="shared" si="8"/>
        <v>0</v>
      </c>
    </row>
    <row r="57" spans="7:29" x14ac:dyDescent="0.15">
      <c r="G57" s="205" t="s">
        <v>110</v>
      </c>
      <c r="H57" s="4" t="s">
        <v>111</v>
      </c>
      <c r="I57" s="45">
        <f t="shared" si="0"/>
        <v>0</v>
      </c>
      <c r="J57" s="45">
        <f t="shared" si="1"/>
        <v>0</v>
      </c>
      <c r="K57" s="8"/>
      <c r="L57" s="8"/>
      <c r="M57" s="45">
        <f t="shared" si="2"/>
        <v>0</v>
      </c>
      <c r="N57" s="8"/>
      <c r="O57" s="8"/>
      <c r="P57" s="45">
        <f t="shared" si="3"/>
        <v>0</v>
      </c>
      <c r="Q57" s="8"/>
      <c r="R57" s="8"/>
      <c r="S57" s="45">
        <f t="shared" si="4"/>
        <v>0</v>
      </c>
      <c r="T57" s="45">
        <f t="shared" si="5"/>
        <v>0</v>
      </c>
      <c r="U57" s="8"/>
      <c r="V57" s="8"/>
      <c r="W57" s="45">
        <f t="shared" si="6"/>
        <v>0</v>
      </c>
      <c r="X57" s="8"/>
      <c r="Y57" s="8"/>
      <c r="Z57" s="45">
        <f t="shared" si="7"/>
        <v>0</v>
      </c>
      <c r="AA57" s="8"/>
      <c r="AB57" s="8"/>
      <c r="AC57" s="50">
        <f t="shared" si="8"/>
        <v>0</v>
      </c>
    </row>
    <row r="58" spans="7:29" x14ac:dyDescent="0.15">
      <c r="G58" s="205" t="s">
        <v>112</v>
      </c>
      <c r="H58" s="4" t="s">
        <v>113</v>
      </c>
      <c r="I58" s="45">
        <f t="shared" si="0"/>
        <v>0</v>
      </c>
      <c r="J58" s="45">
        <f t="shared" si="1"/>
        <v>0</v>
      </c>
      <c r="K58" s="8"/>
      <c r="L58" s="8"/>
      <c r="M58" s="45">
        <f t="shared" si="2"/>
        <v>0</v>
      </c>
      <c r="N58" s="8"/>
      <c r="O58" s="8"/>
      <c r="P58" s="45">
        <f t="shared" si="3"/>
        <v>0</v>
      </c>
      <c r="Q58" s="8"/>
      <c r="R58" s="8"/>
      <c r="S58" s="45">
        <f t="shared" si="4"/>
        <v>0</v>
      </c>
      <c r="T58" s="45">
        <f t="shared" si="5"/>
        <v>0</v>
      </c>
      <c r="U58" s="8"/>
      <c r="V58" s="8"/>
      <c r="W58" s="45">
        <f t="shared" si="6"/>
        <v>0</v>
      </c>
      <c r="X58" s="8"/>
      <c r="Y58" s="8"/>
      <c r="Z58" s="45">
        <f t="shared" si="7"/>
        <v>0</v>
      </c>
      <c r="AA58" s="8"/>
      <c r="AB58" s="8"/>
      <c r="AC58" s="50">
        <f t="shared" si="8"/>
        <v>0</v>
      </c>
    </row>
    <row r="59" spans="7:29" x14ac:dyDescent="0.15">
      <c r="G59" s="205" t="s">
        <v>114</v>
      </c>
      <c r="H59" s="53" t="s">
        <v>115</v>
      </c>
      <c r="I59" s="45">
        <f t="shared" si="0"/>
        <v>0</v>
      </c>
      <c r="J59" s="45">
        <f t="shared" si="1"/>
        <v>0</v>
      </c>
      <c r="K59" s="8"/>
      <c r="L59" s="8"/>
      <c r="M59" s="45">
        <f t="shared" si="2"/>
        <v>0</v>
      </c>
      <c r="N59" s="8"/>
      <c r="O59" s="8"/>
      <c r="P59" s="45">
        <f t="shared" si="3"/>
        <v>0</v>
      </c>
      <c r="Q59" s="8"/>
      <c r="R59" s="8"/>
      <c r="S59" s="45">
        <f t="shared" si="4"/>
        <v>0</v>
      </c>
      <c r="T59" s="45">
        <f t="shared" si="5"/>
        <v>0</v>
      </c>
      <c r="U59" s="8"/>
      <c r="V59" s="8"/>
      <c r="W59" s="45">
        <f t="shared" si="6"/>
        <v>0</v>
      </c>
      <c r="X59" s="8"/>
      <c r="Y59" s="8"/>
      <c r="Z59" s="45">
        <f t="shared" si="7"/>
        <v>0</v>
      </c>
      <c r="AA59" s="8"/>
      <c r="AB59" s="8"/>
      <c r="AC59" s="50">
        <f t="shared" si="8"/>
        <v>0</v>
      </c>
    </row>
    <row r="60" spans="7:29" x14ac:dyDescent="0.15">
      <c r="G60" s="205" t="s">
        <v>116</v>
      </c>
      <c r="H60" s="4" t="s">
        <v>117</v>
      </c>
      <c r="I60" s="45">
        <f t="shared" si="0"/>
        <v>0</v>
      </c>
      <c r="J60" s="45">
        <f t="shared" si="1"/>
        <v>0</v>
      </c>
      <c r="K60" s="8"/>
      <c r="L60" s="8"/>
      <c r="M60" s="45">
        <f t="shared" si="2"/>
        <v>0</v>
      </c>
      <c r="N60" s="8"/>
      <c r="O60" s="8"/>
      <c r="P60" s="45">
        <f t="shared" si="3"/>
        <v>0</v>
      </c>
      <c r="Q60" s="8"/>
      <c r="R60" s="8"/>
      <c r="S60" s="45">
        <f t="shared" si="4"/>
        <v>0</v>
      </c>
      <c r="T60" s="45">
        <f t="shared" si="5"/>
        <v>0</v>
      </c>
      <c r="U60" s="8"/>
      <c r="V60" s="8"/>
      <c r="W60" s="45">
        <f t="shared" si="6"/>
        <v>0</v>
      </c>
      <c r="X60" s="8"/>
      <c r="Y60" s="8"/>
      <c r="Z60" s="45">
        <f t="shared" si="7"/>
        <v>0</v>
      </c>
      <c r="AA60" s="8"/>
      <c r="AB60" s="8"/>
      <c r="AC60" s="50">
        <f t="shared" si="8"/>
        <v>0</v>
      </c>
    </row>
    <row r="61" spans="7:29" x14ac:dyDescent="0.15">
      <c r="G61" s="205" t="s">
        <v>118</v>
      </c>
      <c r="H61" s="4" t="s">
        <v>119</v>
      </c>
      <c r="I61" s="45">
        <f t="shared" si="0"/>
        <v>0</v>
      </c>
      <c r="J61" s="45">
        <f t="shared" si="1"/>
        <v>0</v>
      </c>
      <c r="K61" s="8"/>
      <c r="L61" s="8"/>
      <c r="M61" s="45">
        <f t="shared" si="2"/>
        <v>0</v>
      </c>
      <c r="N61" s="8"/>
      <c r="O61" s="8"/>
      <c r="P61" s="45">
        <f t="shared" si="3"/>
        <v>0</v>
      </c>
      <c r="Q61" s="8"/>
      <c r="R61" s="8"/>
      <c r="S61" s="45">
        <f t="shared" si="4"/>
        <v>0</v>
      </c>
      <c r="T61" s="45">
        <f t="shared" si="5"/>
        <v>0</v>
      </c>
      <c r="U61" s="8"/>
      <c r="V61" s="8"/>
      <c r="W61" s="45">
        <f t="shared" si="6"/>
        <v>0</v>
      </c>
      <c r="X61" s="8"/>
      <c r="Y61" s="8"/>
      <c r="Z61" s="45">
        <f t="shared" si="7"/>
        <v>0</v>
      </c>
      <c r="AA61" s="8"/>
      <c r="AB61" s="8"/>
      <c r="AC61" s="50">
        <f t="shared" si="8"/>
        <v>0</v>
      </c>
    </row>
    <row r="62" spans="7:29" x14ac:dyDescent="0.15">
      <c r="G62" s="205" t="s">
        <v>120</v>
      </c>
      <c r="H62" s="53" t="s">
        <v>121</v>
      </c>
      <c r="I62" s="45">
        <f t="shared" si="0"/>
        <v>0</v>
      </c>
      <c r="J62" s="45">
        <f t="shared" si="1"/>
        <v>0</v>
      </c>
      <c r="K62" s="8"/>
      <c r="L62" s="8"/>
      <c r="M62" s="45">
        <f t="shared" si="2"/>
        <v>0</v>
      </c>
      <c r="N62" s="8"/>
      <c r="O62" s="8"/>
      <c r="P62" s="45">
        <f t="shared" si="3"/>
        <v>0</v>
      </c>
      <c r="Q62" s="8"/>
      <c r="R62" s="8"/>
      <c r="S62" s="45">
        <f t="shared" si="4"/>
        <v>0</v>
      </c>
      <c r="T62" s="45">
        <f t="shared" si="5"/>
        <v>0</v>
      </c>
      <c r="U62" s="8"/>
      <c r="V62" s="8"/>
      <c r="W62" s="45">
        <f t="shared" si="6"/>
        <v>0</v>
      </c>
      <c r="X62" s="8"/>
      <c r="Y62" s="8"/>
      <c r="Z62" s="45">
        <f t="shared" si="7"/>
        <v>0</v>
      </c>
      <c r="AA62" s="8"/>
      <c r="AB62" s="8"/>
      <c r="AC62" s="50">
        <f t="shared" si="8"/>
        <v>0</v>
      </c>
    </row>
    <row r="63" spans="7:29" x14ac:dyDescent="0.15">
      <c r="G63" s="205" t="s">
        <v>122</v>
      </c>
      <c r="H63" s="4" t="s">
        <v>123</v>
      </c>
      <c r="I63" s="45">
        <f t="shared" si="0"/>
        <v>0</v>
      </c>
      <c r="J63" s="45">
        <f t="shared" si="1"/>
        <v>0</v>
      </c>
      <c r="K63" s="8"/>
      <c r="L63" s="8"/>
      <c r="M63" s="45">
        <f t="shared" si="2"/>
        <v>0</v>
      </c>
      <c r="N63" s="8"/>
      <c r="O63" s="8"/>
      <c r="P63" s="45">
        <f t="shared" si="3"/>
        <v>0</v>
      </c>
      <c r="Q63" s="8"/>
      <c r="R63" s="8"/>
      <c r="S63" s="45">
        <f t="shared" si="4"/>
        <v>0</v>
      </c>
      <c r="T63" s="45">
        <f t="shared" si="5"/>
        <v>0</v>
      </c>
      <c r="U63" s="8"/>
      <c r="V63" s="8"/>
      <c r="W63" s="45">
        <f t="shared" si="6"/>
        <v>0</v>
      </c>
      <c r="X63" s="8"/>
      <c r="Y63" s="8"/>
      <c r="Z63" s="45">
        <f t="shared" si="7"/>
        <v>0</v>
      </c>
      <c r="AA63" s="8"/>
      <c r="AB63" s="8"/>
      <c r="AC63" s="50">
        <f t="shared" si="8"/>
        <v>0</v>
      </c>
    </row>
    <row r="64" spans="7:29" x14ac:dyDescent="0.15">
      <c r="G64" s="205" t="s">
        <v>124</v>
      </c>
      <c r="H64" s="4" t="s">
        <v>125</v>
      </c>
      <c r="I64" s="45">
        <f t="shared" si="0"/>
        <v>0</v>
      </c>
      <c r="J64" s="45">
        <f t="shared" si="1"/>
        <v>0</v>
      </c>
      <c r="K64" s="46">
        <f t="shared" ref="K64:AB64" si="14">SUM(K65:K67)</f>
        <v>0</v>
      </c>
      <c r="L64" s="46">
        <f t="shared" si="14"/>
        <v>0</v>
      </c>
      <c r="M64" s="45">
        <f t="shared" si="2"/>
        <v>0</v>
      </c>
      <c r="N64" s="46">
        <f t="shared" si="14"/>
        <v>0</v>
      </c>
      <c r="O64" s="46">
        <f t="shared" si="14"/>
        <v>0</v>
      </c>
      <c r="P64" s="45">
        <f t="shared" si="3"/>
        <v>0</v>
      </c>
      <c r="Q64" s="46">
        <f t="shared" si="14"/>
        <v>0</v>
      </c>
      <c r="R64" s="46">
        <f t="shared" si="14"/>
        <v>0</v>
      </c>
      <c r="S64" s="45">
        <f t="shared" si="4"/>
        <v>0</v>
      </c>
      <c r="T64" s="45">
        <f t="shared" si="5"/>
        <v>0</v>
      </c>
      <c r="U64" s="46">
        <f t="shared" si="14"/>
        <v>0</v>
      </c>
      <c r="V64" s="46">
        <f t="shared" si="14"/>
        <v>0</v>
      </c>
      <c r="W64" s="45">
        <f t="shared" si="6"/>
        <v>0</v>
      </c>
      <c r="X64" s="46">
        <f t="shared" si="14"/>
        <v>0</v>
      </c>
      <c r="Y64" s="46">
        <f t="shared" si="14"/>
        <v>0</v>
      </c>
      <c r="Z64" s="45">
        <f t="shared" si="7"/>
        <v>0</v>
      </c>
      <c r="AA64" s="46">
        <f t="shared" si="14"/>
        <v>0</v>
      </c>
      <c r="AB64" s="46">
        <f t="shared" si="14"/>
        <v>0</v>
      </c>
      <c r="AC64" s="50">
        <f t="shared" si="8"/>
        <v>0</v>
      </c>
    </row>
    <row r="65" spans="7:29" ht="21" x14ac:dyDescent="0.15">
      <c r="G65" s="206" t="s">
        <v>867</v>
      </c>
      <c r="H65" s="53" t="s">
        <v>126</v>
      </c>
      <c r="I65" s="45">
        <f t="shared" si="0"/>
        <v>0</v>
      </c>
      <c r="J65" s="45">
        <f t="shared" si="1"/>
        <v>0</v>
      </c>
      <c r="K65" s="8"/>
      <c r="L65" s="8"/>
      <c r="M65" s="45">
        <f t="shared" si="2"/>
        <v>0</v>
      </c>
      <c r="N65" s="8"/>
      <c r="O65" s="8"/>
      <c r="P65" s="45">
        <f t="shared" si="3"/>
        <v>0</v>
      </c>
      <c r="Q65" s="8"/>
      <c r="R65" s="8"/>
      <c r="S65" s="45">
        <f t="shared" si="4"/>
        <v>0</v>
      </c>
      <c r="T65" s="45">
        <f t="shared" si="5"/>
        <v>0</v>
      </c>
      <c r="U65" s="8"/>
      <c r="V65" s="8"/>
      <c r="W65" s="45">
        <f t="shared" si="6"/>
        <v>0</v>
      </c>
      <c r="X65" s="8"/>
      <c r="Y65" s="8"/>
      <c r="Z65" s="45">
        <f t="shared" si="7"/>
        <v>0</v>
      </c>
      <c r="AA65" s="8"/>
      <c r="AB65" s="8"/>
      <c r="AC65" s="50">
        <f t="shared" si="8"/>
        <v>0</v>
      </c>
    </row>
    <row r="66" spans="7:29" x14ac:dyDescent="0.15">
      <c r="G66" s="206" t="s">
        <v>127</v>
      </c>
      <c r="H66" s="4" t="s">
        <v>128</v>
      </c>
      <c r="I66" s="45">
        <f t="shared" si="0"/>
        <v>0</v>
      </c>
      <c r="J66" s="45">
        <f t="shared" si="1"/>
        <v>0</v>
      </c>
      <c r="K66" s="8"/>
      <c r="L66" s="8"/>
      <c r="M66" s="45">
        <f t="shared" si="2"/>
        <v>0</v>
      </c>
      <c r="N66" s="8"/>
      <c r="O66" s="8"/>
      <c r="P66" s="45">
        <f t="shared" si="3"/>
        <v>0</v>
      </c>
      <c r="Q66" s="8"/>
      <c r="R66" s="8"/>
      <c r="S66" s="45">
        <f t="shared" si="4"/>
        <v>0</v>
      </c>
      <c r="T66" s="45">
        <f t="shared" si="5"/>
        <v>0</v>
      </c>
      <c r="U66" s="8"/>
      <c r="V66" s="8"/>
      <c r="W66" s="45">
        <f t="shared" si="6"/>
        <v>0</v>
      </c>
      <c r="X66" s="8"/>
      <c r="Y66" s="8"/>
      <c r="Z66" s="45">
        <f t="shared" si="7"/>
        <v>0</v>
      </c>
      <c r="AA66" s="8"/>
      <c r="AB66" s="8"/>
      <c r="AC66" s="50">
        <f t="shared" si="8"/>
        <v>0</v>
      </c>
    </row>
    <row r="67" spans="7:29" x14ac:dyDescent="0.15">
      <c r="G67" s="206" t="s">
        <v>129</v>
      </c>
      <c r="H67" s="4" t="s">
        <v>130</v>
      </c>
      <c r="I67" s="45">
        <f t="shared" si="0"/>
        <v>0</v>
      </c>
      <c r="J67" s="45">
        <f t="shared" si="1"/>
        <v>0</v>
      </c>
      <c r="K67" s="8"/>
      <c r="L67" s="8"/>
      <c r="M67" s="45">
        <f t="shared" si="2"/>
        <v>0</v>
      </c>
      <c r="N67" s="8"/>
      <c r="O67" s="8"/>
      <c r="P67" s="45">
        <f t="shared" si="3"/>
        <v>0</v>
      </c>
      <c r="Q67" s="8"/>
      <c r="R67" s="8"/>
      <c r="S67" s="45">
        <f t="shared" si="4"/>
        <v>0</v>
      </c>
      <c r="T67" s="45">
        <f t="shared" si="5"/>
        <v>0</v>
      </c>
      <c r="U67" s="8"/>
      <c r="V67" s="8"/>
      <c r="W67" s="45">
        <f t="shared" si="6"/>
        <v>0</v>
      </c>
      <c r="X67" s="8"/>
      <c r="Y67" s="8"/>
      <c r="Z67" s="45">
        <f t="shared" si="7"/>
        <v>0</v>
      </c>
      <c r="AA67" s="8"/>
      <c r="AB67" s="8"/>
      <c r="AC67" s="50">
        <f t="shared" si="8"/>
        <v>0</v>
      </c>
    </row>
    <row r="68" spans="7:29" x14ac:dyDescent="0.15">
      <c r="G68" s="205" t="s">
        <v>131</v>
      </c>
      <c r="H68" s="53" t="s">
        <v>132</v>
      </c>
      <c r="I68" s="45">
        <f t="shared" si="0"/>
        <v>0</v>
      </c>
      <c r="J68" s="45">
        <f t="shared" si="1"/>
        <v>0</v>
      </c>
      <c r="K68" s="8"/>
      <c r="L68" s="8"/>
      <c r="M68" s="45">
        <f t="shared" si="2"/>
        <v>0</v>
      </c>
      <c r="N68" s="8"/>
      <c r="O68" s="8"/>
      <c r="P68" s="45">
        <f t="shared" si="3"/>
        <v>0</v>
      </c>
      <c r="Q68" s="8"/>
      <c r="R68" s="8"/>
      <c r="S68" s="45">
        <f t="shared" si="4"/>
        <v>0</v>
      </c>
      <c r="T68" s="45">
        <f t="shared" si="5"/>
        <v>0</v>
      </c>
      <c r="U68" s="8"/>
      <c r="V68" s="8"/>
      <c r="W68" s="45">
        <f t="shared" si="6"/>
        <v>0</v>
      </c>
      <c r="X68" s="8"/>
      <c r="Y68" s="8"/>
      <c r="Z68" s="45">
        <f t="shared" si="7"/>
        <v>0</v>
      </c>
      <c r="AA68" s="8"/>
      <c r="AB68" s="8"/>
      <c r="AC68" s="50">
        <f t="shared" si="8"/>
        <v>0</v>
      </c>
    </row>
    <row r="69" spans="7:29" x14ac:dyDescent="0.15">
      <c r="G69" s="205" t="s">
        <v>133</v>
      </c>
      <c r="H69" s="4" t="s">
        <v>134</v>
      </c>
      <c r="I69" s="45">
        <f t="shared" si="0"/>
        <v>0</v>
      </c>
      <c r="J69" s="45">
        <f t="shared" si="1"/>
        <v>0</v>
      </c>
      <c r="K69" s="8"/>
      <c r="L69" s="8"/>
      <c r="M69" s="45">
        <f t="shared" si="2"/>
        <v>0</v>
      </c>
      <c r="N69" s="8"/>
      <c r="O69" s="8"/>
      <c r="P69" s="45">
        <f t="shared" si="3"/>
        <v>0</v>
      </c>
      <c r="Q69" s="8"/>
      <c r="R69" s="8"/>
      <c r="S69" s="45">
        <f t="shared" si="4"/>
        <v>0</v>
      </c>
      <c r="T69" s="45">
        <f t="shared" si="5"/>
        <v>0</v>
      </c>
      <c r="U69" s="8"/>
      <c r="V69" s="8"/>
      <c r="W69" s="45">
        <f t="shared" si="6"/>
        <v>0</v>
      </c>
      <c r="X69" s="8"/>
      <c r="Y69" s="8"/>
      <c r="Z69" s="45">
        <f t="shared" si="7"/>
        <v>0</v>
      </c>
      <c r="AA69" s="8"/>
      <c r="AB69" s="8"/>
      <c r="AC69" s="50">
        <f t="shared" si="8"/>
        <v>0</v>
      </c>
    </row>
    <row r="70" spans="7:29" x14ac:dyDescent="0.15">
      <c r="G70" s="205" t="s">
        <v>135</v>
      </c>
      <c r="H70" s="4" t="s">
        <v>136</v>
      </c>
      <c r="I70" s="45">
        <f t="shared" si="0"/>
        <v>0</v>
      </c>
      <c r="J70" s="45">
        <f t="shared" si="1"/>
        <v>0</v>
      </c>
      <c r="K70" s="46">
        <f t="shared" ref="K70:AB70" si="15">SUM(K71:K72)</f>
        <v>0</v>
      </c>
      <c r="L70" s="46">
        <f t="shared" si="15"/>
        <v>0</v>
      </c>
      <c r="M70" s="45">
        <f t="shared" si="2"/>
        <v>0</v>
      </c>
      <c r="N70" s="46">
        <f t="shared" si="15"/>
        <v>0</v>
      </c>
      <c r="O70" s="46">
        <f t="shared" si="15"/>
        <v>0</v>
      </c>
      <c r="P70" s="45">
        <f t="shared" si="3"/>
        <v>0</v>
      </c>
      <c r="Q70" s="46">
        <f t="shared" si="15"/>
        <v>0</v>
      </c>
      <c r="R70" s="46">
        <f t="shared" si="15"/>
        <v>0</v>
      </c>
      <c r="S70" s="45">
        <f t="shared" si="4"/>
        <v>0</v>
      </c>
      <c r="T70" s="45">
        <f t="shared" si="5"/>
        <v>0</v>
      </c>
      <c r="U70" s="46">
        <f t="shared" si="15"/>
        <v>0</v>
      </c>
      <c r="V70" s="46">
        <f t="shared" si="15"/>
        <v>0</v>
      </c>
      <c r="W70" s="45">
        <f t="shared" si="6"/>
        <v>0</v>
      </c>
      <c r="X70" s="46">
        <f t="shared" si="15"/>
        <v>0</v>
      </c>
      <c r="Y70" s="46">
        <f t="shared" si="15"/>
        <v>0</v>
      </c>
      <c r="Z70" s="45">
        <f t="shared" si="7"/>
        <v>0</v>
      </c>
      <c r="AA70" s="46">
        <f t="shared" si="15"/>
        <v>0</v>
      </c>
      <c r="AB70" s="46">
        <f t="shared" si="15"/>
        <v>0</v>
      </c>
      <c r="AC70" s="50">
        <f t="shared" si="8"/>
        <v>0</v>
      </c>
    </row>
    <row r="71" spans="7:29" ht="21" x14ac:dyDescent="0.15">
      <c r="G71" s="206" t="s">
        <v>868</v>
      </c>
      <c r="H71" s="53" t="s">
        <v>137</v>
      </c>
      <c r="I71" s="45">
        <f t="shared" si="0"/>
        <v>0</v>
      </c>
      <c r="J71" s="45">
        <f t="shared" si="1"/>
        <v>0</v>
      </c>
      <c r="K71" s="8"/>
      <c r="L71" s="8"/>
      <c r="M71" s="45">
        <f t="shared" si="2"/>
        <v>0</v>
      </c>
      <c r="N71" s="8"/>
      <c r="O71" s="8"/>
      <c r="P71" s="45">
        <f t="shared" si="3"/>
        <v>0</v>
      </c>
      <c r="Q71" s="8"/>
      <c r="R71" s="8"/>
      <c r="S71" s="45">
        <f t="shared" si="4"/>
        <v>0</v>
      </c>
      <c r="T71" s="45">
        <f t="shared" si="5"/>
        <v>0</v>
      </c>
      <c r="U71" s="8"/>
      <c r="V71" s="8"/>
      <c r="W71" s="45">
        <f t="shared" si="6"/>
        <v>0</v>
      </c>
      <c r="X71" s="8"/>
      <c r="Y71" s="8"/>
      <c r="Z71" s="45">
        <f t="shared" si="7"/>
        <v>0</v>
      </c>
      <c r="AA71" s="8"/>
      <c r="AB71" s="8"/>
      <c r="AC71" s="50">
        <f t="shared" si="8"/>
        <v>0</v>
      </c>
    </row>
    <row r="72" spans="7:29" x14ac:dyDescent="0.15">
      <c r="G72" s="206" t="s">
        <v>138</v>
      </c>
      <c r="H72" s="4" t="s">
        <v>139</v>
      </c>
      <c r="I72" s="45">
        <f t="shared" si="0"/>
        <v>0</v>
      </c>
      <c r="J72" s="45">
        <f t="shared" si="1"/>
        <v>0</v>
      </c>
      <c r="K72" s="8"/>
      <c r="L72" s="8"/>
      <c r="M72" s="45">
        <f t="shared" si="2"/>
        <v>0</v>
      </c>
      <c r="N72" s="8"/>
      <c r="O72" s="8"/>
      <c r="P72" s="45">
        <f t="shared" si="3"/>
        <v>0</v>
      </c>
      <c r="Q72" s="8"/>
      <c r="R72" s="8"/>
      <c r="S72" s="45">
        <f t="shared" si="4"/>
        <v>0</v>
      </c>
      <c r="T72" s="45">
        <f t="shared" si="5"/>
        <v>0</v>
      </c>
      <c r="U72" s="8"/>
      <c r="V72" s="8"/>
      <c r="W72" s="45">
        <f t="shared" si="6"/>
        <v>0</v>
      </c>
      <c r="X72" s="8"/>
      <c r="Y72" s="8"/>
      <c r="Z72" s="45">
        <f t="shared" si="7"/>
        <v>0</v>
      </c>
      <c r="AA72" s="8"/>
      <c r="AB72" s="8"/>
      <c r="AC72" s="50">
        <f t="shared" si="8"/>
        <v>0</v>
      </c>
    </row>
    <row r="73" spans="7:29" x14ac:dyDescent="0.15">
      <c r="G73" s="205" t="s">
        <v>140</v>
      </c>
      <c r="H73" s="4" t="s">
        <v>141</v>
      </c>
      <c r="I73" s="45">
        <f t="shared" si="0"/>
        <v>0</v>
      </c>
      <c r="J73" s="45">
        <f t="shared" si="1"/>
        <v>0</v>
      </c>
      <c r="K73" s="8"/>
      <c r="L73" s="8"/>
      <c r="M73" s="45">
        <f t="shared" si="2"/>
        <v>0</v>
      </c>
      <c r="N73" s="8"/>
      <c r="O73" s="8"/>
      <c r="P73" s="45">
        <f t="shared" si="3"/>
        <v>0</v>
      </c>
      <c r="Q73" s="8"/>
      <c r="R73" s="8"/>
      <c r="S73" s="45">
        <f t="shared" si="4"/>
        <v>0</v>
      </c>
      <c r="T73" s="45">
        <f t="shared" si="5"/>
        <v>0</v>
      </c>
      <c r="U73" s="8"/>
      <c r="V73" s="8"/>
      <c r="W73" s="45">
        <f t="shared" si="6"/>
        <v>0</v>
      </c>
      <c r="X73" s="8"/>
      <c r="Y73" s="8"/>
      <c r="Z73" s="45">
        <f t="shared" si="7"/>
        <v>0</v>
      </c>
      <c r="AA73" s="8"/>
      <c r="AB73" s="8"/>
      <c r="AC73" s="50">
        <f t="shared" si="8"/>
        <v>0</v>
      </c>
    </row>
    <row r="74" spans="7:29" x14ac:dyDescent="0.15">
      <c r="G74" s="205" t="s">
        <v>142</v>
      </c>
      <c r="H74" s="53" t="s">
        <v>143</v>
      </c>
      <c r="I74" s="45">
        <f t="shared" si="0"/>
        <v>0</v>
      </c>
      <c r="J74" s="45">
        <f t="shared" si="1"/>
        <v>0</v>
      </c>
      <c r="K74" s="8"/>
      <c r="L74" s="8"/>
      <c r="M74" s="45">
        <f t="shared" si="2"/>
        <v>0</v>
      </c>
      <c r="N74" s="8"/>
      <c r="O74" s="8"/>
      <c r="P74" s="45">
        <f t="shared" si="3"/>
        <v>0</v>
      </c>
      <c r="Q74" s="8"/>
      <c r="R74" s="8"/>
      <c r="S74" s="45">
        <f t="shared" si="4"/>
        <v>0</v>
      </c>
      <c r="T74" s="45">
        <f t="shared" si="5"/>
        <v>0</v>
      </c>
      <c r="U74" s="8"/>
      <c r="V74" s="8"/>
      <c r="W74" s="45">
        <f t="shared" si="6"/>
        <v>0</v>
      </c>
      <c r="X74" s="8"/>
      <c r="Y74" s="8"/>
      <c r="Z74" s="45">
        <f t="shared" si="7"/>
        <v>0</v>
      </c>
      <c r="AA74" s="8"/>
      <c r="AB74" s="8"/>
      <c r="AC74" s="50">
        <f t="shared" si="8"/>
        <v>0</v>
      </c>
    </row>
    <row r="75" spans="7:29" x14ac:dyDescent="0.15">
      <c r="G75" s="205" t="s">
        <v>144</v>
      </c>
      <c r="H75" s="4" t="s">
        <v>145</v>
      </c>
      <c r="I75" s="45">
        <f t="shared" si="0"/>
        <v>0</v>
      </c>
      <c r="J75" s="45">
        <f t="shared" si="1"/>
        <v>0</v>
      </c>
      <c r="K75" s="8"/>
      <c r="L75" s="8"/>
      <c r="M75" s="45">
        <f t="shared" si="2"/>
        <v>0</v>
      </c>
      <c r="N75" s="8"/>
      <c r="O75" s="8"/>
      <c r="P75" s="45">
        <f t="shared" si="3"/>
        <v>0</v>
      </c>
      <c r="Q75" s="8"/>
      <c r="R75" s="8"/>
      <c r="S75" s="45">
        <f t="shared" si="4"/>
        <v>0</v>
      </c>
      <c r="T75" s="45">
        <f t="shared" si="5"/>
        <v>0</v>
      </c>
      <c r="U75" s="8"/>
      <c r="V75" s="8"/>
      <c r="W75" s="45">
        <f t="shared" si="6"/>
        <v>0</v>
      </c>
      <c r="X75" s="8"/>
      <c r="Y75" s="8"/>
      <c r="Z75" s="45">
        <f t="shared" si="7"/>
        <v>0</v>
      </c>
      <c r="AA75" s="8"/>
      <c r="AB75" s="8"/>
      <c r="AC75" s="50">
        <f t="shared" si="8"/>
        <v>0</v>
      </c>
    </row>
    <row r="76" spans="7:29" ht="21" x14ac:dyDescent="0.15">
      <c r="G76" s="205" t="s">
        <v>146</v>
      </c>
      <c r="H76" s="4" t="s">
        <v>147</v>
      </c>
      <c r="I76" s="45">
        <f t="shared" ref="I76:I140" si="16">J76+M76+P76</f>
        <v>0</v>
      </c>
      <c r="J76" s="45">
        <f t="shared" ref="J76:J140" si="17">K76+L76</f>
        <v>0</v>
      </c>
      <c r="K76" s="48">
        <f t="shared" ref="K76:AB76" si="18">SUM(K77:K80)</f>
        <v>0</v>
      </c>
      <c r="L76" s="48">
        <f t="shared" si="18"/>
        <v>0</v>
      </c>
      <c r="M76" s="45">
        <f t="shared" ref="M76:M140" si="19">N76+O76</f>
        <v>0</v>
      </c>
      <c r="N76" s="48">
        <f t="shared" si="18"/>
        <v>0</v>
      </c>
      <c r="O76" s="48">
        <f t="shared" si="18"/>
        <v>0</v>
      </c>
      <c r="P76" s="45">
        <f t="shared" ref="P76:P140" si="20">Q76+R76</f>
        <v>0</v>
      </c>
      <c r="Q76" s="48">
        <f t="shared" si="18"/>
        <v>0</v>
      </c>
      <c r="R76" s="48">
        <f t="shared" si="18"/>
        <v>0</v>
      </c>
      <c r="S76" s="45">
        <f t="shared" ref="S76:S140" si="21">T76+W76+Z76</f>
        <v>0</v>
      </c>
      <c r="T76" s="45">
        <f t="shared" ref="T76:T140" si="22">U76+V76</f>
        <v>0</v>
      </c>
      <c r="U76" s="48">
        <f t="shared" si="18"/>
        <v>0</v>
      </c>
      <c r="V76" s="48">
        <f t="shared" si="18"/>
        <v>0</v>
      </c>
      <c r="W76" s="45">
        <f t="shared" ref="W76:W140" si="23">X76+Y76</f>
        <v>0</v>
      </c>
      <c r="X76" s="48">
        <f t="shared" si="18"/>
        <v>0</v>
      </c>
      <c r="Y76" s="48">
        <f t="shared" si="18"/>
        <v>0</v>
      </c>
      <c r="Z76" s="45">
        <f t="shared" ref="Z76:Z140" si="24">AA76+AB76</f>
        <v>0</v>
      </c>
      <c r="AA76" s="48">
        <f t="shared" si="18"/>
        <v>0</v>
      </c>
      <c r="AB76" s="48">
        <f t="shared" si="18"/>
        <v>0</v>
      </c>
      <c r="AC76" s="50">
        <f t="shared" ref="AC76:AC140" si="25">SUM(I76:AB76)</f>
        <v>0</v>
      </c>
    </row>
    <row r="77" spans="7:29" ht="21" x14ac:dyDescent="0.15">
      <c r="G77" s="206" t="s">
        <v>148</v>
      </c>
      <c r="H77" s="53" t="s">
        <v>149</v>
      </c>
      <c r="I77" s="45">
        <f t="shared" si="16"/>
        <v>0</v>
      </c>
      <c r="J77" s="45">
        <f t="shared" si="17"/>
        <v>0</v>
      </c>
      <c r="K77" s="8"/>
      <c r="L77" s="8"/>
      <c r="M77" s="45">
        <f t="shared" si="19"/>
        <v>0</v>
      </c>
      <c r="N77" s="8"/>
      <c r="O77" s="8"/>
      <c r="P77" s="45">
        <f t="shared" si="20"/>
        <v>0</v>
      </c>
      <c r="Q77" s="8"/>
      <c r="R77" s="8"/>
      <c r="S77" s="45">
        <f t="shared" si="21"/>
        <v>0</v>
      </c>
      <c r="T77" s="45">
        <f t="shared" si="22"/>
        <v>0</v>
      </c>
      <c r="U77" s="8"/>
      <c r="V77" s="8"/>
      <c r="W77" s="45">
        <f t="shared" si="23"/>
        <v>0</v>
      </c>
      <c r="X77" s="8"/>
      <c r="Y77" s="8"/>
      <c r="Z77" s="45">
        <f t="shared" si="24"/>
        <v>0</v>
      </c>
      <c r="AA77" s="8"/>
      <c r="AB77" s="8"/>
      <c r="AC77" s="50">
        <f t="shared" si="25"/>
        <v>0</v>
      </c>
    </row>
    <row r="78" spans="7:29" x14ac:dyDescent="0.15">
      <c r="G78" s="206" t="s">
        <v>150</v>
      </c>
      <c r="H78" s="4" t="s">
        <v>151</v>
      </c>
      <c r="I78" s="45">
        <f t="shared" si="16"/>
        <v>0</v>
      </c>
      <c r="J78" s="45">
        <f t="shared" si="17"/>
        <v>0</v>
      </c>
      <c r="K78" s="8"/>
      <c r="L78" s="8"/>
      <c r="M78" s="45">
        <f t="shared" si="19"/>
        <v>0</v>
      </c>
      <c r="N78" s="8"/>
      <c r="O78" s="8"/>
      <c r="P78" s="45">
        <f t="shared" si="20"/>
        <v>0</v>
      </c>
      <c r="Q78" s="8"/>
      <c r="R78" s="8"/>
      <c r="S78" s="45">
        <f t="shared" si="21"/>
        <v>0</v>
      </c>
      <c r="T78" s="45">
        <f t="shared" si="22"/>
        <v>0</v>
      </c>
      <c r="U78" s="8"/>
      <c r="V78" s="8"/>
      <c r="W78" s="45">
        <f t="shared" si="23"/>
        <v>0</v>
      </c>
      <c r="X78" s="8"/>
      <c r="Y78" s="8"/>
      <c r="Z78" s="45">
        <f t="shared" si="24"/>
        <v>0</v>
      </c>
      <c r="AA78" s="8"/>
      <c r="AB78" s="8"/>
      <c r="AC78" s="50">
        <f t="shared" si="25"/>
        <v>0</v>
      </c>
    </row>
    <row r="79" spans="7:29" x14ac:dyDescent="0.15">
      <c r="G79" s="206" t="s">
        <v>152</v>
      </c>
      <c r="H79" s="4" t="s">
        <v>153</v>
      </c>
      <c r="I79" s="45">
        <f t="shared" si="16"/>
        <v>0</v>
      </c>
      <c r="J79" s="45">
        <f t="shared" si="17"/>
        <v>0</v>
      </c>
      <c r="K79" s="8"/>
      <c r="L79" s="8"/>
      <c r="M79" s="45">
        <f t="shared" si="19"/>
        <v>0</v>
      </c>
      <c r="N79" s="8"/>
      <c r="O79" s="8"/>
      <c r="P79" s="45">
        <f t="shared" si="20"/>
        <v>0</v>
      </c>
      <c r="Q79" s="8"/>
      <c r="R79" s="8"/>
      <c r="S79" s="45">
        <f t="shared" si="21"/>
        <v>0</v>
      </c>
      <c r="T79" s="45">
        <f t="shared" si="22"/>
        <v>0</v>
      </c>
      <c r="U79" s="8"/>
      <c r="V79" s="8"/>
      <c r="W79" s="45">
        <f t="shared" si="23"/>
        <v>0</v>
      </c>
      <c r="X79" s="8"/>
      <c r="Y79" s="8"/>
      <c r="Z79" s="45">
        <f t="shared" si="24"/>
        <v>0</v>
      </c>
      <c r="AA79" s="8"/>
      <c r="AB79" s="8"/>
      <c r="AC79" s="50">
        <f t="shared" si="25"/>
        <v>0</v>
      </c>
    </row>
    <row r="80" spans="7:29" x14ac:dyDescent="0.15">
      <c r="G80" s="206" t="s">
        <v>154</v>
      </c>
      <c r="H80" s="53" t="s">
        <v>155</v>
      </c>
      <c r="I80" s="45">
        <f t="shared" si="16"/>
        <v>0</v>
      </c>
      <c r="J80" s="45">
        <f t="shared" si="17"/>
        <v>0</v>
      </c>
      <c r="K80" s="8"/>
      <c r="L80" s="8"/>
      <c r="M80" s="45">
        <f t="shared" si="19"/>
        <v>0</v>
      </c>
      <c r="N80" s="8"/>
      <c r="O80" s="8"/>
      <c r="P80" s="45">
        <f t="shared" si="20"/>
        <v>0</v>
      </c>
      <c r="Q80" s="8"/>
      <c r="R80" s="8"/>
      <c r="S80" s="45">
        <f t="shared" si="21"/>
        <v>0</v>
      </c>
      <c r="T80" s="45">
        <f t="shared" si="22"/>
        <v>0</v>
      </c>
      <c r="U80" s="8"/>
      <c r="V80" s="8"/>
      <c r="W80" s="45">
        <f t="shared" si="23"/>
        <v>0</v>
      </c>
      <c r="X80" s="8"/>
      <c r="Y80" s="8"/>
      <c r="Z80" s="45">
        <f t="shared" si="24"/>
        <v>0</v>
      </c>
      <c r="AA80" s="8"/>
      <c r="AB80" s="8"/>
      <c r="AC80" s="50">
        <f t="shared" si="25"/>
        <v>0</v>
      </c>
    </row>
    <row r="81" spans="7:29" x14ac:dyDescent="0.15">
      <c r="G81" s="205" t="s">
        <v>156</v>
      </c>
      <c r="H81" s="4" t="s">
        <v>157</v>
      </c>
      <c r="I81" s="45">
        <f t="shared" si="16"/>
        <v>0</v>
      </c>
      <c r="J81" s="45">
        <f t="shared" si="17"/>
        <v>0</v>
      </c>
      <c r="K81" s="8"/>
      <c r="L81" s="8"/>
      <c r="M81" s="45">
        <f t="shared" si="19"/>
        <v>0</v>
      </c>
      <c r="N81" s="8"/>
      <c r="O81" s="8"/>
      <c r="P81" s="45">
        <f t="shared" si="20"/>
        <v>0</v>
      </c>
      <c r="Q81" s="8"/>
      <c r="R81" s="8"/>
      <c r="S81" s="45">
        <f t="shared" si="21"/>
        <v>0</v>
      </c>
      <c r="T81" s="45">
        <f t="shared" si="22"/>
        <v>0</v>
      </c>
      <c r="U81" s="8"/>
      <c r="V81" s="8"/>
      <c r="W81" s="45">
        <f t="shared" si="23"/>
        <v>0</v>
      </c>
      <c r="X81" s="8"/>
      <c r="Y81" s="8"/>
      <c r="Z81" s="45">
        <f t="shared" si="24"/>
        <v>0</v>
      </c>
      <c r="AA81" s="8"/>
      <c r="AB81" s="8"/>
      <c r="AC81" s="50">
        <f t="shared" si="25"/>
        <v>0</v>
      </c>
    </row>
    <row r="82" spans="7:29" x14ac:dyDescent="0.15">
      <c r="G82" s="205" t="s">
        <v>158</v>
      </c>
      <c r="H82" s="4" t="s">
        <v>159</v>
      </c>
      <c r="I82" s="45">
        <f t="shared" si="16"/>
        <v>0</v>
      </c>
      <c r="J82" s="45">
        <f t="shared" si="17"/>
        <v>0</v>
      </c>
      <c r="K82" s="8"/>
      <c r="L82" s="8"/>
      <c r="M82" s="45">
        <f t="shared" si="19"/>
        <v>0</v>
      </c>
      <c r="N82" s="8"/>
      <c r="O82" s="8"/>
      <c r="P82" s="45">
        <f t="shared" si="20"/>
        <v>0</v>
      </c>
      <c r="Q82" s="8"/>
      <c r="R82" s="8"/>
      <c r="S82" s="45">
        <f t="shared" si="21"/>
        <v>0</v>
      </c>
      <c r="T82" s="45">
        <f t="shared" si="22"/>
        <v>0</v>
      </c>
      <c r="U82" s="8"/>
      <c r="V82" s="8"/>
      <c r="W82" s="45">
        <f t="shared" si="23"/>
        <v>0</v>
      </c>
      <c r="X82" s="8"/>
      <c r="Y82" s="8"/>
      <c r="Z82" s="45">
        <f t="shared" si="24"/>
        <v>0</v>
      </c>
      <c r="AA82" s="8"/>
      <c r="AB82" s="8"/>
      <c r="AC82" s="50">
        <f t="shared" si="25"/>
        <v>0</v>
      </c>
    </row>
    <row r="83" spans="7:29" x14ac:dyDescent="0.15">
      <c r="G83" s="205" t="s">
        <v>160</v>
      </c>
      <c r="H83" s="53" t="s">
        <v>161</v>
      </c>
      <c r="I83" s="45">
        <f t="shared" si="16"/>
        <v>0</v>
      </c>
      <c r="J83" s="45">
        <f t="shared" si="17"/>
        <v>0</v>
      </c>
      <c r="K83" s="8"/>
      <c r="L83" s="8"/>
      <c r="M83" s="45">
        <f t="shared" si="19"/>
        <v>0</v>
      </c>
      <c r="N83" s="8"/>
      <c r="O83" s="8"/>
      <c r="P83" s="45">
        <f t="shared" si="20"/>
        <v>0</v>
      </c>
      <c r="Q83" s="8"/>
      <c r="R83" s="8"/>
      <c r="S83" s="45">
        <f t="shared" si="21"/>
        <v>0</v>
      </c>
      <c r="T83" s="45">
        <f t="shared" si="22"/>
        <v>0</v>
      </c>
      <c r="U83" s="8"/>
      <c r="V83" s="8"/>
      <c r="W83" s="45">
        <f t="shared" si="23"/>
        <v>0</v>
      </c>
      <c r="X83" s="8"/>
      <c r="Y83" s="8"/>
      <c r="Z83" s="45">
        <f t="shared" si="24"/>
        <v>0</v>
      </c>
      <c r="AA83" s="8"/>
      <c r="AB83" s="8"/>
      <c r="AC83" s="50">
        <f t="shared" si="25"/>
        <v>0</v>
      </c>
    </row>
    <row r="84" spans="7:29" x14ac:dyDescent="0.15">
      <c r="G84" s="205" t="s">
        <v>162</v>
      </c>
      <c r="H84" s="4" t="s">
        <v>163</v>
      </c>
      <c r="I84" s="45">
        <f t="shared" si="16"/>
        <v>0</v>
      </c>
      <c r="J84" s="45">
        <f t="shared" si="17"/>
        <v>0</v>
      </c>
      <c r="K84" s="8"/>
      <c r="L84" s="8"/>
      <c r="M84" s="45">
        <f t="shared" si="19"/>
        <v>0</v>
      </c>
      <c r="N84" s="8"/>
      <c r="O84" s="8"/>
      <c r="P84" s="45">
        <f t="shared" si="20"/>
        <v>0</v>
      </c>
      <c r="Q84" s="8"/>
      <c r="R84" s="8"/>
      <c r="S84" s="45">
        <f t="shared" si="21"/>
        <v>0</v>
      </c>
      <c r="T84" s="45">
        <f t="shared" si="22"/>
        <v>0</v>
      </c>
      <c r="U84" s="8"/>
      <c r="V84" s="8"/>
      <c r="W84" s="45">
        <f t="shared" si="23"/>
        <v>0</v>
      </c>
      <c r="X84" s="8"/>
      <c r="Y84" s="8"/>
      <c r="Z84" s="45">
        <f t="shared" si="24"/>
        <v>0</v>
      </c>
      <c r="AA84" s="8"/>
      <c r="AB84" s="8"/>
      <c r="AC84" s="50">
        <f t="shared" si="25"/>
        <v>0</v>
      </c>
    </row>
    <row r="85" spans="7:29" x14ac:dyDescent="0.15">
      <c r="G85" s="205" t="s">
        <v>164</v>
      </c>
      <c r="H85" s="4" t="s">
        <v>165</v>
      </c>
      <c r="I85" s="45">
        <f t="shared" si="16"/>
        <v>0</v>
      </c>
      <c r="J85" s="45">
        <f t="shared" si="17"/>
        <v>0</v>
      </c>
      <c r="K85" s="8"/>
      <c r="L85" s="8"/>
      <c r="M85" s="45">
        <f t="shared" si="19"/>
        <v>0</v>
      </c>
      <c r="N85" s="8"/>
      <c r="O85" s="8"/>
      <c r="P85" s="45">
        <f t="shared" si="20"/>
        <v>0</v>
      </c>
      <c r="Q85" s="8"/>
      <c r="R85" s="8"/>
      <c r="S85" s="45">
        <f t="shared" si="21"/>
        <v>0</v>
      </c>
      <c r="T85" s="45">
        <f t="shared" si="22"/>
        <v>0</v>
      </c>
      <c r="U85" s="8"/>
      <c r="V85" s="8"/>
      <c r="W85" s="45">
        <f t="shared" si="23"/>
        <v>0</v>
      </c>
      <c r="X85" s="8"/>
      <c r="Y85" s="8"/>
      <c r="Z85" s="45">
        <f t="shared" si="24"/>
        <v>0</v>
      </c>
      <c r="AA85" s="8"/>
      <c r="AB85" s="8"/>
      <c r="AC85" s="50">
        <f t="shared" si="25"/>
        <v>0</v>
      </c>
    </row>
    <row r="86" spans="7:29" x14ac:dyDescent="0.15">
      <c r="G86" s="205" t="s">
        <v>166</v>
      </c>
      <c r="H86" s="53" t="s">
        <v>167</v>
      </c>
      <c r="I86" s="45">
        <f t="shared" si="16"/>
        <v>0</v>
      </c>
      <c r="J86" s="45">
        <f t="shared" si="17"/>
        <v>0</v>
      </c>
      <c r="K86" s="8"/>
      <c r="L86" s="8"/>
      <c r="M86" s="45">
        <f t="shared" si="19"/>
        <v>0</v>
      </c>
      <c r="N86" s="8"/>
      <c r="O86" s="8"/>
      <c r="P86" s="45">
        <f t="shared" si="20"/>
        <v>0</v>
      </c>
      <c r="Q86" s="8"/>
      <c r="R86" s="8"/>
      <c r="S86" s="45">
        <f t="shared" si="21"/>
        <v>0</v>
      </c>
      <c r="T86" s="45">
        <f t="shared" si="22"/>
        <v>0</v>
      </c>
      <c r="U86" s="8"/>
      <c r="V86" s="8"/>
      <c r="W86" s="45">
        <f t="shared" si="23"/>
        <v>0</v>
      </c>
      <c r="X86" s="8"/>
      <c r="Y86" s="8"/>
      <c r="Z86" s="45">
        <f t="shared" si="24"/>
        <v>0</v>
      </c>
      <c r="AA86" s="8"/>
      <c r="AB86" s="8"/>
      <c r="AC86" s="50">
        <f t="shared" si="25"/>
        <v>0</v>
      </c>
    </row>
    <row r="87" spans="7:29" x14ac:dyDescent="0.15">
      <c r="G87" s="205" t="s">
        <v>168</v>
      </c>
      <c r="H87" s="4" t="s">
        <v>169</v>
      </c>
      <c r="I87" s="45">
        <f t="shared" si="16"/>
        <v>0</v>
      </c>
      <c r="J87" s="45">
        <f t="shared" si="17"/>
        <v>0</v>
      </c>
      <c r="K87" s="8"/>
      <c r="L87" s="8"/>
      <c r="M87" s="45">
        <f t="shared" si="19"/>
        <v>0</v>
      </c>
      <c r="N87" s="8"/>
      <c r="O87" s="8"/>
      <c r="P87" s="45">
        <f t="shared" si="20"/>
        <v>0</v>
      </c>
      <c r="Q87" s="8"/>
      <c r="R87" s="8"/>
      <c r="S87" s="45">
        <f t="shared" si="21"/>
        <v>0</v>
      </c>
      <c r="T87" s="45">
        <f t="shared" si="22"/>
        <v>0</v>
      </c>
      <c r="U87" s="8"/>
      <c r="V87" s="8"/>
      <c r="W87" s="45">
        <f t="shared" si="23"/>
        <v>0</v>
      </c>
      <c r="X87" s="8"/>
      <c r="Y87" s="8"/>
      <c r="Z87" s="45">
        <f t="shared" si="24"/>
        <v>0</v>
      </c>
      <c r="AA87" s="8"/>
      <c r="AB87" s="8"/>
      <c r="AC87" s="50">
        <f t="shared" si="25"/>
        <v>0</v>
      </c>
    </row>
    <row r="88" spans="7:29" x14ac:dyDescent="0.15">
      <c r="G88" s="205" t="s">
        <v>170</v>
      </c>
      <c r="H88" s="4" t="s">
        <v>171</v>
      </c>
      <c r="I88" s="45">
        <f t="shared" si="16"/>
        <v>0</v>
      </c>
      <c r="J88" s="45">
        <f t="shared" si="17"/>
        <v>0</v>
      </c>
      <c r="K88" s="46">
        <f t="shared" ref="K88:AB88" si="26">SUM(K89:K90)</f>
        <v>0</v>
      </c>
      <c r="L88" s="46">
        <f t="shared" si="26"/>
        <v>0</v>
      </c>
      <c r="M88" s="45">
        <f t="shared" si="19"/>
        <v>0</v>
      </c>
      <c r="N88" s="46">
        <f t="shared" si="26"/>
        <v>0</v>
      </c>
      <c r="O88" s="46">
        <f t="shared" si="26"/>
        <v>0</v>
      </c>
      <c r="P88" s="45">
        <f t="shared" si="20"/>
        <v>0</v>
      </c>
      <c r="Q88" s="46">
        <f t="shared" si="26"/>
        <v>0</v>
      </c>
      <c r="R88" s="46">
        <f t="shared" si="26"/>
        <v>0</v>
      </c>
      <c r="S88" s="45">
        <f t="shared" si="21"/>
        <v>0</v>
      </c>
      <c r="T88" s="45">
        <f t="shared" si="22"/>
        <v>0</v>
      </c>
      <c r="U88" s="46">
        <f t="shared" si="26"/>
        <v>0</v>
      </c>
      <c r="V88" s="46">
        <f t="shared" si="26"/>
        <v>0</v>
      </c>
      <c r="W88" s="45">
        <f t="shared" si="23"/>
        <v>0</v>
      </c>
      <c r="X88" s="46">
        <f t="shared" si="26"/>
        <v>0</v>
      </c>
      <c r="Y88" s="46">
        <f t="shared" si="26"/>
        <v>0</v>
      </c>
      <c r="Z88" s="45">
        <f t="shared" si="24"/>
        <v>0</v>
      </c>
      <c r="AA88" s="46">
        <f t="shared" si="26"/>
        <v>0</v>
      </c>
      <c r="AB88" s="46">
        <f t="shared" si="26"/>
        <v>0</v>
      </c>
      <c r="AC88" s="50">
        <f t="shared" si="25"/>
        <v>0</v>
      </c>
    </row>
    <row r="89" spans="7:29" ht="21" x14ac:dyDescent="0.15">
      <c r="G89" s="206" t="s">
        <v>172</v>
      </c>
      <c r="H89" s="53" t="s">
        <v>173</v>
      </c>
      <c r="I89" s="45">
        <f t="shared" si="16"/>
        <v>0</v>
      </c>
      <c r="J89" s="45">
        <f t="shared" si="17"/>
        <v>0</v>
      </c>
      <c r="K89" s="8"/>
      <c r="L89" s="8"/>
      <c r="M89" s="45">
        <f t="shared" si="19"/>
        <v>0</v>
      </c>
      <c r="N89" s="8"/>
      <c r="O89" s="8"/>
      <c r="P89" s="45">
        <f t="shared" si="20"/>
        <v>0</v>
      </c>
      <c r="Q89" s="8"/>
      <c r="R89" s="8"/>
      <c r="S89" s="45">
        <f t="shared" si="21"/>
        <v>0</v>
      </c>
      <c r="T89" s="45">
        <f t="shared" si="22"/>
        <v>0</v>
      </c>
      <c r="U89" s="8"/>
      <c r="V89" s="8"/>
      <c r="W89" s="45">
        <f t="shared" si="23"/>
        <v>0</v>
      </c>
      <c r="X89" s="8"/>
      <c r="Y89" s="8"/>
      <c r="Z89" s="45">
        <f t="shared" si="24"/>
        <v>0</v>
      </c>
      <c r="AA89" s="8"/>
      <c r="AB89" s="8"/>
      <c r="AC89" s="50">
        <f t="shared" si="25"/>
        <v>0</v>
      </c>
    </row>
    <row r="90" spans="7:29" ht="21" x14ac:dyDescent="0.15">
      <c r="G90" s="206" t="s">
        <v>174</v>
      </c>
      <c r="H90" s="4" t="s">
        <v>175</v>
      </c>
      <c r="I90" s="45">
        <f t="shared" si="16"/>
        <v>0</v>
      </c>
      <c r="J90" s="45">
        <f t="shared" si="17"/>
        <v>0</v>
      </c>
      <c r="K90" s="8"/>
      <c r="L90" s="8"/>
      <c r="M90" s="45">
        <f t="shared" si="19"/>
        <v>0</v>
      </c>
      <c r="N90" s="8"/>
      <c r="O90" s="8"/>
      <c r="P90" s="45">
        <f t="shared" si="20"/>
        <v>0</v>
      </c>
      <c r="Q90" s="8"/>
      <c r="R90" s="8"/>
      <c r="S90" s="45">
        <f t="shared" si="21"/>
        <v>0</v>
      </c>
      <c r="T90" s="45">
        <f t="shared" si="22"/>
        <v>0</v>
      </c>
      <c r="U90" s="8"/>
      <c r="V90" s="8"/>
      <c r="W90" s="45">
        <f t="shared" si="23"/>
        <v>0</v>
      </c>
      <c r="X90" s="8"/>
      <c r="Y90" s="8"/>
      <c r="Z90" s="45">
        <f t="shared" si="24"/>
        <v>0</v>
      </c>
      <c r="AA90" s="8"/>
      <c r="AB90" s="8"/>
      <c r="AC90" s="50">
        <f t="shared" si="25"/>
        <v>0</v>
      </c>
    </row>
    <row r="91" spans="7:29" x14ac:dyDescent="0.15">
      <c r="G91" s="205" t="s">
        <v>176</v>
      </c>
      <c r="H91" s="4" t="s">
        <v>177</v>
      </c>
      <c r="I91" s="45">
        <f t="shared" si="16"/>
        <v>0</v>
      </c>
      <c r="J91" s="45">
        <f t="shared" si="17"/>
        <v>0</v>
      </c>
      <c r="K91" s="8"/>
      <c r="L91" s="8"/>
      <c r="M91" s="45">
        <f t="shared" si="19"/>
        <v>0</v>
      </c>
      <c r="N91" s="8"/>
      <c r="O91" s="8"/>
      <c r="P91" s="45">
        <f t="shared" si="20"/>
        <v>0</v>
      </c>
      <c r="Q91" s="8"/>
      <c r="R91" s="8"/>
      <c r="S91" s="45">
        <f t="shared" si="21"/>
        <v>0</v>
      </c>
      <c r="T91" s="45">
        <f t="shared" si="22"/>
        <v>0</v>
      </c>
      <c r="U91" s="8"/>
      <c r="V91" s="8"/>
      <c r="W91" s="45">
        <f t="shared" si="23"/>
        <v>0</v>
      </c>
      <c r="X91" s="8"/>
      <c r="Y91" s="8"/>
      <c r="Z91" s="45">
        <f t="shared" si="24"/>
        <v>0</v>
      </c>
      <c r="AA91" s="8"/>
      <c r="AB91" s="8"/>
      <c r="AC91" s="50">
        <f t="shared" si="25"/>
        <v>0</v>
      </c>
    </row>
    <row r="92" spans="7:29" x14ac:dyDescent="0.15">
      <c r="G92" s="205" t="s">
        <v>178</v>
      </c>
      <c r="H92" s="53" t="s">
        <v>179</v>
      </c>
      <c r="I92" s="45">
        <f t="shared" si="16"/>
        <v>0</v>
      </c>
      <c r="J92" s="45">
        <f t="shared" si="17"/>
        <v>0</v>
      </c>
      <c r="K92" s="8"/>
      <c r="L92" s="8"/>
      <c r="M92" s="45">
        <f t="shared" si="19"/>
        <v>0</v>
      </c>
      <c r="N92" s="8"/>
      <c r="O92" s="8"/>
      <c r="P92" s="45">
        <f t="shared" si="20"/>
        <v>0</v>
      </c>
      <c r="Q92" s="8"/>
      <c r="R92" s="8"/>
      <c r="S92" s="45">
        <f t="shared" si="21"/>
        <v>0</v>
      </c>
      <c r="T92" s="45">
        <f t="shared" si="22"/>
        <v>0</v>
      </c>
      <c r="U92" s="8"/>
      <c r="V92" s="8"/>
      <c r="W92" s="45">
        <f t="shared" si="23"/>
        <v>0</v>
      </c>
      <c r="X92" s="8"/>
      <c r="Y92" s="8"/>
      <c r="Z92" s="45">
        <f t="shared" si="24"/>
        <v>0</v>
      </c>
      <c r="AA92" s="8"/>
      <c r="AB92" s="8"/>
      <c r="AC92" s="50">
        <f t="shared" si="25"/>
        <v>0</v>
      </c>
    </row>
    <row r="93" spans="7:29" x14ac:dyDescent="0.15">
      <c r="G93" s="205" t="s">
        <v>180</v>
      </c>
      <c r="H93" s="4" t="s">
        <v>181</v>
      </c>
      <c r="I93" s="45">
        <f t="shared" si="16"/>
        <v>0</v>
      </c>
      <c r="J93" s="45">
        <f t="shared" si="17"/>
        <v>0</v>
      </c>
      <c r="K93" s="8"/>
      <c r="L93" s="8"/>
      <c r="M93" s="45">
        <f t="shared" si="19"/>
        <v>0</v>
      </c>
      <c r="N93" s="8"/>
      <c r="O93" s="8"/>
      <c r="P93" s="45">
        <f t="shared" si="20"/>
        <v>0</v>
      </c>
      <c r="Q93" s="8"/>
      <c r="R93" s="8"/>
      <c r="S93" s="45">
        <f t="shared" si="21"/>
        <v>0</v>
      </c>
      <c r="T93" s="45">
        <f t="shared" si="22"/>
        <v>0</v>
      </c>
      <c r="U93" s="8"/>
      <c r="V93" s="8"/>
      <c r="W93" s="45">
        <f t="shared" si="23"/>
        <v>0</v>
      </c>
      <c r="X93" s="8"/>
      <c r="Y93" s="8"/>
      <c r="Z93" s="45">
        <f t="shared" si="24"/>
        <v>0</v>
      </c>
      <c r="AA93" s="8"/>
      <c r="AB93" s="8"/>
      <c r="AC93" s="50">
        <f t="shared" si="25"/>
        <v>0</v>
      </c>
    </row>
    <row r="94" spans="7:29" x14ac:dyDescent="0.15">
      <c r="G94" s="205" t="s">
        <v>182</v>
      </c>
      <c r="H94" s="4" t="s">
        <v>183</v>
      </c>
      <c r="I94" s="45">
        <f t="shared" si="16"/>
        <v>0</v>
      </c>
      <c r="J94" s="45">
        <f t="shared" si="17"/>
        <v>0</v>
      </c>
      <c r="K94" s="8"/>
      <c r="L94" s="8"/>
      <c r="M94" s="45">
        <f t="shared" si="19"/>
        <v>0</v>
      </c>
      <c r="N94" s="8"/>
      <c r="O94" s="8"/>
      <c r="P94" s="45">
        <f t="shared" si="20"/>
        <v>0</v>
      </c>
      <c r="Q94" s="8"/>
      <c r="R94" s="8"/>
      <c r="S94" s="45">
        <f t="shared" si="21"/>
        <v>0</v>
      </c>
      <c r="T94" s="45">
        <f t="shared" si="22"/>
        <v>0</v>
      </c>
      <c r="U94" s="8"/>
      <c r="V94" s="8"/>
      <c r="W94" s="45">
        <f t="shared" si="23"/>
        <v>0</v>
      </c>
      <c r="X94" s="8"/>
      <c r="Y94" s="8"/>
      <c r="Z94" s="45">
        <f t="shared" si="24"/>
        <v>0</v>
      </c>
      <c r="AA94" s="8"/>
      <c r="AB94" s="8"/>
      <c r="AC94" s="50">
        <f t="shared" si="25"/>
        <v>0</v>
      </c>
    </row>
    <row r="95" spans="7:29" x14ac:dyDescent="0.15">
      <c r="G95" s="205" t="s">
        <v>184</v>
      </c>
      <c r="H95" s="53" t="s">
        <v>185</v>
      </c>
      <c r="I95" s="45">
        <f t="shared" si="16"/>
        <v>0</v>
      </c>
      <c r="J95" s="45">
        <f t="shared" si="17"/>
        <v>0</v>
      </c>
      <c r="K95" s="8"/>
      <c r="L95" s="8"/>
      <c r="M95" s="45">
        <f t="shared" si="19"/>
        <v>0</v>
      </c>
      <c r="N95" s="8"/>
      <c r="O95" s="8"/>
      <c r="P95" s="45">
        <f t="shared" si="20"/>
        <v>0</v>
      </c>
      <c r="Q95" s="8"/>
      <c r="R95" s="8"/>
      <c r="S95" s="45">
        <f t="shared" si="21"/>
        <v>0</v>
      </c>
      <c r="T95" s="45">
        <f t="shared" si="22"/>
        <v>0</v>
      </c>
      <c r="U95" s="8"/>
      <c r="V95" s="8"/>
      <c r="W95" s="45">
        <f t="shared" si="23"/>
        <v>0</v>
      </c>
      <c r="X95" s="8"/>
      <c r="Y95" s="8"/>
      <c r="Z95" s="45">
        <f t="shared" si="24"/>
        <v>0</v>
      </c>
      <c r="AA95" s="8"/>
      <c r="AB95" s="8"/>
      <c r="AC95" s="50">
        <f t="shared" si="25"/>
        <v>0</v>
      </c>
    </row>
    <row r="96" spans="7:29" x14ac:dyDescent="0.15">
      <c r="G96" s="205" t="s">
        <v>186</v>
      </c>
      <c r="H96" s="4" t="s">
        <v>187</v>
      </c>
      <c r="I96" s="45">
        <f t="shared" si="16"/>
        <v>0</v>
      </c>
      <c r="J96" s="45">
        <f t="shared" si="17"/>
        <v>0</v>
      </c>
      <c r="K96" s="8"/>
      <c r="L96" s="8"/>
      <c r="M96" s="45">
        <f t="shared" si="19"/>
        <v>0</v>
      </c>
      <c r="N96" s="8"/>
      <c r="O96" s="8"/>
      <c r="P96" s="45">
        <f t="shared" si="20"/>
        <v>0</v>
      </c>
      <c r="Q96" s="8"/>
      <c r="R96" s="8"/>
      <c r="S96" s="45">
        <f t="shared" si="21"/>
        <v>0</v>
      </c>
      <c r="T96" s="45">
        <f t="shared" si="22"/>
        <v>0</v>
      </c>
      <c r="U96" s="8"/>
      <c r="V96" s="8"/>
      <c r="W96" s="45">
        <f t="shared" si="23"/>
        <v>0</v>
      </c>
      <c r="X96" s="8"/>
      <c r="Y96" s="8"/>
      <c r="Z96" s="45">
        <f t="shared" si="24"/>
        <v>0</v>
      </c>
      <c r="AA96" s="8"/>
      <c r="AB96" s="8"/>
      <c r="AC96" s="50">
        <f t="shared" si="25"/>
        <v>0</v>
      </c>
    </row>
    <row r="97" spans="7:29" x14ac:dyDescent="0.15">
      <c r="G97" s="205" t="s">
        <v>188</v>
      </c>
      <c r="H97" s="4" t="s">
        <v>189</v>
      </c>
      <c r="I97" s="45">
        <f t="shared" si="16"/>
        <v>0</v>
      </c>
      <c r="J97" s="45">
        <f t="shared" si="17"/>
        <v>0</v>
      </c>
      <c r="K97" s="8"/>
      <c r="L97" s="8"/>
      <c r="M97" s="45">
        <f t="shared" si="19"/>
        <v>0</v>
      </c>
      <c r="N97" s="8"/>
      <c r="O97" s="8"/>
      <c r="P97" s="45">
        <f t="shared" si="20"/>
        <v>0</v>
      </c>
      <c r="Q97" s="8"/>
      <c r="R97" s="8"/>
      <c r="S97" s="45">
        <f t="shared" si="21"/>
        <v>0</v>
      </c>
      <c r="T97" s="45">
        <f t="shared" si="22"/>
        <v>0</v>
      </c>
      <c r="U97" s="8"/>
      <c r="V97" s="8"/>
      <c r="W97" s="45">
        <f t="shared" si="23"/>
        <v>0</v>
      </c>
      <c r="X97" s="8"/>
      <c r="Y97" s="8"/>
      <c r="Z97" s="45">
        <f t="shared" si="24"/>
        <v>0</v>
      </c>
      <c r="AA97" s="8"/>
      <c r="AB97" s="8"/>
      <c r="AC97" s="50">
        <f t="shared" si="25"/>
        <v>0</v>
      </c>
    </row>
    <row r="98" spans="7:29" x14ac:dyDescent="0.15">
      <c r="G98" s="205" t="s">
        <v>190</v>
      </c>
      <c r="H98" s="53" t="s">
        <v>191</v>
      </c>
      <c r="I98" s="45">
        <f t="shared" si="16"/>
        <v>0</v>
      </c>
      <c r="J98" s="45">
        <f t="shared" si="17"/>
        <v>0</v>
      </c>
      <c r="K98" s="8"/>
      <c r="L98" s="8"/>
      <c r="M98" s="45">
        <f t="shared" si="19"/>
        <v>0</v>
      </c>
      <c r="N98" s="8"/>
      <c r="O98" s="8"/>
      <c r="P98" s="45">
        <f t="shared" si="20"/>
        <v>0</v>
      </c>
      <c r="Q98" s="8"/>
      <c r="R98" s="8"/>
      <c r="S98" s="45">
        <f t="shared" si="21"/>
        <v>0</v>
      </c>
      <c r="T98" s="45">
        <f t="shared" si="22"/>
        <v>0</v>
      </c>
      <c r="U98" s="8"/>
      <c r="V98" s="8"/>
      <c r="W98" s="45">
        <f t="shared" si="23"/>
        <v>0</v>
      </c>
      <c r="X98" s="8"/>
      <c r="Y98" s="8"/>
      <c r="Z98" s="45">
        <f t="shared" si="24"/>
        <v>0</v>
      </c>
      <c r="AA98" s="8"/>
      <c r="AB98" s="8"/>
      <c r="AC98" s="50">
        <f t="shared" si="25"/>
        <v>0</v>
      </c>
    </row>
    <row r="99" spans="7:29" x14ac:dyDescent="0.15">
      <c r="G99" s="205" t="s">
        <v>192</v>
      </c>
      <c r="H99" s="4" t="s">
        <v>193</v>
      </c>
      <c r="I99" s="45">
        <f t="shared" si="16"/>
        <v>0</v>
      </c>
      <c r="J99" s="45">
        <f t="shared" si="17"/>
        <v>0</v>
      </c>
      <c r="K99" s="8"/>
      <c r="L99" s="8"/>
      <c r="M99" s="45">
        <f t="shared" si="19"/>
        <v>0</v>
      </c>
      <c r="N99" s="8"/>
      <c r="O99" s="8"/>
      <c r="P99" s="45">
        <f t="shared" si="20"/>
        <v>0</v>
      </c>
      <c r="Q99" s="8"/>
      <c r="R99" s="8"/>
      <c r="S99" s="45">
        <f t="shared" si="21"/>
        <v>0</v>
      </c>
      <c r="T99" s="45">
        <f t="shared" si="22"/>
        <v>0</v>
      </c>
      <c r="U99" s="8"/>
      <c r="V99" s="8"/>
      <c r="W99" s="45">
        <f t="shared" si="23"/>
        <v>0</v>
      </c>
      <c r="X99" s="8"/>
      <c r="Y99" s="8"/>
      <c r="Z99" s="45">
        <f t="shared" si="24"/>
        <v>0</v>
      </c>
      <c r="AA99" s="8"/>
      <c r="AB99" s="8"/>
      <c r="AC99" s="50">
        <f t="shared" si="25"/>
        <v>0</v>
      </c>
    </row>
    <row r="100" spans="7:29" x14ac:dyDescent="0.15">
      <c r="G100" s="205" t="s">
        <v>194</v>
      </c>
      <c r="H100" s="4" t="s">
        <v>195</v>
      </c>
      <c r="I100" s="45">
        <f t="shared" si="16"/>
        <v>0</v>
      </c>
      <c r="J100" s="45">
        <f t="shared" si="17"/>
        <v>0</v>
      </c>
      <c r="K100" s="8"/>
      <c r="L100" s="8"/>
      <c r="M100" s="45">
        <f t="shared" si="19"/>
        <v>0</v>
      </c>
      <c r="N100" s="8"/>
      <c r="O100" s="8"/>
      <c r="P100" s="45">
        <f t="shared" si="20"/>
        <v>0</v>
      </c>
      <c r="Q100" s="8"/>
      <c r="R100" s="8"/>
      <c r="S100" s="45">
        <f t="shared" si="21"/>
        <v>0</v>
      </c>
      <c r="T100" s="45">
        <f t="shared" si="22"/>
        <v>0</v>
      </c>
      <c r="U100" s="8"/>
      <c r="V100" s="8"/>
      <c r="W100" s="45">
        <f t="shared" si="23"/>
        <v>0</v>
      </c>
      <c r="X100" s="8"/>
      <c r="Y100" s="8"/>
      <c r="Z100" s="45">
        <f t="shared" si="24"/>
        <v>0</v>
      </c>
      <c r="AA100" s="8"/>
      <c r="AB100" s="8"/>
      <c r="AC100" s="50">
        <f t="shared" si="25"/>
        <v>0</v>
      </c>
    </row>
    <row r="101" spans="7:29" x14ac:dyDescent="0.15">
      <c r="G101" s="205" t="s">
        <v>196</v>
      </c>
      <c r="H101" s="53" t="s">
        <v>197</v>
      </c>
      <c r="I101" s="45">
        <f t="shared" si="16"/>
        <v>0</v>
      </c>
      <c r="J101" s="45">
        <f t="shared" si="17"/>
        <v>0</v>
      </c>
      <c r="K101" s="8"/>
      <c r="L101" s="8"/>
      <c r="M101" s="45">
        <f t="shared" si="19"/>
        <v>0</v>
      </c>
      <c r="N101" s="8"/>
      <c r="O101" s="8"/>
      <c r="P101" s="45">
        <f t="shared" si="20"/>
        <v>0</v>
      </c>
      <c r="Q101" s="8"/>
      <c r="R101" s="8"/>
      <c r="S101" s="45">
        <f t="shared" si="21"/>
        <v>0</v>
      </c>
      <c r="T101" s="45">
        <f t="shared" si="22"/>
        <v>0</v>
      </c>
      <c r="U101" s="8"/>
      <c r="V101" s="8"/>
      <c r="W101" s="45">
        <f t="shared" si="23"/>
        <v>0</v>
      </c>
      <c r="X101" s="8"/>
      <c r="Y101" s="8"/>
      <c r="Z101" s="45">
        <f t="shared" si="24"/>
        <v>0</v>
      </c>
      <c r="AA101" s="8"/>
      <c r="AB101" s="8"/>
      <c r="AC101" s="50">
        <f t="shared" si="25"/>
        <v>0</v>
      </c>
    </row>
    <row r="102" spans="7:29" x14ac:dyDescent="0.15">
      <c r="G102" s="205" t="s">
        <v>198</v>
      </c>
      <c r="H102" s="4" t="s">
        <v>199</v>
      </c>
      <c r="I102" s="45">
        <f t="shared" si="16"/>
        <v>0</v>
      </c>
      <c r="J102" s="45">
        <f t="shared" si="17"/>
        <v>0</v>
      </c>
      <c r="K102" s="46">
        <f t="shared" ref="K102:AB102" si="27">SUM(K103:K104)</f>
        <v>0</v>
      </c>
      <c r="L102" s="46">
        <f t="shared" si="27"/>
        <v>0</v>
      </c>
      <c r="M102" s="45">
        <f t="shared" si="19"/>
        <v>0</v>
      </c>
      <c r="N102" s="46">
        <f t="shared" si="27"/>
        <v>0</v>
      </c>
      <c r="O102" s="46">
        <f t="shared" si="27"/>
        <v>0</v>
      </c>
      <c r="P102" s="45">
        <f t="shared" si="20"/>
        <v>0</v>
      </c>
      <c r="Q102" s="46">
        <f t="shared" si="27"/>
        <v>0</v>
      </c>
      <c r="R102" s="46">
        <f t="shared" si="27"/>
        <v>0</v>
      </c>
      <c r="S102" s="45">
        <f t="shared" si="21"/>
        <v>0</v>
      </c>
      <c r="T102" s="45">
        <f t="shared" si="22"/>
        <v>0</v>
      </c>
      <c r="U102" s="46">
        <f t="shared" si="27"/>
        <v>0</v>
      </c>
      <c r="V102" s="46">
        <f t="shared" si="27"/>
        <v>0</v>
      </c>
      <c r="W102" s="45">
        <f t="shared" si="23"/>
        <v>0</v>
      </c>
      <c r="X102" s="46">
        <f t="shared" si="27"/>
        <v>0</v>
      </c>
      <c r="Y102" s="46">
        <f t="shared" si="27"/>
        <v>0</v>
      </c>
      <c r="Z102" s="45">
        <f t="shared" si="24"/>
        <v>0</v>
      </c>
      <c r="AA102" s="46">
        <f t="shared" si="27"/>
        <v>0</v>
      </c>
      <c r="AB102" s="46">
        <f t="shared" si="27"/>
        <v>0</v>
      </c>
      <c r="AC102" s="50">
        <f t="shared" si="25"/>
        <v>0</v>
      </c>
    </row>
    <row r="103" spans="7:29" ht="21" x14ac:dyDescent="0.15">
      <c r="G103" s="206" t="s">
        <v>869</v>
      </c>
      <c r="H103" s="4" t="s">
        <v>200</v>
      </c>
      <c r="I103" s="45">
        <f t="shared" si="16"/>
        <v>0</v>
      </c>
      <c r="J103" s="45">
        <f t="shared" si="17"/>
        <v>0</v>
      </c>
      <c r="K103" s="8"/>
      <c r="L103" s="8"/>
      <c r="M103" s="45">
        <f t="shared" si="19"/>
        <v>0</v>
      </c>
      <c r="N103" s="8"/>
      <c r="O103" s="8"/>
      <c r="P103" s="45">
        <f t="shared" si="20"/>
        <v>0</v>
      </c>
      <c r="Q103" s="8"/>
      <c r="R103" s="8"/>
      <c r="S103" s="45">
        <f t="shared" si="21"/>
        <v>0</v>
      </c>
      <c r="T103" s="45">
        <f t="shared" si="22"/>
        <v>0</v>
      </c>
      <c r="U103" s="8"/>
      <c r="V103" s="8"/>
      <c r="W103" s="45">
        <f t="shared" si="23"/>
        <v>0</v>
      </c>
      <c r="X103" s="8"/>
      <c r="Y103" s="8"/>
      <c r="Z103" s="45">
        <f t="shared" si="24"/>
        <v>0</v>
      </c>
      <c r="AA103" s="8"/>
      <c r="AB103" s="8"/>
      <c r="AC103" s="50">
        <f t="shared" si="25"/>
        <v>0</v>
      </c>
    </row>
    <row r="104" spans="7:29" x14ac:dyDescent="0.15">
      <c r="G104" s="206" t="s">
        <v>863</v>
      </c>
      <c r="H104" s="53" t="s">
        <v>201</v>
      </c>
      <c r="I104" s="45">
        <f t="shared" si="16"/>
        <v>0</v>
      </c>
      <c r="J104" s="45">
        <f t="shared" si="17"/>
        <v>0</v>
      </c>
      <c r="K104" s="8"/>
      <c r="L104" s="8"/>
      <c r="M104" s="45">
        <f t="shared" si="19"/>
        <v>0</v>
      </c>
      <c r="N104" s="8"/>
      <c r="O104" s="8"/>
      <c r="P104" s="45">
        <f t="shared" si="20"/>
        <v>0</v>
      </c>
      <c r="Q104" s="8"/>
      <c r="R104" s="8"/>
      <c r="S104" s="45">
        <f t="shared" si="21"/>
        <v>0</v>
      </c>
      <c r="T104" s="45">
        <f t="shared" si="22"/>
        <v>0</v>
      </c>
      <c r="U104" s="8"/>
      <c r="V104" s="8"/>
      <c r="W104" s="45">
        <f t="shared" si="23"/>
        <v>0</v>
      </c>
      <c r="X104" s="8"/>
      <c r="Y104" s="8"/>
      <c r="Z104" s="45">
        <f t="shared" si="24"/>
        <v>0</v>
      </c>
      <c r="AA104" s="8"/>
      <c r="AB104" s="8"/>
      <c r="AC104" s="50">
        <f t="shared" si="25"/>
        <v>0</v>
      </c>
    </row>
    <row r="105" spans="7:29" x14ac:dyDescent="0.15">
      <c r="G105" s="205" t="s">
        <v>202</v>
      </c>
      <c r="H105" s="4" t="s">
        <v>203</v>
      </c>
      <c r="I105" s="45">
        <f t="shared" si="16"/>
        <v>0</v>
      </c>
      <c r="J105" s="45">
        <f t="shared" si="17"/>
        <v>0</v>
      </c>
      <c r="K105" s="8"/>
      <c r="L105" s="8"/>
      <c r="M105" s="45">
        <f t="shared" si="19"/>
        <v>0</v>
      </c>
      <c r="N105" s="8"/>
      <c r="O105" s="8"/>
      <c r="P105" s="45">
        <f t="shared" si="20"/>
        <v>0</v>
      </c>
      <c r="Q105" s="8"/>
      <c r="R105" s="8"/>
      <c r="S105" s="45">
        <f t="shared" si="21"/>
        <v>0</v>
      </c>
      <c r="T105" s="45">
        <f t="shared" si="22"/>
        <v>0</v>
      </c>
      <c r="U105" s="8"/>
      <c r="V105" s="8"/>
      <c r="W105" s="45">
        <f t="shared" si="23"/>
        <v>0</v>
      </c>
      <c r="X105" s="8"/>
      <c r="Y105" s="8"/>
      <c r="Z105" s="45">
        <f t="shared" si="24"/>
        <v>0</v>
      </c>
      <c r="AA105" s="8"/>
      <c r="AB105" s="8"/>
      <c r="AC105" s="50">
        <f t="shared" si="25"/>
        <v>0</v>
      </c>
    </row>
    <row r="106" spans="7:29" x14ac:dyDescent="0.15">
      <c r="G106" s="205" t="s">
        <v>204</v>
      </c>
      <c r="H106" s="4" t="s">
        <v>205</v>
      </c>
      <c r="I106" s="45">
        <f t="shared" si="16"/>
        <v>0</v>
      </c>
      <c r="J106" s="45">
        <f t="shared" si="17"/>
        <v>0</v>
      </c>
      <c r="K106" s="8"/>
      <c r="L106" s="8"/>
      <c r="M106" s="45">
        <f t="shared" si="19"/>
        <v>0</v>
      </c>
      <c r="N106" s="8"/>
      <c r="O106" s="8"/>
      <c r="P106" s="45">
        <f t="shared" si="20"/>
        <v>0</v>
      </c>
      <c r="Q106" s="8"/>
      <c r="R106" s="8"/>
      <c r="S106" s="45">
        <f t="shared" si="21"/>
        <v>0</v>
      </c>
      <c r="T106" s="45">
        <f t="shared" si="22"/>
        <v>0</v>
      </c>
      <c r="U106" s="8"/>
      <c r="V106" s="8"/>
      <c r="W106" s="45">
        <f t="shared" si="23"/>
        <v>0</v>
      </c>
      <c r="X106" s="8"/>
      <c r="Y106" s="8"/>
      <c r="Z106" s="45">
        <f t="shared" si="24"/>
        <v>0</v>
      </c>
      <c r="AA106" s="8"/>
      <c r="AB106" s="8"/>
      <c r="AC106" s="50">
        <f t="shared" si="25"/>
        <v>0</v>
      </c>
    </row>
    <row r="107" spans="7:29" x14ac:dyDescent="0.15">
      <c r="G107" s="205" t="s">
        <v>206</v>
      </c>
      <c r="H107" s="53" t="s">
        <v>207</v>
      </c>
      <c r="I107" s="45">
        <f t="shared" si="16"/>
        <v>0</v>
      </c>
      <c r="J107" s="45">
        <f t="shared" si="17"/>
        <v>0</v>
      </c>
      <c r="K107" s="8"/>
      <c r="L107" s="8"/>
      <c r="M107" s="45">
        <f t="shared" si="19"/>
        <v>0</v>
      </c>
      <c r="N107" s="8"/>
      <c r="O107" s="8"/>
      <c r="P107" s="45">
        <f t="shared" si="20"/>
        <v>0</v>
      </c>
      <c r="Q107" s="8"/>
      <c r="R107" s="8"/>
      <c r="S107" s="45">
        <f t="shared" si="21"/>
        <v>0</v>
      </c>
      <c r="T107" s="45">
        <f t="shared" si="22"/>
        <v>0</v>
      </c>
      <c r="U107" s="8"/>
      <c r="V107" s="8"/>
      <c r="W107" s="45">
        <f t="shared" si="23"/>
        <v>0</v>
      </c>
      <c r="X107" s="8"/>
      <c r="Y107" s="8"/>
      <c r="Z107" s="45">
        <f t="shared" si="24"/>
        <v>0</v>
      </c>
      <c r="AA107" s="8"/>
      <c r="AB107" s="8"/>
      <c r="AC107" s="50">
        <f t="shared" si="25"/>
        <v>0</v>
      </c>
    </row>
    <row r="108" spans="7:29" x14ac:dyDescent="0.15">
      <c r="G108" s="205" t="s">
        <v>208</v>
      </c>
      <c r="H108" s="4" t="s">
        <v>209</v>
      </c>
      <c r="I108" s="45">
        <f t="shared" si="16"/>
        <v>0</v>
      </c>
      <c r="J108" s="45">
        <f t="shared" si="17"/>
        <v>0</v>
      </c>
      <c r="K108" s="8"/>
      <c r="L108" s="8"/>
      <c r="M108" s="45">
        <f t="shared" si="19"/>
        <v>0</v>
      </c>
      <c r="N108" s="8"/>
      <c r="O108" s="8"/>
      <c r="P108" s="45">
        <f t="shared" si="20"/>
        <v>0</v>
      </c>
      <c r="Q108" s="8"/>
      <c r="R108" s="8"/>
      <c r="S108" s="45">
        <f t="shared" si="21"/>
        <v>0</v>
      </c>
      <c r="T108" s="45">
        <f t="shared" si="22"/>
        <v>0</v>
      </c>
      <c r="U108" s="8"/>
      <c r="V108" s="8"/>
      <c r="W108" s="45">
        <f t="shared" si="23"/>
        <v>0</v>
      </c>
      <c r="X108" s="8"/>
      <c r="Y108" s="8"/>
      <c r="Z108" s="45">
        <f t="shared" si="24"/>
        <v>0</v>
      </c>
      <c r="AA108" s="8"/>
      <c r="AB108" s="8"/>
      <c r="AC108" s="50">
        <f t="shared" si="25"/>
        <v>0</v>
      </c>
    </row>
    <row r="109" spans="7:29" x14ac:dyDescent="0.15">
      <c r="G109" s="205" t="s">
        <v>210</v>
      </c>
      <c r="H109" s="4" t="s">
        <v>211</v>
      </c>
      <c r="I109" s="45">
        <f t="shared" si="16"/>
        <v>0</v>
      </c>
      <c r="J109" s="45">
        <f t="shared" si="17"/>
        <v>0</v>
      </c>
      <c r="K109" s="8"/>
      <c r="L109" s="8"/>
      <c r="M109" s="45">
        <f t="shared" si="19"/>
        <v>0</v>
      </c>
      <c r="N109" s="8"/>
      <c r="O109" s="8"/>
      <c r="P109" s="45">
        <f t="shared" si="20"/>
        <v>0</v>
      </c>
      <c r="Q109" s="8"/>
      <c r="R109" s="8"/>
      <c r="S109" s="45">
        <f t="shared" si="21"/>
        <v>0</v>
      </c>
      <c r="T109" s="45">
        <f t="shared" si="22"/>
        <v>0</v>
      </c>
      <c r="U109" s="8"/>
      <c r="V109" s="8"/>
      <c r="W109" s="45">
        <f t="shared" si="23"/>
        <v>0</v>
      </c>
      <c r="X109" s="8"/>
      <c r="Y109" s="8"/>
      <c r="Z109" s="45">
        <f t="shared" si="24"/>
        <v>0</v>
      </c>
      <c r="AA109" s="8"/>
      <c r="AB109" s="8"/>
      <c r="AC109" s="50">
        <f t="shared" si="25"/>
        <v>0</v>
      </c>
    </row>
    <row r="110" spans="7:29" x14ac:dyDescent="0.15">
      <c r="G110" s="205" t="s">
        <v>212</v>
      </c>
      <c r="H110" s="53" t="s">
        <v>213</v>
      </c>
      <c r="I110" s="45">
        <f t="shared" si="16"/>
        <v>0</v>
      </c>
      <c r="J110" s="45">
        <f t="shared" si="17"/>
        <v>0</v>
      </c>
      <c r="K110" s="48">
        <f t="shared" ref="K110:AB110" si="28">SUM(K111:K117)</f>
        <v>0</v>
      </c>
      <c r="L110" s="48">
        <f t="shared" si="28"/>
        <v>0</v>
      </c>
      <c r="M110" s="45">
        <f t="shared" si="19"/>
        <v>0</v>
      </c>
      <c r="N110" s="48">
        <f t="shared" si="28"/>
        <v>0</v>
      </c>
      <c r="O110" s="48">
        <f t="shared" si="28"/>
        <v>0</v>
      </c>
      <c r="P110" s="45">
        <f t="shared" si="20"/>
        <v>0</v>
      </c>
      <c r="Q110" s="48">
        <f t="shared" si="28"/>
        <v>0</v>
      </c>
      <c r="R110" s="48">
        <f t="shared" si="28"/>
        <v>0</v>
      </c>
      <c r="S110" s="45">
        <f t="shared" si="21"/>
        <v>0</v>
      </c>
      <c r="T110" s="45">
        <f t="shared" si="22"/>
        <v>0</v>
      </c>
      <c r="U110" s="48">
        <f t="shared" si="28"/>
        <v>0</v>
      </c>
      <c r="V110" s="48">
        <f t="shared" si="28"/>
        <v>0</v>
      </c>
      <c r="W110" s="45">
        <f t="shared" si="23"/>
        <v>0</v>
      </c>
      <c r="X110" s="48">
        <f t="shared" si="28"/>
        <v>0</v>
      </c>
      <c r="Y110" s="48">
        <f t="shared" si="28"/>
        <v>0</v>
      </c>
      <c r="Z110" s="45">
        <f t="shared" si="24"/>
        <v>0</v>
      </c>
      <c r="AA110" s="48">
        <f t="shared" si="28"/>
        <v>0</v>
      </c>
      <c r="AB110" s="48">
        <f t="shared" si="28"/>
        <v>0</v>
      </c>
      <c r="AC110" s="50">
        <f t="shared" si="25"/>
        <v>0</v>
      </c>
    </row>
    <row r="111" spans="7:29" ht="21" x14ac:dyDescent="0.15">
      <c r="G111" s="206" t="s">
        <v>214</v>
      </c>
      <c r="H111" s="4" t="s">
        <v>215</v>
      </c>
      <c r="I111" s="45">
        <f t="shared" si="16"/>
        <v>0</v>
      </c>
      <c r="J111" s="45">
        <f t="shared" si="17"/>
        <v>0</v>
      </c>
      <c r="K111" s="8"/>
      <c r="L111" s="8"/>
      <c r="M111" s="45">
        <f t="shared" si="19"/>
        <v>0</v>
      </c>
      <c r="N111" s="8"/>
      <c r="O111" s="8"/>
      <c r="P111" s="45">
        <f t="shared" si="20"/>
        <v>0</v>
      </c>
      <c r="Q111" s="8"/>
      <c r="R111" s="8"/>
      <c r="S111" s="45">
        <f t="shared" si="21"/>
        <v>0</v>
      </c>
      <c r="T111" s="45">
        <f t="shared" si="22"/>
        <v>0</v>
      </c>
      <c r="U111" s="8"/>
      <c r="V111" s="8"/>
      <c r="W111" s="45">
        <f t="shared" si="23"/>
        <v>0</v>
      </c>
      <c r="X111" s="8"/>
      <c r="Y111" s="8"/>
      <c r="Z111" s="45">
        <f t="shared" si="24"/>
        <v>0</v>
      </c>
      <c r="AA111" s="8"/>
      <c r="AB111" s="8"/>
      <c r="AC111" s="50">
        <f t="shared" si="25"/>
        <v>0</v>
      </c>
    </row>
    <row r="112" spans="7:29" x14ac:dyDescent="0.15">
      <c r="G112" s="206" t="s">
        <v>216</v>
      </c>
      <c r="H112" s="4" t="s">
        <v>217</v>
      </c>
      <c r="I112" s="45">
        <f t="shared" si="16"/>
        <v>0</v>
      </c>
      <c r="J112" s="45">
        <f t="shared" si="17"/>
        <v>0</v>
      </c>
      <c r="K112" s="8"/>
      <c r="L112" s="8"/>
      <c r="M112" s="45">
        <f t="shared" si="19"/>
        <v>0</v>
      </c>
      <c r="N112" s="8"/>
      <c r="O112" s="8"/>
      <c r="P112" s="45">
        <f t="shared" si="20"/>
        <v>0</v>
      </c>
      <c r="Q112" s="8"/>
      <c r="R112" s="8"/>
      <c r="S112" s="45">
        <f t="shared" si="21"/>
        <v>0</v>
      </c>
      <c r="T112" s="45">
        <f t="shared" si="22"/>
        <v>0</v>
      </c>
      <c r="U112" s="8"/>
      <c r="V112" s="8"/>
      <c r="W112" s="45">
        <f t="shared" si="23"/>
        <v>0</v>
      </c>
      <c r="X112" s="8"/>
      <c r="Y112" s="8"/>
      <c r="Z112" s="45">
        <f t="shared" si="24"/>
        <v>0</v>
      </c>
      <c r="AA112" s="8"/>
      <c r="AB112" s="8"/>
      <c r="AC112" s="50">
        <f t="shared" si="25"/>
        <v>0</v>
      </c>
    </row>
    <row r="113" spans="7:29" x14ac:dyDescent="0.15">
      <c r="G113" s="206" t="s">
        <v>218</v>
      </c>
      <c r="H113" s="53" t="s">
        <v>219</v>
      </c>
      <c r="I113" s="45">
        <f t="shared" si="16"/>
        <v>0</v>
      </c>
      <c r="J113" s="45">
        <f t="shared" si="17"/>
        <v>0</v>
      </c>
      <c r="K113" s="8"/>
      <c r="L113" s="8"/>
      <c r="M113" s="45">
        <f t="shared" si="19"/>
        <v>0</v>
      </c>
      <c r="N113" s="8"/>
      <c r="O113" s="8"/>
      <c r="P113" s="45">
        <f t="shared" si="20"/>
        <v>0</v>
      </c>
      <c r="Q113" s="8"/>
      <c r="R113" s="8"/>
      <c r="S113" s="45">
        <f t="shared" si="21"/>
        <v>0</v>
      </c>
      <c r="T113" s="45">
        <f t="shared" si="22"/>
        <v>0</v>
      </c>
      <c r="U113" s="8"/>
      <c r="V113" s="8"/>
      <c r="W113" s="45">
        <f t="shared" si="23"/>
        <v>0</v>
      </c>
      <c r="X113" s="8"/>
      <c r="Y113" s="8"/>
      <c r="Z113" s="45">
        <f t="shared" si="24"/>
        <v>0</v>
      </c>
      <c r="AA113" s="8"/>
      <c r="AB113" s="8"/>
      <c r="AC113" s="50">
        <f t="shared" si="25"/>
        <v>0</v>
      </c>
    </row>
    <row r="114" spans="7:29" x14ac:dyDescent="0.15">
      <c r="G114" s="206" t="s">
        <v>220</v>
      </c>
      <c r="H114" s="4" t="s">
        <v>221</v>
      </c>
      <c r="I114" s="45">
        <f t="shared" si="16"/>
        <v>0</v>
      </c>
      <c r="J114" s="45">
        <f t="shared" si="17"/>
        <v>0</v>
      </c>
      <c r="K114" s="8"/>
      <c r="L114" s="8"/>
      <c r="M114" s="45">
        <f t="shared" si="19"/>
        <v>0</v>
      </c>
      <c r="N114" s="8"/>
      <c r="O114" s="8"/>
      <c r="P114" s="45">
        <f t="shared" si="20"/>
        <v>0</v>
      </c>
      <c r="Q114" s="8"/>
      <c r="R114" s="8"/>
      <c r="S114" s="45">
        <f t="shared" si="21"/>
        <v>0</v>
      </c>
      <c r="T114" s="45">
        <f t="shared" si="22"/>
        <v>0</v>
      </c>
      <c r="U114" s="8"/>
      <c r="V114" s="8"/>
      <c r="W114" s="45">
        <f t="shared" si="23"/>
        <v>0</v>
      </c>
      <c r="X114" s="8"/>
      <c r="Y114" s="8"/>
      <c r="Z114" s="45">
        <f t="shared" si="24"/>
        <v>0</v>
      </c>
      <c r="AA114" s="8"/>
      <c r="AB114" s="8"/>
      <c r="AC114" s="50">
        <f t="shared" si="25"/>
        <v>0</v>
      </c>
    </row>
    <row r="115" spans="7:29" x14ac:dyDescent="0.15">
      <c r="G115" s="206" t="s">
        <v>222</v>
      </c>
      <c r="H115" s="4" t="s">
        <v>223</v>
      </c>
      <c r="I115" s="45">
        <f t="shared" si="16"/>
        <v>0</v>
      </c>
      <c r="J115" s="45">
        <f t="shared" si="17"/>
        <v>0</v>
      </c>
      <c r="K115" s="8"/>
      <c r="L115" s="8"/>
      <c r="M115" s="45">
        <f t="shared" si="19"/>
        <v>0</v>
      </c>
      <c r="N115" s="8"/>
      <c r="O115" s="8"/>
      <c r="P115" s="45">
        <f t="shared" si="20"/>
        <v>0</v>
      </c>
      <c r="Q115" s="8"/>
      <c r="R115" s="8"/>
      <c r="S115" s="45">
        <f t="shared" si="21"/>
        <v>0</v>
      </c>
      <c r="T115" s="45">
        <f t="shared" si="22"/>
        <v>0</v>
      </c>
      <c r="U115" s="8"/>
      <c r="V115" s="8"/>
      <c r="W115" s="45">
        <f t="shared" si="23"/>
        <v>0</v>
      </c>
      <c r="X115" s="8"/>
      <c r="Y115" s="8"/>
      <c r="Z115" s="45">
        <f t="shared" si="24"/>
        <v>0</v>
      </c>
      <c r="AA115" s="8"/>
      <c r="AB115" s="8"/>
      <c r="AC115" s="50">
        <f t="shared" si="25"/>
        <v>0</v>
      </c>
    </row>
    <row r="116" spans="7:29" x14ac:dyDescent="0.15">
      <c r="G116" s="206" t="s">
        <v>154</v>
      </c>
      <c r="H116" s="53" t="s">
        <v>224</v>
      </c>
      <c r="I116" s="45">
        <f t="shared" si="16"/>
        <v>0</v>
      </c>
      <c r="J116" s="45">
        <f t="shared" si="17"/>
        <v>0</v>
      </c>
      <c r="K116" s="8"/>
      <c r="L116" s="8"/>
      <c r="M116" s="45">
        <f t="shared" si="19"/>
        <v>0</v>
      </c>
      <c r="N116" s="8"/>
      <c r="O116" s="8"/>
      <c r="P116" s="45">
        <f t="shared" si="20"/>
        <v>0</v>
      </c>
      <c r="Q116" s="8"/>
      <c r="R116" s="8"/>
      <c r="S116" s="45">
        <f t="shared" si="21"/>
        <v>0</v>
      </c>
      <c r="T116" s="45">
        <f t="shared" si="22"/>
        <v>0</v>
      </c>
      <c r="U116" s="8"/>
      <c r="V116" s="8"/>
      <c r="W116" s="45">
        <f t="shared" si="23"/>
        <v>0</v>
      </c>
      <c r="X116" s="8"/>
      <c r="Y116" s="8"/>
      <c r="Z116" s="45">
        <f t="shared" si="24"/>
        <v>0</v>
      </c>
      <c r="AA116" s="8"/>
      <c r="AB116" s="8"/>
      <c r="AC116" s="50">
        <f t="shared" si="25"/>
        <v>0</v>
      </c>
    </row>
    <row r="117" spans="7:29" x14ac:dyDescent="0.15">
      <c r="G117" s="206" t="s">
        <v>225</v>
      </c>
      <c r="H117" s="4" t="s">
        <v>226</v>
      </c>
      <c r="I117" s="45">
        <f t="shared" si="16"/>
        <v>0</v>
      </c>
      <c r="J117" s="45">
        <f t="shared" si="17"/>
        <v>0</v>
      </c>
      <c r="K117" s="8"/>
      <c r="L117" s="8"/>
      <c r="M117" s="45">
        <f t="shared" si="19"/>
        <v>0</v>
      </c>
      <c r="N117" s="8"/>
      <c r="O117" s="8"/>
      <c r="P117" s="45">
        <f t="shared" si="20"/>
        <v>0</v>
      </c>
      <c r="Q117" s="8"/>
      <c r="R117" s="8"/>
      <c r="S117" s="45">
        <f t="shared" si="21"/>
        <v>0</v>
      </c>
      <c r="T117" s="45">
        <f t="shared" si="22"/>
        <v>0</v>
      </c>
      <c r="U117" s="8"/>
      <c r="V117" s="8"/>
      <c r="W117" s="45">
        <f t="shared" si="23"/>
        <v>0</v>
      </c>
      <c r="X117" s="8"/>
      <c r="Y117" s="8"/>
      <c r="Z117" s="45">
        <f t="shared" si="24"/>
        <v>0</v>
      </c>
      <c r="AA117" s="8"/>
      <c r="AB117" s="8"/>
      <c r="AC117" s="50">
        <f t="shared" si="25"/>
        <v>0</v>
      </c>
    </row>
    <row r="118" spans="7:29" x14ac:dyDescent="0.15">
      <c r="G118" s="205" t="s">
        <v>227</v>
      </c>
      <c r="H118" s="4" t="s">
        <v>228</v>
      </c>
      <c r="I118" s="45">
        <f t="shared" si="16"/>
        <v>0</v>
      </c>
      <c r="J118" s="45">
        <f t="shared" si="17"/>
        <v>0</v>
      </c>
      <c r="K118" s="8"/>
      <c r="L118" s="8"/>
      <c r="M118" s="45">
        <f t="shared" si="19"/>
        <v>0</v>
      </c>
      <c r="N118" s="8"/>
      <c r="O118" s="8"/>
      <c r="P118" s="45">
        <f t="shared" si="20"/>
        <v>0</v>
      </c>
      <c r="Q118" s="8"/>
      <c r="R118" s="8"/>
      <c r="S118" s="45">
        <f t="shared" si="21"/>
        <v>0</v>
      </c>
      <c r="T118" s="45">
        <f t="shared" si="22"/>
        <v>0</v>
      </c>
      <c r="U118" s="8"/>
      <c r="V118" s="8"/>
      <c r="W118" s="45">
        <f t="shared" si="23"/>
        <v>0</v>
      </c>
      <c r="X118" s="8"/>
      <c r="Y118" s="8"/>
      <c r="Z118" s="45">
        <f t="shared" si="24"/>
        <v>0</v>
      </c>
      <c r="AA118" s="8"/>
      <c r="AB118" s="8"/>
      <c r="AC118" s="50">
        <f t="shared" si="25"/>
        <v>0</v>
      </c>
    </row>
    <row r="119" spans="7:29" x14ac:dyDescent="0.15">
      <c r="G119" s="205" t="s">
        <v>229</v>
      </c>
      <c r="H119" s="53" t="s">
        <v>230</v>
      </c>
      <c r="I119" s="45">
        <f t="shared" si="16"/>
        <v>0</v>
      </c>
      <c r="J119" s="45">
        <f t="shared" si="17"/>
        <v>0</v>
      </c>
      <c r="K119" s="46">
        <f t="shared" ref="K119:AB119" si="29">SUM(K120:K123)</f>
        <v>0</v>
      </c>
      <c r="L119" s="46">
        <f t="shared" si="29"/>
        <v>0</v>
      </c>
      <c r="M119" s="45">
        <f t="shared" si="19"/>
        <v>0</v>
      </c>
      <c r="N119" s="46">
        <f t="shared" si="29"/>
        <v>0</v>
      </c>
      <c r="O119" s="46">
        <f t="shared" si="29"/>
        <v>0</v>
      </c>
      <c r="P119" s="45">
        <f t="shared" si="20"/>
        <v>0</v>
      </c>
      <c r="Q119" s="46">
        <f t="shared" si="29"/>
        <v>0</v>
      </c>
      <c r="R119" s="46">
        <f t="shared" si="29"/>
        <v>0</v>
      </c>
      <c r="S119" s="45">
        <f t="shared" si="21"/>
        <v>0</v>
      </c>
      <c r="T119" s="45">
        <f t="shared" si="22"/>
        <v>0</v>
      </c>
      <c r="U119" s="46">
        <f t="shared" si="29"/>
        <v>0</v>
      </c>
      <c r="V119" s="46">
        <f t="shared" si="29"/>
        <v>0</v>
      </c>
      <c r="W119" s="45">
        <f t="shared" si="23"/>
        <v>0</v>
      </c>
      <c r="X119" s="46">
        <f t="shared" si="29"/>
        <v>0</v>
      </c>
      <c r="Y119" s="46">
        <f t="shared" si="29"/>
        <v>0</v>
      </c>
      <c r="Z119" s="45">
        <f t="shared" si="24"/>
        <v>0</v>
      </c>
      <c r="AA119" s="46">
        <f t="shared" si="29"/>
        <v>0</v>
      </c>
      <c r="AB119" s="46">
        <f t="shared" si="29"/>
        <v>0</v>
      </c>
      <c r="AC119" s="50">
        <f t="shared" si="25"/>
        <v>0</v>
      </c>
    </row>
    <row r="120" spans="7:29" ht="21" x14ac:dyDescent="0.15">
      <c r="G120" s="206" t="s">
        <v>870</v>
      </c>
      <c r="H120" s="4" t="s">
        <v>231</v>
      </c>
      <c r="I120" s="45">
        <f t="shared" si="16"/>
        <v>0</v>
      </c>
      <c r="J120" s="45">
        <f t="shared" si="17"/>
        <v>0</v>
      </c>
      <c r="K120" s="8"/>
      <c r="L120" s="8"/>
      <c r="M120" s="45">
        <f t="shared" si="19"/>
        <v>0</v>
      </c>
      <c r="N120" s="8"/>
      <c r="O120" s="8"/>
      <c r="P120" s="45">
        <f t="shared" si="20"/>
        <v>0</v>
      </c>
      <c r="Q120" s="8"/>
      <c r="R120" s="8"/>
      <c r="S120" s="45">
        <f t="shared" si="21"/>
        <v>0</v>
      </c>
      <c r="T120" s="45">
        <f t="shared" si="22"/>
        <v>0</v>
      </c>
      <c r="U120" s="8"/>
      <c r="V120" s="8"/>
      <c r="W120" s="45">
        <f t="shared" si="23"/>
        <v>0</v>
      </c>
      <c r="X120" s="8"/>
      <c r="Y120" s="8"/>
      <c r="Z120" s="45">
        <f t="shared" si="24"/>
        <v>0</v>
      </c>
      <c r="AA120" s="8"/>
      <c r="AB120" s="8"/>
      <c r="AC120" s="50">
        <f t="shared" si="25"/>
        <v>0</v>
      </c>
    </row>
    <row r="121" spans="7:29" x14ac:dyDescent="0.15">
      <c r="G121" s="206" t="s">
        <v>232</v>
      </c>
      <c r="H121" s="4" t="s">
        <v>233</v>
      </c>
      <c r="I121" s="45">
        <f t="shared" si="16"/>
        <v>0</v>
      </c>
      <c r="J121" s="45">
        <f t="shared" si="17"/>
        <v>0</v>
      </c>
      <c r="K121" s="8"/>
      <c r="L121" s="8"/>
      <c r="M121" s="45">
        <f t="shared" si="19"/>
        <v>0</v>
      </c>
      <c r="N121" s="8"/>
      <c r="O121" s="8"/>
      <c r="P121" s="45">
        <f t="shared" si="20"/>
        <v>0</v>
      </c>
      <c r="Q121" s="8"/>
      <c r="R121" s="8"/>
      <c r="S121" s="45">
        <f t="shared" si="21"/>
        <v>0</v>
      </c>
      <c r="T121" s="45">
        <f t="shared" si="22"/>
        <v>0</v>
      </c>
      <c r="U121" s="8"/>
      <c r="V121" s="8"/>
      <c r="W121" s="45">
        <f t="shared" si="23"/>
        <v>0</v>
      </c>
      <c r="X121" s="8"/>
      <c r="Y121" s="8"/>
      <c r="Z121" s="45">
        <f t="shared" si="24"/>
        <v>0</v>
      </c>
      <c r="AA121" s="8"/>
      <c r="AB121" s="8"/>
      <c r="AC121" s="50">
        <f t="shared" si="25"/>
        <v>0</v>
      </c>
    </row>
    <row r="122" spans="7:29" x14ac:dyDescent="0.15">
      <c r="G122" s="206" t="s">
        <v>234</v>
      </c>
      <c r="H122" s="53" t="s">
        <v>235</v>
      </c>
      <c r="I122" s="45">
        <f t="shared" si="16"/>
        <v>0</v>
      </c>
      <c r="J122" s="45">
        <f t="shared" si="17"/>
        <v>0</v>
      </c>
      <c r="K122" s="8"/>
      <c r="L122" s="8"/>
      <c r="M122" s="45">
        <f t="shared" si="19"/>
        <v>0</v>
      </c>
      <c r="N122" s="8"/>
      <c r="O122" s="8"/>
      <c r="P122" s="45">
        <f t="shared" si="20"/>
        <v>0</v>
      </c>
      <c r="Q122" s="8"/>
      <c r="R122" s="8"/>
      <c r="S122" s="45">
        <f t="shared" si="21"/>
        <v>0</v>
      </c>
      <c r="T122" s="45">
        <f t="shared" si="22"/>
        <v>0</v>
      </c>
      <c r="U122" s="8"/>
      <c r="V122" s="8"/>
      <c r="W122" s="45">
        <f t="shared" si="23"/>
        <v>0</v>
      </c>
      <c r="X122" s="8"/>
      <c r="Y122" s="8"/>
      <c r="Z122" s="45">
        <f t="shared" si="24"/>
        <v>0</v>
      </c>
      <c r="AA122" s="8"/>
      <c r="AB122" s="8"/>
      <c r="AC122" s="50">
        <f t="shared" si="25"/>
        <v>0</v>
      </c>
    </row>
    <row r="123" spans="7:29" ht="21" x14ac:dyDescent="0.15">
      <c r="G123" s="206" t="s">
        <v>236</v>
      </c>
      <c r="H123" s="4" t="s">
        <v>237</v>
      </c>
      <c r="I123" s="45">
        <f t="shared" si="16"/>
        <v>0</v>
      </c>
      <c r="J123" s="45">
        <f t="shared" si="17"/>
        <v>0</v>
      </c>
      <c r="K123" s="8"/>
      <c r="L123" s="8"/>
      <c r="M123" s="45">
        <f t="shared" si="19"/>
        <v>0</v>
      </c>
      <c r="N123" s="8"/>
      <c r="O123" s="8"/>
      <c r="P123" s="45">
        <f t="shared" si="20"/>
        <v>0</v>
      </c>
      <c r="Q123" s="8"/>
      <c r="R123" s="8"/>
      <c r="S123" s="45">
        <f t="shared" si="21"/>
        <v>0</v>
      </c>
      <c r="T123" s="45">
        <f t="shared" si="22"/>
        <v>0</v>
      </c>
      <c r="U123" s="8"/>
      <c r="V123" s="8"/>
      <c r="W123" s="45">
        <f t="shared" si="23"/>
        <v>0</v>
      </c>
      <c r="X123" s="8"/>
      <c r="Y123" s="8"/>
      <c r="Z123" s="45">
        <f t="shared" si="24"/>
        <v>0</v>
      </c>
      <c r="AA123" s="8"/>
      <c r="AB123" s="8"/>
      <c r="AC123" s="50">
        <f t="shared" si="25"/>
        <v>0</v>
      </c>
    </row>
    <row r="124" spans="7:29" x14ac:dyDescent="0.15">
      <c r="G124" s="205" t="s">
        <v>238</v>
      </c>
      <c r="H124" s="4" t="s">
        <v>239</v>
      </c>
      <c r="I124" s="45">
        <f t="shared" si="16"/>
        <v>0</v>
      </c>
      <c r="J124" s="45">
        <f t="shared" si="17"/>
        <v>0</v>
      </c>
      <c r="K124" s="8"/>
      <c r="L124" s="8"/>
      <c r="M124" s="45">
        <f t="shared" si="19"/>
        <v>0</v>
      </c>
      <c r="N124" s="8"/>
      <c r="O124" s="8"/>
      <c r="P124" s="45">
        <f t="shared" si="20"/>
        <v>0</v>
      </c>
      <c r="Q124" s="8"/>
      <c r="R124" s="8"/>
      <c r="S124" s="45">
        <f t="shared" si="21"/>
        <v>0</v>
      </c>
      <c r="T124" s="45">
        <f t="shared" si="22"/>
        <v>0</v>
      </c>
      <c r="U124" s="8"/>
      <c r="V124" s="8"/>
      <c r="W124" s="45">
        <f t="shared" si="23"/>
        <v>0</v>
      </c>
      <c r="X124" s="8"/>
      <c r="Y124" s="8"/>
      <c r="Z124" s="45">
        <f t="shared" si="24"/>
        <v>0</v>
      </c>
      <c r="AA124" s="8"/>
      <c r="AB124" s="8"/>
      <c r="AC124" s="50">
        <f t="shared" si="25"/>
        <v>0</v>
      </c>
    </row>
    <row r="125" spans="7:29" x14ac:dyDescent="0.15">
      <c r="G125" s="205" t="s">
        <v>240</v>
      </c>
      <c r="H125" s="53" t="s">
        <v>241</v>
      </c>
      <c r="I125" s="45">
        <f t="shared" si="16"/>
        <v>0</v>
      </c>
      <c r="J125" s="45">
        <f t="shared" si="17"/>
        <v>0</v>
      </c>
      <c r="K125" s="8"/>
      <c r="L125" s="8"/>
      <c r="M125" s="45">
        <f t="shared" si="19"/>
        <v>0</v>
      </c>
      <c r="N125" s="8"/>
      <c r="O125" s="8"/>
      <c r="P125" s="45">
        <f t="shared" si="20"/>
        <v>0</v>
      </c>
      <c r="Q125" s="8"/>
      <c r="R125" s="8"/>
      <c r="S125" s="45">
        <f t="shared" si="21"/>
        <v>0</v>
      </c>
      <c r="T125" s="45">
        <f t="shared" si="22"/>
        <v>0</v>
      </c>
      <c r="U125" s="8"/>
      <c r="V125" s="8"/>
      <c r="W125" s="45">
        <f t="shared" si="23"/>
        <v>0</v>
      </c>
      <c r="X125" s="8"/>
      <c r="Y125" s="8"/>
      <c r="Z125" s="45">
        <f t="shared" si="24"/>
        <v>0</v>
      </c>
      <c r="AA125" s="8"/>
      <c r="AB125" s="8"/>
      <c r="AC125" s="50">
        <f t="shared" si="25"/>
        <v>0</v>
      </c>
    </row>
    <row r="126" spans="7:29" x14ac:dyDescent="0.15">
      <c r="G126" s="205" t="s">
        <v>242</v>
      </c>
      <c r="H126" s="4" t="s">
        <v>243</v>
      </c>
      <c r="I126" s="45">
        <f t="shared" si="16"/>
        <v>0</v>
      </c>
      <c r="J126" s="45">
        <f t="shared" si="17"/>
        <v>0</v>
      </c>
      <c r="K126" s="8"/>
      <c r="L126" s="8"/>
      <c r="M126" s="45">
        <f t="shared" si="19"/>
        <v>0</v>
      </c>
      <c r="N126" s="8"/>
      <c r="O126" s="8"/>
      <c r="P126" s="45">
        <f t="shared" si="20"/>
        <v>0</v>
      </c>
      <c r="Q126" s="8"/>
      <c r="R126" s="8"/>
      <c r="S126" s="45">
        <f t="shared" si="21"/>
        <v>0</v>
      </c>
      <c r="T126" s="45">
        <f t="shared" si="22"/>
        <v>0</v>
      </c>
      <c r="U126" s="8"/>
      <c r="V126" s="8"/>
      <c r="W126" s="45">
        <f t="shared" si="23"/>
        <v>0</v>
      </c>
      <c r="X126" s="8"/>
      <c r="Y126" s="8"/>
      <c r="Z126" s="45">
        <f t="shared" si="24"/>
        <v>0</v>
      </c>
      <c r="AA126" s="8"/>
      <c r="AB126" s="8"/>
      <c r="AC126" s="50">
        <f t="shared" si="25"/>
        <v>0</v>
      </c>
    </row>
    <row r="127" spans="7:29" x14ac:dyDescent="0.15">
      <c r="G127" s="205" t="s">
        <v>244</v>
      </c>
      <c r="H127" s="4" t="s">
        <v>245</v>
      </c>
      <c r="I127" s="45">
        <f t="shared" si="16"/>
        <v>0</v>
      </c>
      <c r="J127" s="45">
        <f t="shared" si="17"/>
        <v>0</v>
      </c>
      <c r="K127" s="8"/>
      <c r="L127" s="8"/>
      <c r="M127" s="45">
        <f t="shared" si="19"/>
        <v>0</v>
      </c>
      <c r="N127" s="8"/>
      <c r="O127" s="8"/>
      <c r="P127" s="45">
        <f t="shared" si="20"/>
        <v>0</v>
      </c>
      <c r="Q127" s="8"/>
      <c r="R127" s="8"/>
      <c r="S127" s="45">
        <f t="shared" si="21"/>
        <v>0</v>
      </c>
      <c r="T127" s="45">
        <f t="shared" si="22"/>
        <v>0</v>
      </c>
      <c r="U127" s="8"/>
      <c r="V127" s="8"/>
      <c r="W127" s="45">
        <f t="shared" si="23"/>
        <v>0</v>
      </c>
      <c r="X127" s="8"/>
      <c r="Y127" s="8"/>
      <c r="Z127" s="45">
        <f t="shared" si="24"/>
        <v>0</v>
      </c>
      <c r="AA127" s="8"/>
      <c r="AB127" s="8"/>
      <c r="AC127" s="50">
        <f t="shared" si="25"/>
        <v>0</v>
      </c>
    </row>
    <row r="128" spans="7:29" x14ac:dyDescent="0.15">
      <c r="G128" s="205" t="s">
        <v>246</v>
      </c>
      <c r="H128" s="53" t="s">
        <v>247</v>
      </c>
      <c r="I128" s="45">
        <f t="shared" si="16"/>
        <v>0</v>
      </c>
      <c r="J128" s="45">
        <f t="shared" si="17"/>
        <v>0</v>
      </c>
      <c r="K128" s="8"/>
      <c r="L128" s="8"/>
      <c r="M128" s="45">
        <f t="shared" si="19"/>
        <v>0</v>
      </c>
      <c r="N128" s="8"/>
      <c r="O128" s="8"/>
      <c r="P128" s="45">
        <f t="shared" si="20"/>
        <v>0</v>
      </c>
      <c r="Q128" s="8"/>
      <c r="R128" s="8"/>
      <c r="S128" s="45">
        <f t="shared" si="21"/>
        <v>0</v>
      </c>
      <c r="T128" s="45">
        <f t="shared" si="22"/>
        <v>0</v>
      </c>
      <c r="U128" s="8"/>
      <c r="V128" s="8"/>
      <c r="W128" s="45">
        <f t="shared" si="23"/>
        <v>0</v>
      </c>
      <c r="X128" s="8"/>
      <c r="Y128" s="8"/>
      <c r="Z128" s="45">
        <f t="shared" si="24"/>
        <v>0</v>
      </c>
      <c r="AA128" s="8"/>
      <c r="AB128" s="8"/>
      <c r="AC128" s="50">
        <f t="shared" si="25"/>
        <v>0</v>
      </c>
    </row>
    <row r="129" spans="7:29" x14ac:dyDescent="0.15">
      <c r="G129" s="205" t="s">
        <v>248</v>
      </c>
      <c r="H129" s="4" t="s">
        <v>249</v>
      </c>
      <c r="I129" s="45">
        <f t="shared" si="16"/>
        <v>0</v>
      </c>
      <c r="J129" s="45">
        <f t="shared" si="17"/>
        <v>0</v>
      </c>
      <c r="K129" s="8"/>
      <c r="L129" s="8"/>
      <c r="M129" s="45">
        <f t="shared" si="19"/>
        <v>0</v>
      </c>
      <c r="N129" s="8"/>
      <c r="O129" s="8"/>
      <c r="P129" s="45">
        <f t="shared" si="20"/>
        <v>0</v>
      </c>
      <c r="Q129" s="8"/>
      <c r="R129" s="8"/>
      <c r="S129" s="45">
        <f t="shared" si="21"/>
        <v>0</v>
      </c>
      <c r="T129" s="45">
        <f t="shared" si="22"/>
        <v>0</v>
      </c>
      <c r="U129" s="8"/>
      <c r="V129" s="8"/>
      <c r="W129" s="45">
        <f t="shared" si="23"/>
        <v>0</v>
      </c>
      <c r="X129" s="8"/>
      <c r="Y129" s="8"/>
      <c r="Z129" s="45">
        <f t="shared" si="24"/>
        <v>0</v>
      </c>
      <c r="AA129" s="8"/>
      <c r="AB129" s="8"/>
      <c r="AC129" s="50">
        <f t="shared" si="25"/>
        <v>0</v>
      </c>
    </row>
    <row r="130" spans="7:29" x14ac:dyDescent="0.15">
      <c r="G130" s="205" t="s">
        <v>895</v>
      </c>
      <c r="H130" s="4" t="s">
        <v>251</v>
      </c>
      <c r="I130" s="45">
        <f t="shared" ref="I130" si="30">J130+M130+P130</f>
        <v>0</v>
      </c>
      <c r="J130" s="45">
        <f t="shared" ref="J130" si="31">K130+L130</f>
        <v>0</v>
      </c>
      <c r="K130" s="8"/>
      <c r="L130" s="8"/>
      <c r="M130" s="45">
        <f t="shared" ref="M130" si="32">N130+O130</f>
        <v>0</v>
      </c>
      <c r="N130" s="8"/>
      <c r="O130" s="8"/>
      <c r="P130" s="45">
        <f t="shared" ref="P130" si="33">Q130+R130</f>
        <v>0</v>
      </c>
      <c r="Q130" s="8"/>
      <c r="R130" s="8"/>
      <c r="S130" s="45">
        <f t="shared" ref="S130" si="34">T130+W130+Z130</f>
        <v>0</v>
      </c>
      <c r="T130" s="45">
        <f t="shared" ref="T130" si="35">U130+V130</f>
        <v>0</v>
      </c>
      <c r="U130" s="8"/>
      <c r="V130" s="8"/>
      <c r="W130" s="45">
        <f t="shared" ref="W130" si="36">X130+Y130</f>
        <v>0</v>
      </c>
      <c r="X130" s="8"/>
      <c r="Y130" s="8"/>
      <c r="Z130" s="45">
        <f t="shared" ref="Z130" si="37">AA130+AB130</f>
        <v>0</v>
      </c>
      <c r="AA130" s="8"/>
      <c r="AB130" s="8"/>
      <c r="AC130" s="50">
        <f t="shared" ref="AC130" si="38">SUM(I130:AB130)</f>
        <v>0</v>
      </c>
    </row>
    <row r="131" spans="7:29" x14ac:dyDescent="0.15">
      <c r="G131" s="205" t="s">
        <v>250</v>
      </c>
      <c r="H131" s="53" t="s">
        <v>253</v>
      </c>
      <c r="I131" s="45">
        <f t="shared" si="16"/>
        <v>0</v>
      </c>
      <c r="J131" s="45">
        <f t="shared" si="17"/>
        <v>0</v>
      </c>
      <c r="K131" s="8"/>
      <c r="L131" s="8"/>
      <c r="M131" s="45">
        <f t="shared" si="19"/>
        <v>0</v>
      </c>
      <c r="N131" s="8"/>
      <c r="O131" s="8"/>
      <c r="P131" s="45">
        <f t="shared" si="20"/>
        <v>0</v>
      </c>
      <c r="Q131" s="8"/>
      <c r="R131" s="8"/>
      <c r="S131" s="45">
        <f t="shared" si="21"/>
        <v>0</v>
      </c>
      <c r="T131" s="45">
        <f t="shared" si="22"/>
        <v>0</v>
      </c>
      <c r="U131" s="8"/>
      <c r="V131" s="8"/>
      <c r="W131" s="45">
        <f t="shared" si="23"/>
        <v>0</v>
      </c>
      <c r="X131" s="8"/>
      <c r="Y131" s="8"/>
      <c r="Z131" s="45">
        <f t="shared" si="24"/>
        <v>0</v>
      </c>
      <c r="AA131" s="8"/>
      <c r="AB131" s="8"/>
      <c r="AC131" s="50">
        <f t="shared" si="25"/>
        <v>0</v>
      </c>
    </row>
    <row r="132" spans="7:29" x14ac:dyDescent="0.15">
      <c r="G132" s="205" t="s">
        <v>252</v>
      </c>
      <c r="H132" s="4" t="s">
        <v>255</v>
      </c>
      <c r="I132" s="45">
        <f t="shared" si="16"/>
        <v>0</v>
      </c>
      <c r="J132" s="45">
        <f t="shared" si="17"/>
        <v>0</v>
      </c>
      <c r="K132" s="8"/>
      <c r="L132" s="8"/>
      <c r="M132" s="45">
        <f t="shared" si="19"/>
        <v>0</v>
      </c>
      <c r="N132" s="8"/>
      <c r="O132" s="8"/>
      <c r="P132" s="45">
        <f t="shared" si="20"/>
        <v>0</v>
      </c>
      <c r="Q132" s="8"/>
      <c r="R132" s="8"/>
      <c r="S132" s="45">
        <f t="shared" si="21"/>
        <v>0</v>
      </c>
      <c r="T132" s="45">
        <f t="shared" si="22"/>
        <v>0</v>
      </c>
      <c r="U132" s="8"/>
      <c r="V132" s="8"/>
      <c r="W132" s="45">
        <f t="shared" si="23"/>
        <v>0</v>
      </c>
      <c r="X132" s="8"/>
      <c r="Y132" s="8"/>
      <c r="Z132" s="45">
        <f t="shared" si="24"/>
        <v>0</v>
      </c>
      <c r="AA132" s="8"/>
      <c r="AB132" s="8"/>
      <c r="AC132" s="50">
        <f t="shared" si="25"/>
        <v>0</v>
      </c>
    </row>
    <row r="133" spans="7:29" x14ac:dyDescent="0.15">
      <c r="G133" s="205" t="s">
        <v>254</v>
      </c>
      <c r="H133" s="4" t="s">
        <v>257</v>
      </c>
      <c r="I133" s="45">
        <f t="shared" si="16"/>
        <v>0</v>
      </c>
      <c r="J133" s="45">
        <f t="shared" si="17"/>
        <v>0</v>
      </c>
      <c r="K133" s="8"/>
      <c r="L133" s="8"/>
      <c r="M133" s="45">
        <f t="shared" si="19"/>
        <v>0</v>
      </c>
      <c r="N133" s="8"/>
      <c r="O133" s="8"/>
      <c r="P133" s="45">
        <f t="shared" si="20"/>
        <v>0</v>
      </c>
      <c r="Q133" s="8"/>
      <c r="R133" s="8"/>
      <c r="S133" s="45">
        <f t="shared" si="21"/>
        <v>0</v>
      </c>
      <c r="T133" s="45">
        <f t="shared" si="22"/>
        <v>0</v>
      </c>
      <c r="U133" s="8"/>
      <c r="V133" s="8"/>
      <c r="W133" s="45">
        <f t="shared" si="23"/>
        <v>0</v>
      </c>
      <c r="X133" s="8"/>
      <c r="Y133" s="8"/>
      <c r="Z133" s="45">
        <f t="shared" si="24"/>
        <v>0</v>
      </c>
      <c r="AA133" s="8"/>
      <c r="AB133" s="8"/>
      <c r="AC133" s="50">
        <f t="shared" si="25"/>
        <v>0</v>
      </c>
    </row>
    <row r="134" spans="7:29" ht="21" x14ac:dyDescent="0.15">
      <c r="G134" s="207" t="s">
        <v>256</v>
      </c>
      <c r="H134" s="53" t="s">
        <v>259</v>
      </c>
      <c r="I134" s="45">
        <f t="shared" si="16"/>
        <v>0</v>
      </c>
      <c r="J134" s="45">
        <f t="shared" si="17"/>
        <v>0</v>
      </c>
      <c r="K134" s="8"/>
      <c r="L134" s="8"/>
      <c r="M134" s="45">
        <f t="shared" si="19"/>
        <v>0</v>
      </c>
      <c r="N134" s="8"/>
      <c r="O134" s="8"/>
      <c r="P134" s="45">
        <f t="shared" si="20"/>
        <v>0</v>
      </c>
      <c r="Q134" s="8"/>
      <c r="R134" s="8"/>
      <c r="S134" s="45">
        <f t="shared" si="21"/>
        <v>0</v>
      </c>
      <c r="T134" s="45">
        <f t="shared" si="22"/>
        <v>0</v>
      </c>
      <c r="U134" s="8"/>
      <c r="V134" s="8"/>
      <c r="W134" s="45">
        <f t="shared" si="23"/>
        <v>0</v>
      </c>
      <c r="X134" s="8"/>
      <c r="Y134" s="8"/>
      <c r="Z134" s="45">
        <f t="shared" si="24"/>
        <v>0</v>
      </c>
      <c r="AA134" s="8"/>
      <c r="AB134" s="8"/>
      <c r="AC134" s="50">
        <f t="shared" si="25"/>
        <v>0</v>
      </c>
    </row>
    <row r="135" spans="7:29" x14ac:dyDescent="0.15">
      <c r="G135" s="207" t="s">
        <v>258</v>
      </c>
      <c r="H135" s="4" t="s">
        <v>261</v>
      </c>
      <c r="I135" s="45">
        <f t="shared" si="16"/>
        <v>0</v>
      </c>
      <c r="J135" s="45">
        <f t="shared" si="17"/>
        <v>0</v>
      </c>
      <c r="K135" s="8"/>
      <c r="L135" s="8"/>
      <c r="M135" s="45">
        <f t="shared" si="19"/>
        <v>0</v>
      </c>
      <c r="N135" s="8"/>
      <c r="O135" s="8"/>
      <c r="P135" s="45">
        <f t="shared" si="20"/>
        <v>0</v>
      </c>
      <c r="Q135" s="8"/>
      <c r="R135" s="8"/>
      <c r="S135" s="45">
        <f t="shared" si="21"/>
        <v>0</v>
      </c>
      <c r="T135" s="45">
        <f t="shared" si="22"/>
        <v>0</v>
      </c>
      <c r="U135" s="8"/>
      <c r="V135" s="8"/>
      <c r="W135" s="45">
        <f t="shared" si="23"/>
        <v>0</v>
      </c>
      <c r="X135" s="8"/>
      <c r="Y135" s="8"/>
      <c r="Z135" s="45">
        <f t="shared" si="24"/>
        <v>0</v>
      </c>
      <c r="AA135" s="8"/>
      <c r="AB135" s="8"/>
      <c r="AC135" s="50">
        <f t="shared" si="25"/>
        <v>0</v>
      </c>
    </row>
    <row r="136" spans="7:29" x14ac:dyDescent="0.15">
      <c r="G136" s="207" t="s">
        <v>260</v>
      </c>
      <c r="H136" s="4" t="s">
        <v>263</v>
      </c>
      <c r="I136" s="45">
        <f t="shared" si="16"/>
        <v>0</v>
      </c>
      <c r="J136" s="45">
        <f t="shared" si="17"/>
        <v>0</v>
      </c>
      <c r="K136" s="8"/>
      <c r="L136" s="8"/>
      <c r="M136" s="45">
        <f t="shared" si="19"/>
        <v>0</v>
      </c>
      <c r="N136" s="8"/>
      <c r="O136" s="8"/>
      <c r="P136" s="45">
        <f t="shared" si="20"/>
        <v>0</v>
      </c>
      <c r="Q136" s="8"/>
      <c r="R136" s="8"/>
      <c r="S136" s="45">
        <f t="shared" si="21"/>
        <v>0</v>
      </c>
      <c r="T136" s="45">
        <f t="shared" si="22"/>
        <v>0</v>
      </c>
      <c r="U136" s="8"/>
      <c r="V136" s="8"/>
      <c r="W136" s="45">
        <f t="shared" si="23"/>
        <v>0</v>
      </c>
      <c r="X136" s="8"/>
      <c r="Y136" s="8"/>
      <c r="Z136" s="45">
        <f t="shared" si="24"/>
        <v>0</v>
      </c>
      <c r="AA136" s="8"/>
      <c r="AB136" s="8"/>
      <c r="AC136" s="50">
        <f t="shared" si="25"/>
        <v>0</v>
      </c>
    </row>
    <row r="137" spans="7:29" x14ac:dyDescent="0.15">
      <c r="G137" s="205" t="s">
        <v>262</v>
      </c>
      <c r="H137" s="53" t="s">
        <v>265</v>
      </c>
      <c r="I137" s="45">
        <f t="shared" si="16"/>
        <v>0</v>
      </c>
      <c r="J137" s="45">
        <f t="shared" si="17"/>
        <v>0</v>
      </c>
      <c r="K137" s="8"/>
      <c r="L137" s="8"/>
      <c r="M137" s="45">
        <f t="shared" si="19"/>
        <v>0</v>
      </c>
      <c r="N137" s="8"/>
      <c r="O137" s="8"/>
      <c r="P137" s="45">
        <f t="shared" si="20"/>
        <v>0</v>
      </c>
      <c r="Q137" s="8"/>
      <c r="R137" s="8"/>
      <c r="S137" s="45">
        <f t="shared" si="21"/>
        <v>0</v>
      </c>
      <c r="T137" s="45">
        <f t="shared" si="22"/>
        <v>0</v>
      </c>
      <c r="U137" s="8"/>
      <c r="V137" s="8"/>
      <c r="W137" s="45">
        <f t="shared" si="23"/>
        <v>0</v>
      </c>
      <c r="X137" s="8"/>
      <c r="Y137" s="8"/>
      <c r="Z137" s="45">
        <f t="shared" si="24"/>
        <v>0</v>
      </c>
      <c r="AA137" s="8"/>
      <c r="AB137" s="8"/>
      <c r="AC137" s="50">
        <f t="shared" si="25"/>
        <v>0</v>
      </c>
    </row>
    <row r="138" spans="7:29" x14ac:dyDescent="0.15">
      <c r="G138" s="205" t="s">
        <v>264</v>
      </c>
      <c r="H138" s="4" t="s">
        <v>267</v>
      </c>
      <c r="I138" s="45">
        <f t="shared" si="16"/>
        <v>0</v>
      </c>
      <c r="J138" s="45">
        <f t="shared" si="17"/>
        <v>0</v>
      </c>
      <c r="K138" s="8"/>
      <c r="L138" s="8"/>
      <c r="M138" s="45">
        <f t="shared" si="19"/>
        <v>0</v>
      </c>
      <c r="N138" s="8"/>
      <c r="O138" s="8"/>
      <c r="P138" s="45">
        <f t="shared" si="20"/>
        <v>0</v>
      </c>
      <c r="Q138" s="8"/>
      <c r="R138" s="8"/>
      <c r="S138" s="45">
        <f t="shared" si="21"/>
        <v>0</v>
      </c>
      <c r="T138" s="45">
        <f t="shared" si="22"/>
        <v>0</v>
      </c>
      <c r="U138" s="8"/>
      <c r="V138" s="8"/>
      <c r="W138" s="45">
        <f t="shared" si="23"/>
        <v>0</v>
      </c>
      <c r="X138" s="8"/>
      <c r="Y138" s="8"/>
      <c r="Z138" s="45">
        <f t="shared" si="24"/>
        <v>0</v>
      </c>
      <c r="AA138" s="8"/>
      <c r="AB138" s="8"/>
      <c r="AC138" s="50">
        <f t="shared" si="25"/>
        <v>0</v>
      </c>
    </row>
    <row r="139" spans="7:29" x14ac:dyDescent="0.15">
      <c r="G139" s="205" t="s">
        <v>266</v>
      </c>
      <c r="H139" s="4" t="s">
        <v>269</v>
      </c>
      <c r="I139" s="45">
        <f t="shared" si="16"/>
        <v>0</v>
      </c>
      <c r="J139" s="45">
        <f t="shared" si="17"/>
        <v>0</v>
      </c>
      <c r="K139" s="8"/>
      <c r="L139" s="8"/>
      <c r="M139" s="45">
        <f t="shared" si="19"/>
        <v>0</v>
      </c>
      <c r="N139" s="8"/>
      <c r="O139" s="8"/>
      <c r="P139" s="45">
        <f t="shared" si="20"/>
        <v>0</v>
      </c>
      <c r="Q139" s="8"/>
      <c r="R139" s="8"/>
      <c r="S139" s="45">
        <f t="shared" si="21"/>
        <v>0</v>
      </c>
      <c r="T139" s="45">
        <f t="shared" si="22"/>
        <v>0</v>
      </c>
      <c r="U139" s="8"/>
      <c r="V139" s="8"/>
      <c r="W139" s="45">
        <f t="shared" si="23"/>
        <v>0</v>
      </c>
      <c r="X139" s="8"/>
      <c r="Y139" s="8"/>
      <c r="Z139" s="45">
        <f t="shared" si="24"/>
        <v>0</v>
      </c>
      <c r="AA139" s="8"/>
      <c r="AB139" s="8"/>
      <c r="AC139" s="50">
        <f t="shared" si="25"/>
        <v>0</v>
      </c>
    </row>
    <row r="140" spans="7:29" x14ac:dyDescent="0.15">
      <c r="G140" s="205" t="s">
        <v>268</v>
      </c>
      <c r="H140" s="53" t="s">
        <v>271</v>
      </c>
      <c r="I140" s="45">
        <f t="shared" si="16"/>
        <v>0</v>
      </c>
      <c r="J140" s="45">
        <f t="shared" si="17"/>
        <v>0</v>
      </c>
      <c r="K140" s="8"/>
      <c r="L140" s="8"/>
      <c r="M140" s="45">
        <f t="shared" si="19"/>
        <v>0</v>
      </c>
      <c r="N140" s="8"/>
      <c r="O140" s="8"/>
      <c r="P140" s="45">
        <f t="shared" si="20"/>
        <v>0</v>
      </c>
      <c r="Q140" s="8"/>
      <c r="R140" s="8"/>
      <c r="S140" s="45">
        <f t="shared" si="21"/>
        <v>0</v>
      </c>
      <c r="T140" s="45">
        <f t="shared" si="22"/>
        <v>0</v>
      </c>
      <c r="U140" s="8"/>
      <c r="V140" s="8"/>
      <c r="W140" s="45">
        <f t="shared" si="23"/>
        <v>0</v>
      </c>
      <c r="X140" s="8"/>
      <c r="Y140" s="8"/>
      <c r="Z140" s="45">
        <f t="shared" si="24"/>
        <v>0</v>
      </c>
      <c r="AA140" s="8"/>
      <c r="AB140" s="8"/>
      <c r="AC140" s="50">
        <f t="shared" si="25"/>
        <v>0</v>
      </c>
    </row>
    <row r="141" spans="7:29" x14ac:dyDescent="0.15">
      <c r="G141" s="205" t="s">
        <v>270</v>
      </c>
      <c r="H141" s="4" t="s">
        <v>273</v>
      </c>
      <c r="I141" s="45">
        <f t="shared" ref="I141:I204" si="39">J141+M141+P141</f>
        <v>0</v>
      </c>
      <c r="J141" s="45">
        <f t="shared" ref="J141:J204" si="40">K141+L141</f>
        <v>0</v>
      </c>
      <c r="K141" s="8"/>
      <c r="L141" s="8"/>
      <c r="M141" s="45">
        <f t="shared" ref="M141:M204" si="41">N141+O141</f>
        <v>0</v>
      </c>
      <c r="N141" s="8"/>
      <c r="O141" s="8"/>
      <c r="P141" s="45">
        <f t="shared" ref="P141:P204" si="42">Q141+R141</f>
        <v>0</v>
      </c>
      <c r="Q141" s="8"/>
      <c r="R141" s="8"/>
      <c r="S141" s="45">
        <f t="shared" ref="S141:S204" si="43">T141+W141+Z141</f>
        <v>0</v>
      </c>
      <c r="T141" s="45">
        <f t="shared" ref="T141:T204" si="44">U141+V141</f>
        <v>0</v>
      </c>
      <c r="U141" s="8"/>
      <c r="V141" s="8"/>
      <c r="W141" s="45">
        <f t="shared" ref="W141:W204" si="45">X141+Y141</f>
        <v>0</v>
      </c>
      <c r="X141" s="8"/>
      <c r="Y141" s="8"/>
      <c r="Z141" s="45">
        <f t="shared" ref="Z141:Z204" si="46">AA141+AB141</f>
        <v>0</v>
      </c>
      <c r="AA141" s="8"/>
      <c r="AB141" s="8"/>
      <c r="AC141" s="50">
        <f t="shared" ref="AC141:AC204" si="47">SUM(I141:AB141)</f>
        <v>0</v>
      </c>
    </row>
    <row r="142" spans="7:29" x14ac:dyDescent="0.15">
      <c r="G142" s="205" t="s">
        <v>272</v>
      </c>
      <c r="H142" s="4" t="s">
        <v>275</v>
      </c>
      <c r="I142" s="45">
        <f t="shared" si="39"/>
        <v>0</v>
      </c>
      <c r="J142" s="45">
        <f t="shared" si="40"/>
        <v>0</v>
      </c>
      <c r="K142" s="8"/>
      <c r="L142" s="8"/>
      <c r="M142" s="45">
        <f t="shared" si="41"/>
        <v>0</v>
      </c>
      <c r="N142" s="8"/>
      <c r="O142" s="8"/>
      <c r="P142" s="45">
        <f t="shared" si="42"/>
        <v>0</v>
      </c>
      <c r="Q142" s="8"/>
      <c r="R142" s="8"/>
      <c r="S142" s="45">
        <f t="shared" si="43"/>
        <v>0</v>
      </c>
      <c r="T142" s="45">
        <f t="shared" si="44"/>
        <v>0</v>
      </c>
      <c r="U142" s="8"/>
      <c r="V142" s="8"/>
      <c r="W142" s="45">
        <f t="shared" si="45"/>
        <v>0</v>
      </c>
      <c r="X142" s="8"/>
      <c r="Y142" s="8"/>
      <c r="Z142" s="45">
        <f t="shared" si="46"/>
        <v>0</v>
      </c>
      <c r="AA142" s="8"/>
      <c r="AB142" s="8"/>
      <c r="AC142" s="50">
        <f t="shared" si="47"/>
        <v>0</v>
      </c>
    </row>
    <row r="143" spans="7:29" x14ac:dyDescent="0.15">
      <c r="G143" s="205" t="s">
        <v>274</v>
      </c>
      <c r="H143" s="53" t="s">
        <v>277</v>
      </c>
      <c r="I143" s="45">
        <f t="shared" si="39"/>
        <v>0</v>
      </c>
      <c r="J143" s="45">
        <f t="shared" si="40"/>
        <v>0</v>
      </c>
      <c r="K143" s="8"/>
      <c r="L143" s="8"/>
      <c r="M143" s="45">
        <f t="shared" si="41"/>
        <v>0</v>
      </c>
      <c r="N143" s="8"/>
      <c r="O143" s="8"/>
      <c r="P143" s="45">
        <f t="shared" si="42"/>
        <v>0</v>
      </c>
      <c r="Q143" s="8"/>
      <c r="R143" s="8"/>
      <c r="S143" s="45">
        <f t="shared" si="43"/>
        <v>0</v>
      </c>
      <c r="T143" s="45">
        <f t="shared" si="44"/>
        <v>0</v>
      </c>
      <c r="U143" s="8"/>
      <c r="V143" s="8"/>
      <c r="W143" s="45">
        <f t="shared" si="45"/>
        <v>0</v>
      </c>
      <c r="X143" s="8"/>
      <c r="Y143" s="8"/>
      <c r="Z143" s="45">
        <f t="shared" si="46"/>
        <v>0</v>
      </c>
      <c r="AA143" s="8"/>
      <c r="AB143" s="8"/>
      <c r="AC143" s="50">
        <f t="shared" si="47"/>
        <v>0</v>
      </c>
    </row>
    <row r="144" spans="7:29" x14ac:dyDescent="0.15">
      <c r="G144" s="205" t="s">
        <v>276</v>
      </c>
      <c r="H144" s="4" t="s">
        <v>279</v>
      </c>
      <c r="I144" s="45">
        <f t="shared" si="39"/>
        <v>0</v>
      </c>
      <c r="J144" s="45">
        <f t="shared" si="40"/>
        <v>0</v>
      </c>
      <c r="K144" s="8"/>
      <c r="L144" s="8"/>
      <c r="M144" s="45">
        <f t="shared" si="41"/>
        <v>0</v>
      </c>
      <c r="N144" s="8"/>
      <c r="O144" s="8"/>
      <c r="P144" s="45">
        <f t="shared" si="42"/>
        <v>0</v>
      </c>
      <c r="Q144" s="8"/>
      <c r="R144" s="8"/>
      <c r="S144" s="45">
        <f t="shared" si="43"/>
        <v>0</v>
      </c>
      <c r="T144" s="45">
        <f t="shared" si="44"/>
        <v>0</v>
      </c>
      <c r="U144" s="8"/>
      <c r="V144" s="8"/>
      <c r="W144" s="45">
        <f t="shared" si="45"/>
        <v>0</v>
      </c>
      <c r="X144" s="8"/>
      <c r="Y144" s="8"/>
      <c r="Z144" s="45">
        <f t="shared" si="46"/>
        <v>0</v>
      </c>
      <c r="AA144" s="8"/>
      <c r="AB144" s="8"/>
      <c r="AC144" s="50">
        <f t="shared" si="47"/>
        <v>0</v>
      </c>
    </row>
    <row r="145" spans="7:29" x14ac:dyDescent="0.15">
      <c r="G145" s="205" t="s">
        <v>278</v>
      </c>
      <c r="H145" s="4" t="s">
        <v>281</v>
      </c>
      <c r="I145" s="45">
        <f t="shared" si="39"/>
        <v>0</v>
      </c>
      <c r="J145" s="45">
        <f t="shared" si="40"/>
        <v>0</v>
      </c>
      <c r="K145" s="8"/>
      <c r="L145" s="8"/>
      <c r="M145" s="45">
        <f t="shared" si="41"/>
        <v>0</v>
      </c>
      <c r="N145" s="8"/>
      <c r="O145" s="8"/>
      <c r="P145" s="45">
        <f t="shared" si="42"/>
        <v>0</v>
      </c>
      <c r="Q145" s="8"/>
      <c r="R145" s="8"/>
      <c r="S145" s="45">
        <f t="shared" si="43"/>
        <v>0</v>
      </c>
      <c r="T145" s="45">
        <f t="shared" si="44"/>
        <v>0</v>
      </c>
      <c r="U145" s="8"/>
      <c r="V145" s="8"/>
      <c r="W145" s="45">
        <f t="shared" si="45"/>
        <v>0</v>
      </c>
      <c r="X145" s="8"/>
      <c r="Y145" s="8"/>
      <c r="Z145" s="45">
        <f t="shared" si="46"/>
        <v>0</v>
      </c>
      <c r="AA145" s="8"/>
      <c r="AB145" s="8"/>
      <c r="AC145" s="50">
        <f t="shared" si="47"/>
        <v>0</v>
      </c>
    </row>
    <row r="146" spans="7:29" x14ac:dyDescent="0.15">
      <c r="G146" s="205" t="s">
        <v>280</v>
      </c>
      <c r="H146" s="53" t="s">
        <v>283</v>
      </c>
      <c r="I146" s="45">
        <f t="shared" si="39"/>
        <v>0</v>
      </c>
      <c r="J146" s="45">
        <f t="shared" si="40"/>
        <v>0</v>
      </c>
      <c r="K146" s="8"/>
      <c r="L146" s="8"/>
      <c r="M146" s="45">
        <f t="shared" si="41"/>
        <v>0</v>
      </c>
      <c r="N146" s="8"/>
      <c r="O146" s="8"/>
      <c r="P146" s="45">
        <f t="shared" si="42"/>
        <v>0</v>
      </c>
      <c r="Q146" s="8"/>
      <c r="R146" s="8"/>
      <c r="S146" s="45">
        <f t="shared" si="43"/>
        <v>0</v>
      </c>
      <c r="T146" s="45">
        <f t="shared" si="44"/>
        <v>0</v>
      </c>
      <c r="U146" s="8"/>
      <c r="V146" s="8"/>
      <c r="W146" s="45">
        <f t="shared" si="45"/>
        <v>0</v>
      </c>
      <c r="X146" s="8"/>
      <c r="Y146" s="8"/>
      <c r="Z146" s="45">
        <f t="shared" si="46"/>
        <v>0</v>
      </c>
      <c r="AA146" s="8"/>
      <c r="AB146" s="8"/>
      <c r="AC146" s="50">
        <f t="shared" si="47"/>
        <v>0</v>
      </c>
    </row>
    <row r="147" spans="7:29" x14ac:dyDescent="0.15">
      <c r="G147" s="205" t="s">
        <v>282</v>
      </c>
      <c r="H147" s="4" t="s">
        <v>285</v>
      </c>
      <c r="I147" s="45">
        <f t="shared" si="39"/>
        <v>0</v>
      </c>
      <c r="J147" s="45">
        <f t="shared" si="40"/>
        <v>0</v>
      </c>
      <c r="K147" s="8"/>
      <c r="L147" s="8"/>
      <c r="M147" s="45">
        <f t="shared" si="41"/>
        <v>0</v>
      </c>
      <c r="N147" s="8"/>
      <c r="O147" s="8"/>
      <c r="P147" s="45">
        <f t="shared" si="42"/>
        <v>0</v>
      </c>
      <c r="Q147" s="8"/>
      <c r="R147" s="8"/>
      <c r="S147" s="45">
        <f t="shared" si="43"/>
        <v>0</v>
      </c>
      <c r="T147" s="45">
        <f t="shared" si="44"/>
        <v>0</v>
      </c>
      <c r="U147" s="8"/>
      <c r="V147" s="8"/>
      <c r="W147" s="45">
        <f t="shared" si="45"/>
        <v>0</v>
      </c>
      <c r="X147" s="8"/>
      <c r="Y147" s="8"/>
      <c r="Z147" s="45">
        <f t="shared" si="46"/>
        <v>0</v>
      </c>
      <c r="AA147" s="8"/>
      <c r="AB147" s="8"/>
      <c r="AC147" s="50">
        <f t="shared" si="47"/>
        <v>0</v>
      </c>
    </row>
    <row r="148" spans="7:29" x14ac:dyDescent="0.15">
      <c r="G148" s="205" t="s">
        <v>284</v>
      </c>
      <c r="H148" s="4" t="s">
        <v>287</v>
      </c>
      <c r="I148" s="45">
        <f t="shared" si="39"/>
        <v>0</v>
      </c>
      <c r="J148" s="45">
        <f t="shared" si="40"/>
        <v>0</v>
      </c>
      <c r="K148" s="8"/>
      <c r="L148" s="8"/>
      <c r="M148" s="45">
        <f t="shared" si="41"/>
        <v>0</v>
      </c>
      <c r="N148" s="8"/>
      <c r="O148" s="8"/>
      <c r="P148" s="45">
        <f t="shared" si="42"/>
        <v>0</v>
      </c>
      <c r="Q148" s="8"/>
      <c r="R148" s="8"/>
      <c r="S148" s="45">
        <f t="shared" si="43"/>
        <v>0</v>
      </c>
      <c r="T148" s="45">
        <f t="shared" si="44"/>
        <v>0</v>
      </c>
      <c r="U148" s="8"/>
      <c r="V148" s="8"/>
      <c r="W148" s="45">
        <f t="shared" si="45"/>
        <v>0</v>
      </c>
      <c r="X148" s="8"/>
      <c r="Y148" s="8"/>
      <c r="Z148" s="45">
        <f t="shared" si="46"/>
        <v>0</v>
      </c>
      <c r="AA148" s="8"/>
      <c r="AB148" s="8"/>
      <c r="AC148" s="50">
        <f t="shared" si="47"/>
        <v>0</v>
      </c>
    </row>
    <row r="149" spans="7:29" x14ac:dyDescent="0.15">
      <c r="G149" s="205" t="s">
        <v>286</v>
      </c>
      <c r="H149" s="53" t="s">
        <v>289</v>
      </c>
      <c r="I149" s="45">
        <f t="shared" si="39"/>
        <v>0</v>
      </c>
      <c r="J149" s="45">
        <f t="shared" si="40"/>
        <v>0</v>
      </c>
      <c r="K149" s="8"/>
      <c r="L149" s="8"/>
      <c r="M149" s="45">
        <f t="shared" si="41"/>
        <v>0</v>
      </c>
      <c r="N149" s="8"/>
      <c r="O149" s="8"/>
      <c r="P149" s="45">
        <f t="shared" si="42"/>
        <v>0</v>
      </c>
      <c r="Q149" s="8"/>
      <c r="R149" s="8"/>
      <c r="S149" s="45">
        <f t="shared" si="43"/>
        <v>0</v>
      </c>
      <c r="T149" s="45">
        <f t="shared" si="44"/>
        <v>0</v>
      </c>
      <c r="U149" s="8"/>
      <c r="V149" s="8"/>
      <c r="W149" s="45">
        <f t="shared" si="45"/>
        <v>0</v>
      </c>
      <c r="X149" s="8"/>
      <c r="Y149" s="8"/>
      <c r="Z149" s="45">
        <f t="shared" si="46"/>
        <v>0</v>
      </c>
      <c r="AA149" s="8"/>
      <c r="AB149" s="8"/>
      <c r="AC149" s="50">
        <f t="shared" si="47"/>
        <v>0</v>
      </c>
    </row>
    <row r="150" spans="7:29" x14ac:dyDescent="0.15">
      <c r="G150" s="205" t="s">
        <v>288</v>
      </c>
      <c r="H150" s="4" t="s">
        <v>291</v>
      </c>
      <c r="I150" s="45">
        <f t="shared" si="39"/>
        <v>0</v>
      </c>
      <c r="J150" s="45">
        <f t="shared" si="40"/>
        <v>0</v>
      </c>
      <c r="K150" s="48">
        <f t="shared" ref="K150:AB150" si="48">SUM(K151:K152)</f>
        <v>0</v>
      </c>
      <c r="L150" s="48">
        <f t="shared" si="48"/>
        <v>0</v>
      </c>
      <c r="M150" s="45">
        <f t="shared" si="41"/>
        <v>0</v>
      </c>
      <c r="N150" s="48">
        <f t="shared" si="48"/>
        <v>0</v>
      </c>
      <c r="O150" s="48">
        <f t="shared" si="48"/>
        <v>0</v>
      </c>
      <c r="P150" s="45">
        <f t="shared" si="42"/>
        <v>0</v>
      </c>
      <c r="Q150" s="48">
        <f t="shared" si="48"/>
        <v>0</v>
      </c>
      <c r="R150" s="48">
        <f t="shared" si="48"/>
        <v>0</v>
      </c>
      <c r="S150" s="45">
        <f t="shared" si="43"/>
        <v>0</v>
      </c>
      <c r="T150" s="45">
        <f t="shared" si="44"/>
        <v>0</v>
      </c>
      <c r="U150" s="48">
        <f t="shared" si="48"/>
        <v>0</v>
      </c>
      <c r="V150" s="48">
        <f t="shared" si="48"/>
        <v>0</v>
      </c>
      <c r="W150" s="45">
        <f t="shared" si="45"/>
        <v>0</v>
      </c>
      <c r="X150" s="48">
        <f t="shared" si="48"/>
        <v>0</v>
      </c>
      <c r="Y150" s="48">
        <f t="shared" si="48"/>
        <v>0</v>
      </c>
      <c r="Z150" s="45">
        <f t="shared" si="46"/>
        <v>0</v>
      </c>
      <c r="AA150" s="48">
        <f t="shared" si="48"/>
        <v>0</v>
      </c>
      <c r="AB150" s="48">
        <f t="shared" si="48"/>
        <v>0</v>
      </c>
      <c r="AC150" s="50">
        <f t="shared" si="47"/>
        <v>0</v>
      </c>
    </row>
    <row r="151" spans="7:29" ht="21" x14ac:dyDescent="0.15">
      <c r="G151" s="206" t="s">
        <v>290</v>
      </c>
      <c r="H151" s="4" t="s">
        <v>293</v>
      </c>
      <c r="I151" s="45">
        <f t="shared" si="39"/>
        <v>0</v>
      </c>
      <c r="J151" s="45">
        <f t="shared" si="40"/>
        <v>0</v>
      </c>
      <c r="K151" s="8"/>
      <c r="L151" s="8"/>
      <c r="M151" s="45">
        <f t="shared" si="41"/>
        <v>0</v>
      </c>
      <c r="N151" s="8"/>
      <c r="O151" s="8"/>
      <c r="P151" s="45">
        <f t="shared" si="42"/>
        <v>0</v>
      </c>
      <c r="Q151" s="8"/>
      <c r="R151" s="8"/>
      <c r="S151" s="45">
        <f t="shared" si="43"/>
        <v>0</v>
      </c>
      <c r="T151" s="45">
        <f t="shared" si="44"/>
        <v>0</v>
      </c>
      <c r="U151" s="8"/>
      <c r="V151" s="8"/>
      <c r="W151" s="45">
        <f t="shared" si="45"/>
        <v>0</v>
      </c>
      <c r="X151" s="8"/>
      <c r="Y151" s="8"/>
      <c r="Z151" s="45">
        <f t="shared" si="46"/>
        <v>0</v>
      </c>
      <c r="AA151" s="8"/>
      <c r="AB151" s="8"/>
      <c r="AC151" s="50">
        <f t="shared" si="47"/>
        <v>0</v>
      </c>
    </row>
    <row r="152" spans="7:29" ht="21" x14ac:dyDescent="0.15">
      <c r="G152" s="206" t="s">
        <v>292</v>
      </c>
      <c r="H152" s="53" t="s">
        <v>295</v>
      </c>
      <c r="I152" s="45">
        <f t="shared" si="39"/>
        <v>0</v>
      </c>
      <c r="J152" s="45">
        <f t="shared" si="40"/>
        <v>0</v>
      </c>
      <c r="K152" s="8"/>
      <c r="L152" s="8"/>
      <c r="M152" s="45">
        <f t="shared" si="41"/>
        <v>0</v>
      </c>
      <c r="N152" s="8"/>
      <c r="O152" s="8"/>
      <c r="P152" s="45">
        <f t="shared" si="42"/>
        <v>0</v>
      </c>
      <c r="Q152" s="8"/>
      <c r="R152" s="8"/>
      <c r="S152" s="45">
        <f t="shared" si="43"/>
        <v>0</v>
      </c>
      <c r="T152" s="45">
        <f t="shared" si="44"/>
        <v>0</v>
      </c>
      <c r="U152" s="8"/>
      <c r="V152" s="8"/>
      <c r="W152" s="45">
        <f t="shared" si="45"/>
        <v>0</v>
      </c>
      <c r="X152" s="8"/>
      <c r="Y152" s="8"/>
      <c r="Z152" s="45">
        <f t="shared" si="46"/>
        <v>0</v>
      </c>
      <c r="AA152" s="8"/>
      <c r="AB152" s="8"/>
      <c r="AC152" s="50">
        <f t="shared" si="47"/>
        <v>0</v>
      </c>
    </row>
    <row r="153" spans="7:29" x14ac:dyDescent="0.15">
      <c r="G153" s="205" t="s">
        <v>294</v>
      </c>
      <c r="H153" s="4" t="s">
        <v>297</v>
      </c>
      <c r="I153" s="45">
        <f t="shared" si="39"/>
        <v>0</v>
      </c>
      <c r="J153" s="45">
        <f t="shared" si="40"/>
        <v>0</v>
      </c>
      <c r="K153" s="8"/>
      <c r="L153" s="8"/>
      <c r="M153" s="45">
        <f t="shared" si="41"/>
        <v>0</v>
      </c>
      <c r="N153" s="8"/>
      <c r="O153" s="8"/>
      <c r="P153" s="45">
        <f t="shared" si="42"/>
        <v>0</v>
      </c>
      <c r="Q153" s="8"/>
      <c r="R153" s="8"/>
      <c r="S153" s="45">
        <f t="shared" si="43"/>
        <v>0</v>
      </c>
      <c r="T153" s="45">
        <f t="shared" si="44"/>
        <v>0</v>
      </c>
      <c r="U153" s="8"/>
      <c r="V153" s="8"/>
      <c r="W153" s="45">
        <f t="shared" si="45"/>
        <v>0</v>
      </c>
      <c r="X153" s="8"/>
      <c r="Y153" s="8"/>
      <c r="Z153" s="45">
        <f t="shared" si="46"/>
        <v>0</v>
      </c>
      <c r="AA153" s="8"/>
      <c r="AB153" s="8"/>
      <c r="AC153" s="50">
        <f t="shared" si="47"/>
        <v>0</v>
      </c>
    </row>
    <row r="154" spans="7:29" x14ac:dyDescent="0.15">
      <c r="G154" s="205" t="s">
        <v>296</v>
      </c>
      <c r="H154" s="4" t="s">
        <v>299</v>
      </c>
      <c r="I154" s="45">
        <f t="shared" si="39"/>
        <v>0</v>
      </c>
      <c r="J154" s="45">
        <f t="shared" si="40"/>
        <v>0</v>
      </c>
      <c r="K154" s="8"/>
      <c r="L154" s="8"/>
      <c r="M154" s="45">
        <f t="shared" si="41"/>
        <v>0</v>
      </c>
      <c r="N154" s="8"/>
      <c r="O154" s="8"/>
      <c r="P154" s="45">
        <f t="shared" si="42"/>
        <v>0</v>
      </c>
      <c r="Q154" s="8"/>
      <c r="R154" s="8"/>
      <c r="S154" s="45">
        <f t="shared" si="43"/>
        <v>0</v>
      </c>
      <c r="T154" s="45">
        <f t="shared" si="44"/>
        <v>0</v>
      </c>
      <c r="U154" s="8"/>
      <c r="V154" s="8"/>
      <c r="W154" s="45">
        <f t="shared" si="45"/>
        <v>0</v>
      </c>
      <c r="X154" s="8"/>
      <c r="Y154" s="8"/>
      <c r="Z154" s="45">
        <f t="shared" si="46"/>
        <v>0</v>
      </c>
      <c r="AA154" s="8"/>
      <c r="AB154" s="8"/>
      <c r="AC154" s="50">
        <f t="shared" si="47"/>
        <v>0</v>
      </c>
    </row>
    <row r="155" spans="7:29" x14ac:dyDescent="0.15">
      <c r="G155" s="205" t="s">
        <v>298</v>
      </c>
      <c r="H155" s="53" t="s">
        <v>301</v>
      </c>
      <c r="I155" s="45">
        <f t="shared" si="39"/>
        <v>0</v>
      </c>
      <c r="J155" s="45">
        <f t="shared" si="40"/>
        <v>0</v>
      </c>
      <c r="K155" s="8"/>
      <c r="L155" s="8"/>
      <c r="M155" s="45">
        <f t="shared" si="41"/>
        <v>0</v>
      </c>
      <c r="N155" s="8"/>
      <c r="O155" s="8"/>
      <c r="P155" s="45">
        <f t="shared" si="42"/>
        <v>0</v>
      </c>
      <c r="Q155" s="8"/>
      <c r="R155" s="8"/>
      <c r="S155" s="45">
        <f t="shared" si="43"/>
        <v>0</v>
      </c>
      <c r="T155" s="45">
        <f t="shared" si="44"/>
        <v>0</v>
      </c>
      <c r="U155" s="8"/>
      <c r="V155" s="8"/>
      <c r="W155" s="45">
        <f t="shared" si="45"/>
        <v>0</v>
      </c>
      <c r="X155" s="8"/>
      <c r="Y155" s="8"/>
      <c r="Z155" s="45">
        <f t="shared" si="46"/>
        <v>0</v>
      </c>
      <c r="AA155" s="8"/>
      <c r="AB155" s="8"/>
      <c r="AC155" s="50">
        <f t="shared" si="47"/>
        <v>0</v>
      </c>
    </row>
    <row r="156" spans="7:29" x14ac:dyDescent="0.15">
      <c r="G156" s="205" t="s">
        <v>300</v>
      </c>
      <c r="H156" s="4" t="s">
        <v>303</v>
      </c>
      <c r="I156" s="45">
        <f t="shared" si="39"/>
        <v>0</v>
      </c>
      <c r="J156" s="45">
        <f t="shared" si="40"/>
        <v>0</v>
      </c>
      <c r="K156" s="8"/>
      <c r="L156" s="8"/>
      <c r="M156" s="45">
        <f t="shared" si="41"/>
        <v>0</v>
      </c>
      <c r="N156" s="8"/>
      <c r="O156" s="8"/>
      <c r="P156" s="45">
        <f t="shared" si="42"/>
        <v>0</v>
      </c>
      <c r="Q156" s="8"/>
      <c r="R156" s="8"/>
      <c r="S156" s="45">
        <f t="shared" si="43"/>
        <v>0</v>
      </c>
      <c r="T156" s="45">
        <f t="shared" si="44"/>
        <v>0</v>
      </c>
      <c r="U156" s="8"/>
      <c r="V156" s="8"/>
      <c r="W156" s="45">
        <f t="shared" si="45"/>
        <v>0</v>
      </c>
      <c r="X156" s="8"/>
      <c r="Y156" s="8"/>
      <c r="Z156" s="45">
        <f t="shared" si="46"/>
        <v>0</v>
      </c>
      <c r="AA156" s="8"/>
      <c r="AB156" s="8"/>
      <c r="AC156" s="50">
        <f t="shared" si="47"/>
        <v>0</v>
      </c>
    </row>
    <row r="157" spans="7:29" x14ac:dyDescent="0.15">
      <c r="G157" s="205" t="s">
        <v>302</v>
      </c>
      <c r="H157" s="4" t="s">
        <v>305</v>
      </c>
      <c r="I157" s="45">
        <f t="shared" si="39"/>
        <v>0</v>
      </c>
      <c r="J157" s="45">
        <f t="shared" si="40"/>
        <v>0</v>
      </c>
      <c r="K157" s="8"/>
      <c r="L157" s="8"/>
      <c r="M157" s="45">
        <f t="shared" si="41"/>
        <v>0</v>
      </c>
      <c r="N157" s="8"/>
      <c r="O157" s="8"/>
      <c r="P157" s="45">
        <f t="shared" si="42"/>
        <v>0</v>
      </c>
      <c r="Q157" s="8"/>
      <c r="R157" s="8"/>
      <c r="S157" s="45">
        <f t="shared" si="43"/>
        <v>0</v>
      </c>
      <c r="T157" s="45">
        <f t="shared" si="44"/>
        <v>0</v>
      </c>
      <c r="U157" s="8"/>
      <c r="V157" s="8"/>
      <c r="W157" s="45">
        <f t="shared" si="45"/>
        <v>0</v>
      </c>
      <c r="X157" s="8"/>
      <c r="Y157" s="8"/>
      <c r="Z157" s="45">
        <f t="shared" si="46"/>
        <v>0</v>
      </c>
      <c r="AA157" s="8"/>
      <c r="AB157" s="8"/>
      <c r="AC157" s="50">
        <f t="shared" si="47"/>
        <v>0</v>
      </c>
    </row>
    <row r="158" spans="7:29" x14ac:dyDescent="0.15">
      <c r="G158" s="205" t="s">
        <v>304</v>
      </c>
      <c r="H158" s="53" t="s">
        <v>307</v>
      </c>
      <c r="I158" s="45">
        <f t="shared" si="39"/>
        <v>0</v>
      </c>
      <c r="J158" s="45">
        <f t="shared" si="40"/>
        <v>0</v>
      </c>
      <c r="K158" s="8"/>
      <c r="L158" s="8"/>
      <c r="M158" s="45">
        <f t="shared" si="41"/>
        <v>0</v>
      </c>
      <c r="N158" s="8"/>
      <c r="O158" s="8"/>
      <c r="P158" s="45">
        <f t="shared" si="42"/>
        <v>0</v>
      </c>
      <c r="Q158" s="8"/>
      <c r="R158" s="8"/>
      <c r="S158" s="45">
        <f t="shared" si="43"/>
        <v>0</v>
      </c>
      <c r="T158" s="45">
        <f t="shared" si="44"/>
        <v>0</v>
      </c>
      <c r="U158" s="8"/>
      <c r="V158" s="8"/>
      <c r="W158" s="45">
        <f t="shared" si="45"/>
        <v>0</v>
      </c>
      <c r="X158" s="8"/>
      <c r="Y158" s="8"/>
      <c r="Z158" s="45">
        <f t="shared" si="46"/>
        <v>0</v>
      </c>
      <c r="AA158" s="8"/>
      <c r="AB158" s="8"/>
      <c r="AC158" s="50">
        <f t="shared" si="47"/>
        <v>0</v>
      </c>
    </row>
    <row r="159" spans="7:29" x14ac:dyDescent="0.15">
      <c r="G159" s="205" t="s">
        <v>306</v>
      </c>
      <c r="H159" s="4" t="s">
        <v>309</v>
      </c>
      <c r="I159" s="45">
        <f t="shared" si="39"/>
        <v>0</v>
      </c>
      <c r="J159" s="45">
        <f t="shared" si="40"/>
        <v>0</v>
      </c>
      <c r="K159" s="46">
        <f t="shared" ref="K159:AB159" si="49">SUM(K160:K163)</f>
        <v>0</v>
      </c>
      <c r="L159" s="46">
        <f t="shared" si="49"/>
        <v>0</v>
      </c>
      <c r="M159" s="45">
        <f t="shared" si="41"/>
        <v>0</v>
      </c>
      <c r="N159" s="46">
        <f t="shared" si="49"/>
        <v>0</v>
      </c>
      <c r="O159" s="46">
        <f t="shared" si="49"/>
        <v>0</v>
      </c>
      <c r="P159" s="45">
        <f t="shared" si="42"/>
        <v>0</v>
      </c>
      <c r="Q159" s="46">
        <f t="shared" si="49"/>
        <v>0</v>
      </c>
      <c r="R159" s="46">
        <f t="shared" si="49"/>
        <v>0</v>
      </c>
      <c r="S159" s="45">
        <f t="shared" si="43"/>
        <v>0</v>
      </c>
      <c r="T159" s="45">
        <f t="shared" si="44"/>
        <v>0</v>
      </c>
      <c r="U159" s="46">
        <f t="shared" si="49"/>
        <v>0</v>
      </c>
      <c r="V159" s="46">
        <f t="shared" si="49"/>
        <v>0</v>
      </c>
      <c r="W159" s="45">
        <f t="shared" si="45"/>
        <v>0</v>
      </c>
      <c r="X159" s="46">
        <f t="shared" si="49"/>
        <v>0</v>
      </c>
      <c r="Y159" s="46">
        <f t="shared" si="49"/>
        <v>0</v>
      </c>
      <c r="Z159" s="45">
        <f t="shared" si="46"/>
        <v>0</v>
      </c>
      <c r="AA159" s="46">
        <f t="shared" si="49"/>
        <v>0</v>
      </c>
      <c r="AB159" s="46">
        <f t="shared" si="49"/>
        <v>0</v>
      </c>
      <c r="AC159" s="50">
        <f t="shared" si="47"/>
        <v>0</v>
      </c>
    </row>
    <row r="160" spans="7:29" ht="21" x14ac:dyDescent="0.15">
      <c r="G160" s="206" t="s">
        <v>308</v>
      </c>
      <c r="H160" s="4" t="s">
        <v>311</v>
      </c>
      <c r="I160" s="45">
        <f t="shared" si="39"/>
        <v>0</v>
      </c>
      <c r="J160" s="45">
        <f t="shared" si="40"/>
        <v>0</v>
      </c>
      <c r="K160" s="8"/>
      <c r="L160" s="8"/>
      <c r="M160" s="45">
        <f t="shared" si="41"/>
        <v>0</v>
      </c>
      <c r="N160" s="8"/>
      <c r="O160" s="8"/>
      <c r="P160" s="45">
        <f t="shared" si="42"/>
        <v>0</v>
      </c>
      <c r="Q160" s="8"/>
      <c r="R160" s="8"/>
      <c r="S160" s="45">
        <f t="shared" si="43"/>
        <v>0</v>
      </c>
      <c r="T160" s="45">
        <f t="shared" si="44"/>
        <v>0</v>
      </c>
      <c r="U160" s="8"/>
      <c r="V160" s="8"/>
      <c r="W160" s="45">
        <f t="shared" si="45"/>
        <v>0</v>
      </c>
      <c r="X160" s="8"/>
      <c r="Y160" s="8"/>
      <c r="Z160" s="45">
        <f t="shared" si="46"/>
        <v>0</v>
      </c>
      <c r="AA160" s="8"/>
      <c r="AB160" s="8"/>
      <c r="AC160" s="50">
        <f t="shared" si="47"/>
        <v>0</v>
      </c>
    </row>
    <row r="161" spans="7:29" x14ac:dyDescent="0.15">
      <c r="G161" s="206" t="s">
        <v>310</v>
      </c>
      <c r="H161" s="53" t="s">
        <v>313</v>
      </c>
      <c r="I161" s="45">
        <f t="shared" si="39"/>
        <v>0</v>
      </c>
      <c r="J161" s="45">
        <f t="shared" si="40"/>
        <v>0</v>
      </c>
      <c r="K161" s="8"/>
      <c r="L161" s="8"/>
      <c r="M161" s="45">
        <f t="shared" si="41"/>
        <v>0</v>
      </c>
      <c r="N161" s="8"/>
      <c r="O161" s="8"/>
      <c r="P161" s="45">
        <f t="shared" si="42"/>
        <v>0</v>
      </c>
      <c r="Q161" s="8"/>
      <c r="R161" s="8"/>
      <c r="S161" s="45">
        <f t="shared" si="43"/>
        <v>0</v>
      </c>
      <c r="T161" s="45">
        <f t="shared" si="44"/>
        <v>0</v>
      </c>
      <c r="U161" s="8"/>
      <c r="V161" s="8"/>
      <c r="W161" s="45">
        <f t="shared" si="45"/>
        <v>0</v>
      </c>
      <c r="X161" s="8"/>
      <c r="Y161" s="8"/>
      <c r="Z161" s="45">
        <f t="shared" si="46"/>
        <v>0</v>
      </c>
      <c r="AA161" s="8"/>
      <c r="AB161" s="8"/>
      <c r="AC161" s="50">
        <f t="shared" si="47"/>
        <v>0</v>
      </c>
    </row>
    <row r="162" spans="7:29" x14ac:dyDescent="0.15">
      <c r="G162" s="206" t="s">
        <v>312</v>
      </c>
      <c r="H162" s="4" t="s">
        <v>315</v>
      </c>
      <c r="I162" s="45">
        <f t="shared" si="39"/>
        <v>0</v>
      </c>
      <c r="J162" s="45">
        <f t="shared" si="40"/>
        <v>0</v>
      </c>
      <c r="K162" s="8"/>
      <c r="L162" s="8"/>
      <c r="M162" s="45">
        <f t="shared" si="41"/>
        <v>0</v>
      </c>
      <c r="N162" s="8"/>
      <c r="O162" s="8"/>
      <c r="P162" s="45">
        <f t="shared" si="42"/>
        <v>0</v>
      </c>
      <c r="Q162" s="8"/>
      <c r="R162" s="8"/>
      <c r="S162" s="45">
        <f t="shared" si="43"/>
        <v>0</v>
      </c>
      <c r="T162" s="45">
        <f t="shared" si="44"/>
        <v>0</v>
      </c>
      <c r="U162" s="8"/>
      <c r="V162" s="8"/>
      <c r="W162" s="45">
        <f t="shared" si="45"/>
        <v>0</v>
      </c>
      <c r="X162" s="8"/>
      <c r="Y162" s="8"/>
      <c r="Z162" s="45">
        <f t="shared" si="46"/>
        <v>0</v>
      </c>
      <c r="AA162" s="8"/>
      <c r="AB162" s="8"/>
      <c r="AC162" s="50">
        <f t="shared" si="47"/>
        <v>0</v>
      </c>
    </row>
    <row r="163" spans="7:29" x14ac:dyDescent="0.15">
      <c r="G163" s="206" t="s">
        <v>314</v>
      </c>
      <c r="H163" s="4" t="s">
        <v>317</v>
      </c>
      <c r="I163" s="45">
        <f t="shared" si="39"/>
        <v>0</v>
      </c>
      <c r="J163" s="45">
        <f t="shared" si="40"/>
        <v>0</v>
      </c>
      <c r="K163" s="8"/>
      <c r="L163" s="8"/>
      <c r="M163" s="45">
        <f t="shared" si="41"/>
        <v>0</v>
      </c>
      <c r="N163" s="8"/>
      <c r="O163" s="8"/>
      <c r="P163" s="45">
        <f t="shared" si="42"/>
        <v>0</v>
      </c>
      <c r="Q163" s="8"/>
      <c r="R163" s="8"/>
      <c r="S163" s="45">
        <f t="shared" si="43"/>
        <v>0</v>
      </c>
      <c r="T163" s="45">
        <f t="shared" si="44"/>
        <v>0</v>
      </c>
      <c r="U163" s="8"/>
      <c r="V163" s="8"/>
      <c r="W163" s="45">
        <f t="shared" si="45"/>
        <v>0</v>
      </c>
      <c r="X163" s="8"/>
      <c r="Y163" s="8"/>
      <c r="Z163" s="45">
        <f t="shared" si="46"/>
        <v>0</v>
      </c>
      <c r="AA163" s="8"/>
      <c r="AB163" s="8"/>
      <c r="AC163" s="50">
        <f t="shared" si="47"/>
        <v>0</v>
      </c>
    </row>
    <row r="164" spans="7:29" x14ac:dyDescent="0.15">
      <c r="G164" s="205" t="s">
        <v>316</v>
      </c>
      <c r="H164" s="53" t="s">
        <v>319</v>
      </c>
      <c r="I164" s="45">
        <f t="shared" si="39"/>
        <v>0</v>
      </c>
      <c r="J164" s="45">
        <f t="shared" si="40"/>
        <v>0</v>
      </c>
      <c r="K164" s="8"/>
      <c r="L164" s="8"/>
      <c r="M164" s="45">
        <f t="shared" si="41"/>
        <v>0</v>
      </c>
      <c r="N164" s="8"/>
      <c r="O164" s="8"/>
      <c r="P164" s="45">
        <f t="shared" si="42"/>
        <v>0</v>
      </c>
      <c r="Q164" s="8"/>
      <c r="R164" s="8"/>
      <c r="S164" s="45">
        <f t="shared" si="43"/>
        <v>0</v>
      </c>
      <c r="T164" s="45">
        <f t="shared" si="44"/>
        <v>0</v>
      </c>
      <c r="U164" s="8"/>
      <c r="V164" s="8"/>
      <c r="W164" s="45">
        <f t="shared" si="45"/>
        <v>0</v>
      </c>
      <c r="X164" s="8"/>
      <c r="Y164" s="8"/>
      <c r="Z164" s="45">
        <f t="shared" si="46"/>
        <v>0</v>
      </c>
      <c r="AA164" s="8"/>
      <c r="AB164" s="8"/>
      <c r="AC164" s="50">
        <f t="shared" si="47"/>
        <v>0</v>
      </c>
    </row>
    <row r="165" spans="7:29" x14ac:dyDescent="0.15">
      <c r="G165" s="205" t="s">
        <v>318</v>
      </c>
      <c r="H165" s="4" t="s">
        <v>321</v>
      </c>
      <c r="I165" s="45">
        <f t="shared" si="39"/>
        <v>0</v>
      </c>
      <c r="J165" s="45">
        <f t="shared" si="40"/>
        <v>0</v>
      </c>
      <c r="K165" s="46">
        <f t="shared" ref="K165:AB165" si="50">SUM(K166:K170)</f>
        <v>0</v>
      </c>
      <c r="L165" s="46">
        <f t="shared" si="50"/>
        <v>0</v>
      </c>
      <c r="M165" s="45">
        <f t="shared" si="41"/>
        <v>0</v>
      </c>
      <c r="N165" s="46">
        <f t="shared" si="50"/>
        <v>0</v>
      </c>
      <c r="O165" s="46">
        <f t="shared" si="50"/>
        <v>0</v>
      </c>
      <c r="P165" s="45">
        <f t="shared" si="42"/>
        <v>0</v>
      </c>
      <c r="Q165" s="46">
        <f t="shared" si="50"/>
        <v>0</v>
      </c>
      <c r="R165" s="46">
        <f t="shared" si="50"/>
        <v>0</v>
      </c>
      <c r="S165" s="45">
        <f t="shared" si="43"/>
        <v>0</v>
      </c>
      <c r="T165" s="45">
        <f t="shared" si="44"/>
        <v>0</v>
      </c>
      <c r="U165" s="46">
        <f t="shared" si="50"/>
        <v>0</v>
      </c>
      <c r="V165" s="46">
        <f t="shared" si="50"/>
        <v>0</v>
      </c>
      <c r="W165" s="45">
        <f t="shared" si="45"/>
        <v>0</v>
      </c>
      <c r="X165" s="46">
        <f t="shared" si="50"/>
        <v>0</v>
      </c>
      <c r="Y165" s="46">
        <f t="shared" si="50"/>
        <v>0</v>
      </c>
      <c r="Z165" s="45">
        <f t="shared" si="46"/>
        <v>0</v>
      </c>
      <c r="AA165" s="46">
        <f t="shared" si="50"/>
        <v>0</v>
      </c>
      <c r="AB165" s="46">
        <f t="shared" si="50"/>
        <v>0</v>
      </c>
      <c r="AC165" s="50">
        <f t="shared" si="47"/>
        <v>0</v>
      </c>
    </row>
    <row r="166" spans="7:29" ht="21" x14ac:dyDescent="0.15">
      <c r="G166" s="206" t="s">
        <v>320</v>
      </c>
      <c r="H166" s="4" t="s">
        <v>323</v>
      </c>
      <c r="I166" s="45">
        <f t="shared" si="39"/>
        <v>0</v>
      </c>
      <c r="J166" s="45">
        <f t="shared" si="40"/>
        <v>0</v>
      </c>
      <c r="K166" s="8"/>
      <c r="L166" s="8"/>
      <c r="M166" s="45">
        <f t="shared" si="41"/>
        <v>0</v>
      </c>
      <c r="N166" s="8"/>
      <c r="O166" s="8"/>
      <c r="P166" s="45">
        <f t="shared" si="42"/>
        <v>0</v>
      </c>
      <c r="Q166" s="8"/>
      <c r="R166" s="8"/>
      <c r="S166" s="45">
        <f t="shared" si="43"/>
        <v>0</v>
      </c>
      <c r="T166" s="45">
        <f t="shared" si="44"/>
        <v>0</v>
      </c>
      <c r="U166" s="8"/>
      <c r="V166" s="8"/>
      <c r="W166" s="45">
        <f t="shared" si="45"/>
        <v>0</v>
      </c>
      <c r="X166" s="8"/>
      <c r="Y166" s="8"/>
      <c r="Z166" s="45">
        <f t="shared" si="46"/>
        <v>0</v>
      </c>
      <c r="AA166" s="8"/>
      <c r="AB166" s="8"/>
      <c r="AC166" s="50">
        <f t="shared" si="47"/>
        <v>0</v>
      </c>
    </row>
    <row r="167" spans="7:29" x14ac:dyDescent="0.15">
      <c r="G167" s="206" t="s">
        <v>322</v>
      </c>
      <c r="H167" s="53" t="s">
        <v>325</v>
      </c>
      <c r="I167" s="45">
        <f t="shared" si="39"/>
        <v>0</v>
      </c>
      <c r="J167" s="45">
        <f t="shared" si="40"/>
        <v>0</v>
      </c>
      <c r="K167" s="8"/>
      <c r="L167" s="8"/>
      <c r="M167" s="45">
        <f t="shared" si="41"/>
        <v>0</v>
      </c>
      <c r="N167" s="8"/>
      <c r="O167" s="8"/>
      <c r="P167" s="45">
        <f t="shared" si="42"/>
        <v>0</v>
      </c>
      <c r="Q167" s="8"/>
      <c r="R167" s="8"/>
      <c r="S167" s="45">
        <f t="shared" si="43"/>
        <v>0</v>
      </c>
      <c r="T167" s="45">
        <f t="shared" si="44"/>
        <v>0</v>
      </c>
      <c r="U167" s="8"/>
      <c r="V167" s="8"/>
      <c r="W167" s="45">
        <f t="shared" si="45"/>
        <v>0</v>
      </c>
      <c r="X167" s="8"/>
      <c r="Y167" s="8"/>
      <c r="Z167" s="45">
        <f t="shared" si="46"/>
        <v>0</v>
      </c>
      <c r="AA167" s="8"/>
      <c r="AB167" s="8"/>
      <c r="AC167" s="50">
        <f t="shared" si="47"/>
        <v>0</v>
      </c>
    </row>
    <row r="168" spans="7:29" x14ac:dyDescent="0.15">
      <c r="G168" s="206" t="s">
        <v>324</v>
      </c>
      <c r="H168" s="4" t="s">
        <v>327</v>
      </c>
      <c r="I168" s="45">
        <f t="shared" si="39"/>
        <v>0</v>
      </c>
      <c r="J168" s="45">
        <f t="shared" si="40"/>
        <v>0</v>
      </c>
      <c r="K168" s="8"/>
      <c r="L168" s="8"/>
      <c r="M168" s="45">
        <f t="shared" si="41"/>
        <v>0</v>
      </c>
      <c r="N168" s="8"/>
      <c r="O168" s="8"/>
      <c r="P168" s="45">
        <f t="shared" si="42"/>
        <v>0</v>
      </c>
      <c r="Q168" s="8"/>
      <c r="R168" s="8"/>
      <c r="S168" s="45">
        <f t="shared" si="43"/>
        <v>0</v>
      </c>
      <c r="T168" s="45">
        <f t="shared" si="44"/>
        <v>0</v>
      </c>
      <c r="U168" s="8"/>
      <c r="V168" s="8"/>
      <c r="W168" s="45">
        <f t="shared" si="45"/>
        <v>0</v>
      </c>
      <c r="X168" s="8"/>
      <c r="Y168" s="8"/>
      <c r="Z168" s="45">
        <f t="shared" si="46"/>
        <v>0</v>
      </c>
      <c r="AA168" s="8"/>
      <c r="AB168" s="8"/>
      <c r="AC168" s="50">
        <f t="shared" si="47"/>
        <v>0</v>
      </c>
    </row>
    <row r="169" spans="7:29" x14ac:dyDescent="0.15">
      <c r="G169" s="206" t="s">
        <v>326</v>
      </c>
      <c r="H169" s="4" t="s">
        <v>329</v>
      </c>
      <c r="I169" s="45">
        <f t="shared" si="39"/>
        <v>0</v>
      </c>
      <c r="J169" s="45">
        <f t="shared" si="40"/>
        <v>0</v>
      </c>
      <c r="K169" s="8"/>
      <c r="L169" s="8"/>
      <c r="M169" s="45">
        <f t="shared" si="41"/>
        <v>0</v>
      </c>
      <c r="N169" s="8"/>
      <c r="O169" s="8"/>
      <c r="P169" s="45">
        <f t="shared" si="42"/>
        <v>0</v>
      </c>
      <c r="Q169" s="8"/>
      <c r="R169" s="8"/>
      <c r="S169" s="45">
        <f t="shared" si="43"/>
        <v>0</v>
      </c>
      <c r="T169" s="45">
        <f t="shared" si="44"/>
        <v>0</v>
      </c>
      <c r="U169" s="8"/>
      <c r="V169" s="8"/>
      <c r="W169" s="45">
        <f t="shared" si="45"/>
        <v>0</v>
      </c>
      <c r="X169" s="8"/>
      <c r="Y169" s="8"/>
      <c r="Z169" s="45">
        <f t="shared" si="46"/>
        <v>0</v>
      </c>
      <c r="AA169" s="8"/>
      <c r="AB169" s="8"/>
      <c r="AC169" s="50">
        <f t="shared" si="47"/>
        <v>0</v>
      </c>
    </row>
    <row r="170" spans="7:29" ht="21" x14ac:dyDescent="0.15">
      <c r="G170" s="206" t="s">
        <v>328</v>
      </c>
      <c r="H170" s="53" t="s">
        <v>331</v>
      </c>
      <c r="I170" s="45">
        <f t="shared" si="39"/>
        <v>0</v>
      </c>
      <c r="J170" s="45">
        <f t="shared" si="40"/>
        <v>0</v>
      </c>
      <c r="K170" s="8"/>
      <c r="L170" s="8"/>
      <c r="M170" s="45">
        <f t="shared" si="41"/>
        <v>0</v>
      </c>
      <c r="N170" s="8"/>
      <c r="O170" s="8"/>
      <c r="P170" s="45">
        <f t="shared" si="42"/>
        <v>0</v>
      </c>
      <c r="Q170" s="8"/>
      <c r="R170" s="8"/>
      <c r="S170" s="45">
        <f t="shared" si="43"/>
        <v>0</v>
      </c>
      <c r="T170" s="45">
        <f t="shared" si="44"/>
        <v>0</v>
      </c>
      <c r="U170" s="8"/>
      <c r="V170" s="8"/>
      <c r="W170" s="45">
        <f t="shared" si="45"/>
        <v>0</v>
      </c>
      <c r="X170" s="8"/>
      <c r="Y170" s="8"/>
      <c r="Z170" s="45">
        <f t="shared" si="46"/>
        <v>0</v>
      </c>
      <c r="AA170" s="8"/>
      <c r="AB170" s="8"/>
      <c r="AC170" s="50">
        <f t="shared" si="47"/>
        <v>0</v>
      </c>
    </row>
    <row r="171" spans="7:29" x14ac:dyDescent="0.15">
      <c r="G171" s="205" t="s">
        <v>330</v>
      </c>
      <c r="H171" s="4" t="s">
        <v>333</v>
      </c>
      <c r="I171" s="45">
        <f t="shared" si="39"/>
        <v>0</v>
      </c>
      <c r="J171" s="45">
        <f t="shared" si="40"/>
        <v>0</v>
      </c>
      <c r="K171" s="8"/>
      <c r="L171" s="8"/>
      <c r="M171" s="45">
        <f t="shared" si="41"/>
        <v>0</v>
      </c>
      <c r="N171" s="8"/>
      <c r="O171" s="8"/>
      <c r="P171" s="45">
        <f t="shared" si="42"/>
        <v>0</v>
      </c>
      <c r="Q171" s="8"/>
      <c r="R171" s="8"/>
      <c r="S171" s="45">
        <f t="shared" si="43"/>
        <v>0</v>
      </c>
      <c r="T171" s="45">
        <f t="shared" si="44"/>
        <v>0</v>
      </c>
      <c r="U171" s="8"/>
      <c r="V171" s="8"/>
      <c r="W171" s="45">
        <f t="shared" si="45"/>
        <v>0</v>
      </c>
      <c r="X171" s="8"/>
      <c r="Y171" s="8"/>
      <c r="Z171" s="45">
        <f t="shared" si="46"/>
        <v>0</v>
      </c>
      <c r="AA171" s="8"/>
      <c r="AB171" s="8"/>
      <c r="AC171" s="50">
        <f t="shared" si="47"/>
        <v>0</v>
      </c>
    </row>
    <row r="172" spans="7:29" x14ac:dyDescent="0.15">
      <c r="G172" s="205" t="s">
        <v>332</v>
      </c>
      <c r="H172" s="4" t="s">
        <v>335</v>
      </c>
      <c r="I172" s="45">
        <f t="shared" si="39"/>
        <v>0</v>
      </c>
      <c r="J172" s="45">
        <f t="shared" si="40"/>
        <v>0</v>
      </c>
      <c r="K172" s="8"/>
      <c r="L172" s="8"/>
      <c r="M172" s="45">
        <f t="shared" si="41"/>
        <v>0</v>
      </c>
      <c r="N172" s="8"/>
      <c r="O172" s="8"/>
      <c r="P172" s="45">
        <f t="shared" si="42"/>
        <v>0</v>
      </c>
      <c r="Q172" s="8"/>
      <c r="R172" s="8"/>
      <c r="S172" s="45">
        <f t="shared" si="43"/>
        <v>0</v>
      </c>
      <c r="T172" s="45">
        <f t="shared" si="44"/>
        <v>0</v>
      </c>
      <c r="U172" s="8"/>
      <c r="V172" s="8"/>
      <c r="W172" s="45">
        <f t="shared" si="45"/>
        <v>0</v>
      </c>
      <c r="X172" s="8"/>
      <c r="Y172" s="8"/>
      <c r="Z172" s="45">
        <f t="shared" si="46"/>
        <v>0</v>
      </c>
      <c r="AA172" s="8"/>
      <c r="AB172" s="8"/>
      <c r="AC172" s="50">
        <f t="shared" si="47"/>
        <v>0</v>
      </c>
    </row>
    <row r="173" spans="7:29" x14ac:dyDescent="0.15">
      <c r="G173" s="205" t="s">
        <v>334</v>
      </c>
      <c r="H173" s="53" t="s">
        <v>337</v>
      </c>
      <c r="I173" s="45">
        <f t="shared" si="39"/>
        <v>0</v>
      </c>
      <c r="J173" s="45">
        <f t="shared" si="40"/>
        <v>0</v>
      </c>
      <c r="K173" s="8"/>
      <c r="L173" s="8"/>
      <c r="M173" s="45">
        <f t="shared" si="41"/>
        <v>0</v>
      </c>
      <c r="N173" s="8"/>
      <c r="O173" s="8"/>
      <c r="P173" s="45">
        <f t="shared" si="42"/>
        <v>0</v>
      </c>
      <c r="Q173" s="8"/>
      <c r="R173" s="8"/>
      <c r="S173" s="45">
        <f t="shared" si="43"/>
        <v>0</v>
      </c>
      <c r="T173" s="45">
        <f t="shared" si="44"/>
        <v>0</v>
      </c>
      <c r="U173" s="8"/>
      <c r="V173" s="8"/>
      <c r="W173" s="45">
        <f t="shared" si="45"/>
        <v>0</v>
      </c>
      <c r="X173" s="8"/>
      <c r="Y173" s="8"/>
      <c r="Z173" s="45">
        <f t="shared" si="46"/>
        <v>0</v>
      </c>
      <c r="AA173" s="8"/>
      <c r="AB173" s="8"/>
      <c r="AC173" s="50">
        <f t="shared" si="47"/>
        <v>0</v>
      </c>
    </row>
    <row r="174" spans="7:29" x14ac:dyDescent="0.15">
      <c r="G174" s="205" t="s">
        <v>336</v>
      </c>
      <c r="H174" s="4" t="s">
        <v>339</v>
      </c>
      <c r="I174" s="45">
        <f t="shared" si="39"/>
        <v>0</v>
      </c>
      <c r="J174" s="45">
        <f t="shared" si="40"/>
        <v>0</v>
      </c>
      <c r="K174" s="46">
        <f t="shared" ref="K174:AB174" si="51">SUM(K175:K179)</f>
        <v>0</v>
      </c>
      <c r="L174" s="46">
        <f t="shared" si="51"/>
        <v>0</v>
      </c>
      <c r="M174" s="45">
        <f t="shared" si="41"/>
        <v>0</v>
      </c>
      <c r="N174" s="46">
        <f t="shared" si="51"/>
        <v>0</v>
      </c>
      <c r="O174" s="46">
        <f t="shared" si="51"/>
        <v>0</v>
      </c>
      <c r="P174" s="45">
        <f t="shared" si="42"/>
        <v>0</v>
      </c>
      <c r="Q174" s="46">
        <f t="shared" si="51"/>
        <v>0</v>
      </c>
      <c r="R174" s="46">
        <f t="shared" si="51"/>
        <v>0</v>
      </c>
      <c r="S174" s="45">
        <f t="shared" si="43"/>
        <v>0</v>
      </c>
      <c r="T174" s="45">
        <f t="shared" si="44"/>
        <v>0</v>
      </c>
      <c r="U174" s="46">
        <f t="shared" si="51"/>
        <v>0</v>
      </c>
      <c r="V174" s="46">
        <f t="shared" si="51"/>
        <v>0</v>
      </c>
      <c r="W174" s="45">
        <f t="shared" si="45"/>
        <v>0</v>
      </c>
      <c r="X174" s="46">
        <f t="shared" si="51"/>
        <v>0</v>
      </c>
      <c r="Y174" s="46">
        <f t="shared" si="51"/>
        <v>0</v>
      </c>
      <c r="Z174" s="45">
        <f t="shared" si="46"/>
        <v>0</v>
      </c>
      <c r="AA174" s="46">
        <f t="shared" si="51"/>
        <v>0</v>
      </c>
      <c r="AB174" s="46">
        <f t="shared" si="51"/>
        <v>0</v>
      </c>
      <c r="AC174" s="50">
        <f t="shared" si="47"/>
        <v>0</v>
      </c>
    </row>
    <row r="175" spans="7:29" ht="21" x14ac:dyDescent="0.15">
      <c r="G175" s="206" t="s">
        <v>338</v>
      </c>
      <c r="H175" s="4" t="s">
        <v>341</v>
      </c>
      <c r="I175" s="45">
        <f t="shared" si="39"/>
        <v>0</v>
      </c>
      <c r="J175" s="45">
        <f t="shared" si="40"/>
        <v>0</v>
      </c>
      <c r="K175" s="8"/>
      <c r="L175" s="8"/>
      <c r="M175" s="45">
        <f t="shared" si="41"/>
        <v>0</v>
      </c>
      <c r="N175" s="8"/>
      <c r="O175" s="8"/>
      <c r="P175" s="45">
        <f t="shared" si="42"/>
        <v>0</v>
      </c>
      <c r="Q175" s="8"/>
      <c r="R175" s="8"/>
      <c r="S175" s="45">
        <f t="shared" si="43"/>
        <v>0</v>
      </c>
      <c r="T175" s="45">
        <f t="shared" si="44"/>
        <v>0</v>
      </c>
      <c r="U175" s="8"/>
      <c r="V175" s="8"/>
      <c r="W175" s="45">
        <f t="shared" si="45"/>
        <v>0</v>
      </c>
      <c r="X175" s="8"/>
      <c r="Y175" s="8"/>
      <c r="Z175" s="45">
        <f t="shared" si="46"/>
        <v>0</v>
      </c>
      <c r="AA175" s="8"/>
      <c r="AB175" s="8"/>
      <c r="AC175" s="50">
        <f t="shared" si="47"/>
        <v>0</v>
      </c>
    </row>
    <row r="176" spans="7:29" x14ac:dyDescent="0.15">
      <c r="G176" s="206" t="s">
        <v>340</v>
      </c>
      <c r="H176" s="53" t="s">
        <v>343</v>
      </c>
      <c r="I176" s="45">
        <f t="shared" si="39"/>
        <v>0</v>
      </c>
      <c r="J176" s="45">
        <f t="shared" si="40"/>
        <v>0</v>
      </c>
      <c r="K176" s="8"/>
      <c r="L176" s="8"/>
      <c r="M176" s="45">
        <f t="shared" si="41"/>
        <v>0</v>
      </c>
      <c r="N176" s="8"/>
      <c r="O176" s="8"/>
      <c r="P176" s="45">
        <f t="shared" si="42"/>
        <v>0</v>
      </c>
      <c r="Q176" s="8"/>
      <c r="R176" s="8"/>
      <c r="S176" s="45">
        <f t="shared" si="43"/>
        <v>0</v>
      </c>
      <c r="T176" s="45">
        <f t="shared" si="44"/>
        <v>0</v>
      </c>
      <c r="U176" s="8"/>
      <c r="V176" s="8"/>
      <c r="W176" s="45">
        <f t="shared" si="45"/>
        <v>0</v>
      </c>
      <c r="X176" s="8"/>
      <c r="Y176" s="8"/>
      <c r="Z176" s="45">
        <f t="shared" si="46"/>
        <v>0</v>
      </c>
      <c r="AA176" s="8"/>
      <c r="AB176" s="8"/>
      <c r="AC176" s="50">
        <f t="shared" si="47"/>
        <v>0</v>
      </c>
    </row>
    <row r="177" spans="7:29" x14ac:dyDescent="0.15">
      <c r="G177" s="206" t="s">
        <v>342</v>
      </c>
      <c r="H177" s="4" t="s">
        <v>345</v>
      </c>
      <c r="I177" s="45">
        <f t="shared" si="39"/>
        <v>0</v>
      </c>
      <c r="J177" s="45">
        <f t="shared" si="40"/>
        <v>0</v>
      </c>
      <c r="K177" s="8"/>
      <c r="L177" s="8"/>
      <c r="M177" s="45">
        <f t="shared" si="41"/>
        <v>0</v>
      </c>
      <c r="N177" s="8"/>
      <c r="O177" s="8"/>
      <c r="P177" s="45">
        <f t="shared" si="42"/>
        <v>0</v>
      </c>
      <c r="Q177" s="8"/>
      <c r="R177" s="8"/>
      <c r="S177" s="45">
        <f t="shared" si="43"/>
        <v>0</v>
      </c>
      <c r="T177" s="45">
        <f t="shared" si="44"/>
        <v>0</v>
      </c>
      <c r="U177" s="8"/>
      <c r="V177" s="8"/>
      <c r="W177" s="45">
        <f t="shared" si="45"/>
        <v>0</v>
      </c>
      <c r="X177" s="8"/>
      <c r="Y177" s="8"/>
      <c r="Z177" s="45">
        <f t="shared" si="46"/>
        <v>0</v>
      </c>
      <c r="AA177" s="8"/>
      <c r="AB177" s="8"/>
      <c r="AC177" s="50">
        <f t="shared" si="47"/>
        <v>0</v>
      </c>
    </row>
    <row r="178" spans="7:29" x14ac:dyDescent="0.15">
      <c r="G178" s="206" t="s">
        <v>344</v>
      </c>
      <c r="H178" s="4" t="s">
        <v>347</v>
      </c>
      <c r="I178" s="45">
        <f t="shared" si="39"/>
        <v>0</v>
      </c>
      <c r="J178" s="45">
        <f t="shared" si="40"/>
        <v>0</v>
      </c>
      <c r="K178" s="8"/>
      <c r="L178" s="8"/>
      <c r="M178" s="45">
        <f t="shared" si="41"/>
        <v>0</v>
      </c>
      <c r="N178" s="8"/>
      <c r="O178" s="8"/>
      <c r="P178" s="45">
        <f t="shared" si="42"/>
        <v>0</v>
      </c>
      <c r="Q178" s="8"/>
      <c r="R178" s="8"/>
      <c r="S178" s="45">
        <f t="shared" si="43"/>
        <v>0</v>
      </c>
      <c r="T178" s="45">
        <f t="shared" si="44"/>
        <v>0</v>
      </c>
      <c r="U178" s="8"/>
      <c r="V178" s="8"/>
      <c r="W178" s="45">
        <f t="shared" si="45"/>
        <v>0</v>
      </c>
      <c r="X178" s="8"/>
      <c r="Y178" s="8"/>
      <c r="Z178" s="45">
        <f t="shared" si="46"/>
        <v>0</v>
      </c>
      <c r="AA178" s="8"/>
      <c r="AB178" s="8"/>
      <c r="AC178" s="50">
        <f t="shared" si="47"/>
        <v>0</v>
      </c>
    </row>
    <row r="179" spans="7:29" x14ac:dyDescent="0.15">
      <c r="G179" s="206" t="s">
        <v>346</v>
      </c>
      <c r="H179" s="53" t="s">
        <v>349</v>
      </c>
      <c r="I179" s="45">
        <f t="shared" si="39"/>
        <v>0</v>
      </c>
      <c r="J179" s="45">
        <f t="shared" si="40"/>
        <v>0</v>
      </c>
      <c r="K179" s="8"/>
      <c r="L179" s="8"/>
      <c r="M179" s="45">
        <f t="shared" si="41"/>
        <v>0</v>
      </c>
      <c r="N179" s="8"/>
      <c r="O179" s="8"/>
      <c r="P179" s="45">
        <f t="shared" si="42"/>
        <v>0</v>
      </c>
      <c r="Q179" s="8"/>
      <c r="R179" s="8"/>
      <c r="S179" s="45">
        <f t="shared" si="43"/>
        <v>0</v>
      </c>
      <c r="T179" s="45">
        <f t="shared" si="44"/>
        <v>0</v>
      </c>
      <c r="U179" s="8"/>
      <c r="V179" s="8"/>
      <c r="W179" s="45">
        <f t="shared" si="45"/>
        <v>0</v>
      </c>
      <c r="X179" s="8"/>
      <c r="Y179" s="8"/>
      <c r="Z179" s="45">
        <f t="shared" si="46"/>
        <v>0</v>
      </c>
      <c r="AA179" s="8"/>
      <c r="AB179" s="8"/>
      <c r="AC179" s="50">
        <f t="shared" si="47"/>
        <v>0</v>
      </c>
    </row>
    <row r="180" spans="7:29" x14ac:dyDescent="0.15">
      <c r="G180" s="205" t="s">
        <v>348</v>
      </c>
      <c r="H180" s="4" t="s">
        <v>351</v>
      </c>
      <c r="I180" s="45">
        <f t="shared" si="39"/>
        <v>0</v>
      </c>
      <c r="J180" s="45">
        <f t="shared" si="40"/>
        <v>0</v>
      </c>
      <c r="K180" s="8"/>
      <c r="L180" s="8"/>
      <c r="M180" s="45">
        <f t="shared" si="41"/>
        <v>0</v>
      </c>
      <c r="N180" s="8"/>
      <c r="O180" s="8"/>
      <c r="P180" s="45">
        <f t="shared" si="42"/>
        <v>0</v>
      </c>
      <c r="Q180" s="8"/>
      <c r="R180" s="8"/>
      <c r="S180" s="45">
        <f t="shared" si="43"/>
        <v>0</v>
      </c>
      <c r="T180" s="45">
        <f t="shared" si="44"/>
        <v>0</v>
      </c>
      <c r="U180" s="8"/>
      <c r="V180" s="8"/>
      <c r="W180" s="45">
        <f t="shared" si="45"/>
        <v>0</v>
      </c>
      <c r="X180" s="8"/>
      <c r="Y180" s="8"/>
      <c r="Z180" s="45">
        <f t="shared" si="46"/>
        <v>0</v>
      </c>
      <c r="AA180" s="8"/>
      <c r="AB180" s="8"/>
      <c r="AC180" s="50">
        <f t="shared" si="47"/>
        <v>0</v>
      </c>
    </row>
    <row r="181" spans="7:29" x14ac:dyDescent="0.15">
      <c r="G181" s="205" t="s">
        <v>350</v>
      </c>
      <c r="H181" s="4" t="s">
        <v>353</v>
      </c>
      <c r="I181" s="45">
        <f t="shared" si="39"/>
        <v>0</v>
      </c>
      <c r="J181" s="45">
        <f t="shared" si="40"/>
        <v>0</v>
      </c>
      <c r="K181" s="8"/>
      <c r="L181" s="8"/>
      <c r="M181" s="45">
        <f t="shared" si="41"/>
        <v>0</v>
      </c>
      <c r="N181" s="8"/>
      <c r="O181" s="8"/>
      <c r="P181" s="45">
        <f t="shared" si="42"/>
        <v>0</v>
      </c>
      <c r="Q181" s="8"/>
      <c r="R181" s="8"/>
      <c r="S181" s="45">
        <f t="shared" si="43"/>
        <v>0</v>
      </c>
      <c r="T181" s="45">
        <f t="shared" si="44"/>
        <v>0</v>
      </c>
      <c r="U181" s="8"/>
      <c r="V181" s="8"/>
      <c r="W181" s="45">
        <f t="shared" si="45"/>
        <v>0</v>
      </c>
      <c r="X181" s="8"/>
      <c r="Y181" s="8"/>
      <c r="Z181" s="45">
        <f t="shared" si="46"/>
        <v>0</v>
      </c>
      <c r="AA181" s="8"/>
      <c r="AB181" s="8"/>
      <c r="AC181" s="50">
        <f t="shared" si="47"/>
        <v>0</v>
      </c>
    </row>
    <row r="182" spans="7:29" x14ac:dyDescent="0.15">
      <c r="G182" s="205" t="s">
        <v>352</v>
      </c>
      <c r="H182" s="53" t="s">
        <v>355</v>
      </c>
      <c r="I182" s="45">
        <f t="shared" si="39"/>
        <v>0</v>
      </c>
      <c r="J182" s="45">
        <f t="shared" si="40"/>
        <v>0</v>
      </c>
      <c r="K182" s="8"/>
      <c r="L182" s="8"/>
      <c r="M182" s="45">
        <f t="shared" si="41"/>
        <v>0</v>
      </c>
      <c r="N182" s="8"/>
      <c r="O182" s="8"/>
      <c r="P182" s="45">
        <f t="shared" si="42"/>
        <v>0</v>
      </c>
      <c r="Q182" s="8"/>
      <c r="R182" s="8"/>
      <c r="S182" s="45">
        <f t="shared" si="43"/>
        <v>0</v>
      </c>
      <c r="T182" s="45">
        <f t="shared" si="44"/>
        <v>0</v>
      </c>
      <c r="U182" s="8"/>
      <c r="V182" s="8"/>
      <c r="W182" s="45">
        <f t="shared" si="45"/>
        <v>0</v>
      </c>
      <c r="X182" s="8"/>
      <c r="Y182" s="8"/>
      <c r="Z182" s="45">
        <f t="shared" si="46"/>
        <v>0</v>
      </c>
      <c r="AA182" s="8"/>
      <c r="AB182" s="8"/>
      <c r="AC182" s="50">
        <f t="shared" si="47"/>
        <v>0</v>
      </c>
    </row>
    <row r="183" spans="7:29" x14ac:dyDescent="0.15">
      <c r="G183" s="205" t="s">
        <v>354</v>
      </c>
      <c r="H183" s="4" t="s">
        <v>357</v>
      </c>
      <c r="I183" s="45">
        <f t="shared" si="39"/>
        <v>0</v>
      </c>
      <c r="J183" s="45">
        <f t="shared" si="40"/>
        <v>0</v>
      </c>
      <c r="K183" s="8"/>
      <c r="L183" s="8"/>
      <c r="M183" s="45">
        <f t="shared" si="41"/>
        <v>0</v>
      </c>
      <c r="N183" s="8"/>
      <c r="O183" s="8"/>
      <c r="P183" s="45">
        <f t="shared" si="42"/>
        <v>0</v>
      </c>
      <c r="Q183" s="8"/>
      <c r="R183" s="8"/>
      <c r="S183" s="45">
        <f t="shared" si="43"/>
        <v>0</v>
      </c>
      <c r="T183" s="45">
        <f t="shared" si="44"/>
        <v>0</v>
      </c>
      <c r="U183" s="8"/>
      <c r="V183" s="8"/>
      <c r="W183" s="45">
        <f t="shared" si="45"/>
        <v>0</v>
      </c>
      <c r="X183" s="8"/>
      <c r="Y183" s="8"/>
      <c r="Z183" s="45">
        <f t="shared" si="46"/>
        <v>0</v>
      </c>
      <c r="AA183" s="8"/>
      <c r="AB183" s="8"/>
      <c r="AC183" s="50">
        <f t="shared" si="47"/>
        <v>0</v>
      </c>
    </row>
    <row r="184" spans="7:29" x14ac:dyDescent="0.15">
      <c r="G184" s="205" t="s">
        <v>356</v>
      </c>
      <c r="H184" s="4" t="s">
        <v>359</v>
      </c>
      <c r="I184" s="45">
        <f t="shared" si="39"/>
        <v>0</v>
      </c>
      <c r="J184" s="45">
        <f t="shared" si="40"/>
        <v>0</v>
      </c>
      <c r="K184" s="8"/>
      <c r="L184" s="8"/>
      <c r="M184" s="45">
        <f t="shared" si="41"/>
        <v>0</v>
      </c>
      <c r="N184" s="8"/>
      <c r="O184" s="8"/>
      <c r="P184" s="45">
        <f t="shared" si="42"/>
        <v>0</v>
      </c>
      <c r="Q184" s="8"/>
      <c r="R184" s="8"/>
      <c r="S184" s="45">
        <f t="shared" si="43"/>
        <v>0</v>
      </c>
      <c r="T184" s="45">
        <f t="shared" si="44"/>
        <v>0</v>
      </c>
      <c r="U184" s="8"/>
      <c r="V184" s="8"/>
      <c r="W184" s="45">
        <f t="shared" si="45"/>
        <v>0</v>
      </c>
      <c r="X184" s="8"/>
      <c r="Y184" s="8"/>
      <c r="Z184" s="45">
        <f t="shared" si="46"/>
        <v>0</v>
      </c>
      <c r="AA184" s="8"/>
      <c r="AB184" s="8"/>
      <c r="AC184" s="50">
        <f t="shared" si="47"/>
        <v>0</v>
      </c>
    </row>
    <row r="185" spans="7:29" x14ac:dyDescent="0.15">
      <c r="G185" s="205" t="s">
        <v>358</v>
      </c>
      <c r="H185" s="53" t="s">
        <v>361</v>
      </c>
      <c r="I185" s="45">
        <f t="shared" si="39"/>
        <v>0</v>
      </c>
      <c r="J185" s="45">
        <f t="shared" si="40"/>
        <v>0</v>
      </c>
      <c r="K185" s="8"/>
      <c r="L185" s="8"/>
      <c r="M185" s="45">
        <f t="shared" si="41"/>
        <v>0</v>
      </c>
      <c r="N185" s="8"/>
      <c r="O185" s="8"/>
      <c r="P185" s="45">
        <f t="shared" si="42"/>
        <v>0</v>
      </c>
      <c r="Q185" s="8"/>
      <c r="R185" s="8"/>
      <c r="S185" s="45">
        <f t="shared" si="43"/>
        <v>0</v>
      </c>
      <c r="T185" s="45">
        <f t="shared" si="44"/>
        <v>0</v>
      </c>
      <c r="U185" s="8"/>
      <c r="V185" s="8"/>
      <c r="W185" s="45">
        <f t="shared" si="45"/>
        <v>0</v>
      </c>
      <c r="X185" s="8"/>
      <c r="Y185" s="8"/>
      <c r="Z185" s="45">
        <f t="shared" si="46"/>
        <v>0</v>
      </c>
      <c r="AA185" s="8"/>
      <c r="AB185" s="8"/>
      <c r="AC185" s="50">
        <f t="shared" si="47"/>
        <v>0</v>
      </c>
    </row>
    <row r="186" spans="7:29" x14ac:dyDescent="0.15">
      <c r="G186" s="205" t="s">
        <v>360</v>
      </c>
      <c r="H186" s="4" t="s">
        <v>363</v>
      </c>
      <c r="I186" s="45">
        <f t="shared" si="39"/>
        <v>0</v>
      </c>
      <c r="J186" s="45">
        <f t="shared" si="40"/>
        <v>0</v>
      </c>
      <c r="K186" s="8"/>
      <c r="L186" s="8"/>
      <c r="M186" s="45">
        <f t="shared" si="41"/>
        <v>0</v>
      </c>
      <c r="N186" s="8"/>
      <c r="O186" s="8"/>
      <c r="P186" s="45">
        <f t="shared" si="42"/>
        <v>0</v>
      </c>
      <c r="Q186" s="8"/>
      <c r="R186" s="8"/>
      <c r="S186" s="45">
        <f t="shared" si="43"/>
        <v>0</v>
      </c>
      <c r="T186" s="45">
        <f t="shared" si="44"/>
        <v>0</v>
      </c>
      <c r="U186" s="8"/>
      <c r="V186" s="8"/>
      <c r="W186" s="45">
        <f t="shared" si="45"/>
        <v>0</v>
      </c>
      <c r="X186" s="8"/>
      <c r="Y186" s="8"/>
      <c r="Z186" s="45">
        <f t="shared" si="46"/>
        <v>0</v>
      </c>
      <c r="AA186" s="8"/>
      <c r="AB186" s="8"/>
      <c r="AC186" s="50">
        <f t="shared" si="47"/>
        <v>0</v>
      </c>
    </row>
    <row r="187" spans="7:29" x14ac:dyDescent="0.15">
      <c r="G187" s="205" t="s">
        <v>362</v>
      </c>
      <c r="H187" s="4" t="s">
        <v>365</v>
      </c>
      <c r="I187" s="45">
        <f t="shared" si="39"/>
        <v>0</v>
      </c>
      <c r="J187" s="45">
        <f t="shared" si="40"/>
        <v>0</v>
      </c>
      <c r="K187" s="8"/>
      <c r="L187" s="8"/>
      <c r="M187" s="45">
        <f t="shared" si="41"/>
        <v>0</v>
      </c>
      <c r="N187" s="8"/>
      <c r="O187" s="8"/>
      <c r="P187" s="45">
        <f t="shared" si="42"/>
        <v>0</v>
      </c>
      <c r="Q187" s="8"/>
      <c r="R187" s="8"/>
      <c r="S187" s="45">
        <f t="shared" si="43"/>
        <v>0</v>
      </c>
      <c r="T187" s="45">
        <f t="shared" si="44"/>
        <v>0</v>
      </c>
      <c r="U187" s="8"/>
      <c r="V187" s="8"/>
      <c r="W187" s="45">
        <f t="shared" si="45"/>
        <v>0</v>
      </c>
      <c r="X187" s="8"/>
      <c r="Y187" s="8"/>
      <c r="Z187" s="45">
        <f t="shared" si="46"/>
        <v>0</v>
      </c>
      <c r="AA187" s="8"/>
      <c r="AB187" s="8"/>
      <c r="AC187" s="50">
        <f t="shared" si="47"/>
        <v>0</v>
      </c>
    </row>
    <row r="188" spans="7:29" x14ac:dyDescent="0.15">
      <c r="G188" s="205" t="s">
        <v>364</v>
      </c>
      <c r="H188" s="53" t="s">
        <v>367</v>
      </c>
      <c r="I188" s="45">
        <f t="shared" si="39"/>
        <v>0</v>
      </c>
      <c r="J188" s="45">
        <f t="shared" si="40"/>
        <v>0</v>
      </c>
      <c r="K188" s="8"/>
      <c r="L188" s="8"/>
      <c r="M188" s="45">
        <f t="shared" si="41"/>
        <v>0</v>
      </c>
      <c r="N188" s="8"/>
      <c r="O188" s="8"/>
      <c r="P188" s="45">
        <f t="shared" si="42"/>
        <v>0</v>
      </c>
      <c r="Q188" s="8"/>
      <c r="R188" s="8"/>
      <c r="S188" s="45">
        <f t="shared" si="43"/>
        <v>0</v>
      </c>
      <c r="T188" s="45">
        <f t="shared" si="44"/>
        <v>0</v>
      </c>
      <c r="U188" s="8"/>
      <c r="V188" s="8"/>
      <c r="W188" s="45">
        <f t="shared" si="45"/>
        <v>0</v>
      </c>
      <c r="X188" s="8"/>
      <c r="Y188" s="8"/>
      <c r="Z188" s="45">
        <f t="shared" si="46"/>
        <v>0</v>
      </c>
      <c r="AA188" s="8"/>
      <c r="AB188" s="8"/>
      <c r="AC188" s="50">
        <f t="shared" si="47"/>
        <v>0</v>
      </c>
    </row>
    <row r="189" spans="7:29" x14ac:dyDescent="0.15">
      <c r="G189" s="205" t="s">
        <v>366</v>
      </c>
      <c r="H189" s="4" t="s">
        <v>369</v>
      </c>
      <c r="I189" s="45">
        <f t="shared" si="39"/>
        <v>0</v>
      </c>
      <c r="J189" s="45">
        <f t="shared" si="40"/>
        <v>0</v>
      </c>
      <c r="K189" s="8"/>
      <c r="L189" s="8"/>
      <c r="M189" s="45">
        <f t="shared" si="41"/>
        <v>0</v>
      </c>
      <c r="N189" s="8"/>
      <c r="O189" s="8"/>
      <c r="P189" s="45">
        <f t="shared" si="42"/>
        <v>0</v>
      </c>
      <c r="Q189" s="8"/>
      <c r="R189" s="8"/>
      <c r="S189" s="45">
        <f t="shared" si="43"/>
        <v>0</v>
      </c>
      <c r="T189" s="45">
        <f t="shared" si="44"/>
        <v>0</v>
      </c>
      <c r="U189" s="8"/>
      <c r="V189" s="8"/>
      <c r="W189" s="45">
        <f t="shared" si="45"/>
        <v>0</v>
      </c>
      <c r="X189" s="8"/>
      <c r="Y189" s="8"/>
      <c r="Z189" s="45">
        <f t="shared" si="46"/>
        <v>0</v>
      </c>
      <c r="AA189" s="8"/>
      <c r="AB189" s="8"/>
      <c r="AC189" s="50">
        <f t="shared" si="47"/>
        <v>0</v>
      </c>
    </row>
    <row r="190" spans="7:29" x14ac:dyDescent="0.15">
      <c r="G190" s="205" t="s">
        <v>368</v>
      </c>
      <c r="H190" s="4" t="s">
        <v>371</v>
      </c>
      <c r="I190" s="45">
        <f t="shared" si="39"/>
        <v>0</v>
      </c>
      <c r="J190" s="45">
        <f t="shared" si="40"/>
        <v>0</v>
      </c>
      <c r="K190" s="8"/>
      <c r="L190" s="8"/>
      <c r="M190" s="45">
        <f t="shared" si="41"/>
        <v>0</v>
      </c>
      <c r="N190" s="8"/>
      <c r="O190" s="8"/>
      <c r="P190" s="45">
        <f t="shared" si="42"/>
        <v>0</v>
      </c>
      <c r="Q190" s="8"/>
      <c r="R190" s="8"/>
      <c r="S190" s="45">
        <f t="shared" si="43"/>
        <v>0</v>
      </c>
      <c r="T190" s="45">
        <f t="shared" si="44"/>
        <v>0</v>
      </c>
      <c r="U190" s="8"/>
      <c r="V190" s="8"/>
      <c r="W190" s="45">
        <f t="shared" si="45"/>
        <v>0</v>
      </c>
      <c r="X190" s="8"/>
      <c r="Y190" s="8"/>
      <c r="Z190" s="45">
        <f t="shared" si="46"/>
        <v>0</v>
      </c>
      <c r="AA190" s="8"/>
      <c r="AB190" s="8"/>
      <c r="AC190" s="50">
        <f t="shared" si="47"/>
        <v>0</v>
      </c>
    </row>
    <row r="191" spans="7:29" x14ac:dyDescent="0.15">
      <c r="G191" s="205" t="s">
        <v>370</v>
      </c>
      <c r="H191" s="53" t="s">
        <v>373</v>
      </c>
      <c r="I191" s="45">
        <f t="shared" si="39"/>
        <v>0</v>
      </c>
      <c r="J191" s="45">
        <f t="shared" si="40"/>
        <v>0</v>
      </c>
      <c r="K191" s="8"/>
      <c r="L191" s="8"/>
      <c r="M191" s="45">
        <f t="shared" si="41"/>
        <v>0</v>
      </c>
      <c r="N191" s="8"/>
      <c r="O191" s="8"/>
      <c r="P191" s="45">
        <f t="shared" si="42"/>
        <v>0</v>
      </c>
      <c r="Q191" s="8"/>
      <c r="R191" s="8"/>
      <c r="S191" s="45">
        <f t="shared" si="43"/>
        <v>0</v>
      </c>
      <c r="T191" s="45">
        <f t="shared" si="44"/>
        <v>0</v>
      </c>
      <c r="U191" s="8"/>
      <c r="V191" s="8"/>
      <c r="W191" s="45">
        <f t="shared" si="45"/>
        <v>0</v>
      </c>
      <c r="X191" s="8"/>
      <c r="Y191" s="8"/>
      <c r="Z191" s="45">
        <f t="shared" si="46"/>
        <v>0</v>
      </c>
      <c r="AA191" s="8"/>
      <c r="AB191" s="8"/>
      <c r="AC191" s="50">
        <f t="shared" si="47"/>
        <v>0</v>
      </c>
    </row>
    <row r="192" spans="7:29" x14ac:dyDescent="0.15">
      <c r="G192" s="205" t="s">
        <v>372</v>
      </c>
      <c r="H192" s="4" t="s">
        <v>375</v>
      </c>
      <c r="I192" s="45">
        <f t="shared" si="39"/>
        <v>0</v>
      </c>
      <c r="J192" s="45">
        <f t="shared" si="40"/>
        <v>0</v>
      </c>
      <c r="K192" s="8"/>
      <c r="L192" s="8"/>
      <c r="M192" s="45">
        <f t="shared" si="41"/>
        <v>0</v>
      </c>
      <c r="N192" s="8"/>
      <c r="O192" s="8"/>
      <c r="P192" s="45">
        <f t="shared" si="42"/>
        <v>0</v>
      </c>
      <c r="Q192" s="8"/>
      <c r="R192" s="8"/>
      <c r="S192" s="45">
        <f t="shared" si="43"/>
        <v>0</v>
      </c>
      <c r="T192" s="45">
        <f t="shared" si="44"/>
        <v>0</v>
      </c>
      <c r="U192" s="8"/>
      <c r="V192" s="8"/>
      <c r="W192" s="45">
        <f t="shared" si="45"/>
        <v>0</v>
      </c>
      <c r="X192" s="8"/>
      <c r="Y192" s="8"/>
      <c r="Z192" s="45">
        <f t="shared" si="46"/>
        <v>0</v>
      </c>
      <c r="AA192" s="8"/>
      <c r="AB192" s="8"/>
      <c r="AC192" s="50">
        <f t="shared" si="47"/>
        <v>0</v>
      </c>
    </row>
    <row r="193" spans="7:29" x14ac:dyDescent="0.15">
      <c r="G193" s="205" t="s">
        <v>374</v>
      </c>
      <c r="H193" s="4" t="s">
        <v>377</v>
      </c>
      <c r="I193" s="45">
        <f t="shared" si="39"/>
        <v>0</v>
      </c>
      <c r="J193" s="45">
        <f t="shared" si="40"/>
        <v>0</v>
      </c>
      <c r="K193" s="8"/>
      <c r="L193" s="8"/>
      <c r="M193" s="45">
        <f t="shared" si="41"/>
        <v>0</v>
      </c>
      <c r="N193" s="8"/>
      <c r="O193" s="8"/>
      <c r="P193" s="45">
        <f t="shared" si="42"/>
        <v>0</v>
      </c>
      <c r="Q193" s="8"/>
      <c r="R193" s="8"/>
      <c r="S193" s="45">
        <f t="shared" si="43"/>
        <v>0</v>
      </c>
      <c r="T193" s="45">
        <f t="shared" si="44"/>
        <v>0</v>
      </c>
      <c r="U193" s="8"/>
      <c r="V193" s="8"/>
      <c r="W193" s="45">
        <f t="shared" si="45"/>
        <v>0</v>
      </c>
      <c r="X193" s="8"/>
      <c r="Y193" s="8"/>
      <c r="Z193" s="45">
        <f t="shared" si="46"/>
        <v>0</v>
      </c>
      <c r="AA193" s="8"/>
      <c r="AB193" s="8"/>
      <c r="AC193" s="50">
        <f t="shared" si="47"/>
        <v>0</v>
      </c>
    </row>
    <row r="194" spans="7:29" x14ac:dyDescent="0.15">
      <c r="G194" s="205" t="s">
        <v>376</v>
      </c>
      <c r="H194" s="53" t="s">
        <v>379</v>
      </c>
      <c r="I194" s="45">
        <f t="shared" si="39"/>
        <v>0</v>
      </c>
      <c r="J194" s="45">
        <f t="shared" si="40"/>
        <v>0</v>
      </c>
      <c r="K194" s="8"/>
      <c r="L194" s="8"/>
      <c r="M194" s="45">
        <f t="shared" si="41"/>
        <v>0</v>
      </c>
      <c r="N194" s="8"/>
      <c r="O194" s="8"/>
      <c r="P194" s="45">
        <f t="shared" si="42"/>
        <v>0</v>
      </c>
      <c r="Q194" s="8"/>
      <c r="R194" s="8"/>
      <c r="S194" s="45">
        <f t="shared" si="43"/>
        <v>0</v>
      </c>
      <c r="T194" s="45">
        <f t="shared" si="44"/>
        <v>0</v>
      </c>
      <c r="U194" s="8"/>
      <c r="V194" s="8"/>
      <c r="W194" s="45">
        <f t="shared" si="45"/>
        <v>0</v>
      </c>
      <c r="X194" s="8"/>
      <c r="Y194" s="8"/>
      <c r="Z194" s="45">
        <f t="shared" si="46"/>
        <v>0</v>
      </c>
      <c r="AA194" s="8"/>
      <c r="AB194" s="8"/>
      <c r="AC194" s="50">
        <f t="shared" si="47"/>
        <v>0</v>
      </c>
    </row>
    <row r="195" spans="7:29" x14ac:dyDescent="0.15">
      <c r="G195" s="205" t="s">
        <v>378</v>
      </c>
      <c r="H195" s="4" t="s">
        <v>381</v>
      </c>
      <c r="I195" s="45">
        <f t="shared" si="39"/>
        <v>0</v>
      </c>
      <c r="J195" s="45">
        <f t="shared" si="40"/>
        <v>0</v>
      </c>
      <c r="K195" s="46">
        <f t="shared" ref="K195:AB195" si="52">SUM(K196:K198)</f>
        <v>0</v>
      </c>
      <c r="L195" s="46">
        <f t="shared" si="52"/>
        <v>0</v>
      </c>
      <c r="M195" s="45">
        <f t="shared" si="41"/>
        <v>0</v>
      </c>
      <c r="N195" s="46">
        <f t="shared" si="52"/>
        <v>0</v>
      </c>
      <c r="O195" s="46">
        <f t="shared" si="52"/>
        <v>0</v>
      </c>
      <c r="P195" s="45">
        <f t="shared" si="42"/>
        <v>0</v>
      </c>
      <c r="Q195" s="46">
        <f t="shared" si="52"/>
        <v>0</v>
      </c>
      <c r="R195" s="46">
        <f t="shared" si="52"/>
        <v>0</v>
      </c>
      <c r="S195" s="45">
        <f t="shared" si="43"/>
        <v>0</v>
      </c>
      <c r="T195" s="45">
        <f t="shared" si="44"/>
        <v>0</v>
      </c>
      <c r="U195" s="46">
        <f t="shared" si="52"/>
        <v>0</v>
      </c>
      <c r="V195" s="46">
        <f t="shared" si="52"/>
        <v>0</v>
      </c>
      <c r="W195" s="45">
        <f t="shared" si="45"/>
        <v>0</v>
      </c>
      <c r="X195" s="46">
        <f t="shared" si="52"/>
        <v>0</v>
      </c>
      <c r="Y195" s="46">
        <f t="shared" si="52"/>
        <v>0</v>
      </c>
      <c r="Z195" s="45">
        <f t="shared" si="46"/>
        <v>0</v>
      </c>
      <c r="AA195" s="46">
        <f t="shared" si="52"/>
        <v>0</v>
      </c>
      <c r="AB195" s="46">
        <f t="shared" si="52"/>
        <v>0</v>
      </c>
      <c r="AC195" s="50">
        <f t="shared" si="47"/>
        <v>0</v>
      </c>
    </row>
    <row r="196" spans="7:29" ht="21" x14ac:dyDescent="0.15">
      <c r="G196" s="206" t="s">
        <v>380</v>
      </c>
      <c r="H196" s="4" t="s">
        <v>383</v>
      </c>
      <c r="I196" s="45">
        <f t="shared" si="39"/>
        <v>0</v>
      </c>
      <c r="J196" s="45">
        <f t="shared" si="40"/>
        <v>0</v>
      </c>
      <c r="K196" s="8"/>
      <c r="L196" s="8"/>
      <c r="M196" s="45">
        <f t="shared" si="41"/>
        <v>0</v>
      </c>
      <c r="N196" s="8"/>
      <c r="O196" s="8"/>
      <c r="P196" s="45">
        <f t="shared" si="42"/>
        <v>0</v>
      </c>
      <c r="Q196" s="8"/>
      <c r="R196" s="8"/>
      <c r="S196" s="45">
        <f t="shared" si="43"/>
        <v>0</v>
      </c>
      <c r="T196" s="45">
        <f t="shared" si="44"/>
        <v>0</v>
      </c>
      <c r="U196" s="8"/>
      <c r="V196" s="8"/>
      <c r="W196" s="45">
        <f t="shared" si="45"/>
        <v>0</v>
      </c>
      <c r="X196" s="8"/>
      <c r="Y196" s="8"/>
      <c r="Z196" s="45">
        <f t="shared" si="46"/>
        <v>0</v>
      </c>
      <c r="AA196" s="8"/>
      <c r="AB196" s="8"/>
      <c r="AC196" s="50">
        <f t="shared" si="47"/>
        <v>0</v>
      </c>
    </row>
    <row r="197" spans="7:29" x14ac:dyDescent="0.15">
      <c r="G197" s="206" t="s">
        <v>382</v>
      </c>
      <c r="H197" s="53" t="s">
        <v>385</v>
      </c>
      <c r="I197" s="45">
        <f t="shared" si="39"/>
        <v>0</v>
      </c>
      <c r="J197" s="45">
        <f t="shared" si="40"/>
        <v>0</v>
      </c>
      <c r="K197" s="8"/>
      <c r="L197" s="8"/>
      <c r="M197" s="45">
        <f t="shared" si="41"/>
        <v>0</v>
      </c>
      <c r="N197" s="8"/>
      <c r="O197" s="8"/>
      <c r="P197" s="45">
        <f t="shared" si="42"/>
        <v>0</v>
      </c>
      <c r="Q197" s="8"/>
      <c r="R197" s="8"/>
      <c r="S197" s="45">
        <f t="shared" si="43"/>
        <v>0</v>
      </c>
      <c r="T197" s="45">
        <f t="shared" si="44"/>
        <v>0</v>
      </c>
      <c r="U197" s="8"/>
      <c r="V197" s="8"/>
      <c r="W197" s="45">
        <f t="shared" si="45"/>
        <v>0</v>
      </c>
      <c r="X197" s="8"/>
      <c r="Y197" s="8"/>
      <c r="Z197" s="45">
        <f t="shared" si="46"/>
        <v>0</v>
      </c>
      <c r="AA197" s="8"/>
      <c r="AB197" s="8"/>
      <c r="AC197" s="50">
        <f t="shared" si="47"/>
        <v>0</v>
      </c>
    </row>
    <row r="198" spans="7:29" ht="21" x14ac:dyDescent="0.15">
      <c r="G198" s="206" t="s">
        <v>384</v>
      </c>
      <c r="H198" s="4" t="s">
        <v>387</v>
      </c>
      <c r="I198" s="45">
        <f t="shared" si="39"/>
        <v>0</v>
      </c>
      <c r="J198" s="45">
        <f t="shared" si="40"/>
        <v>0</v>
      </c>
      <c r="K198" s="8"/>
      <c r="L198" s="8"/>
      <c r="M198" s="45">
        <f t="shared" si="41"/>
        <v>0</v>
      </c>
      <c r="N198" s="8"/>
      <c r="O198" s="8"/>
      <c r="P198" s="45">
        <f t="shared" si="42"/>
        <v>0</v>
      </c>
      <c r="Q198" s="8"/>
      <c r="R198" s="8"/>
      <c r="S198" s="45">
        <f t="shared" si="43"/>
        <v>0</v>
      </c>
      <c r="T198" s="45">
        <f t="shared" si="44"/>
        <v>0</v>
      </c>
      <c r="U198" s="8"/>
      <c r="V198" s="8"/>
      <c r="W198" s="45">
        <f t="shared" si="45"/>
        <v>0</v>
      </c>
      <c r="X198" s="8"/>
      <c r="Y198" s="8"/>
      <c r="Z198" s="45">
        <f t="shared" si="46"/>
        <v>0</v>
      </c>
      <c r="AA198" s="8"/>
      <c r="AB198" s="8"/>
      <c r="AC198" s="50">
        <f t="shared" si="47"/>
        <v>0</v>
      </c>
    </row>
    <row r="199" spans="7:29" x14ac:dyDescent="0.15">
      <c r="G199" s="205" t="s">
        <v>386</v>
      </c>
      <c r="H199" s="4" t="s">
        <v>389</v>
      </c>
      <c r="I199" s="45">
        <f t="shared" si="39"/>
        <v>0</v>
      </c>
      <c r="J199" s="45">
        <f t="shared" si="40"/>
        <v>0</v>
      </c>
      <c r="K199" s="8"/>
      <c r="L199" s="8"/>
      <c r="M199" s="45">
        <f t="shared" si="41"/>
        <v>0</v>
      </c>
      <c r="N199" s="8"/>
      <c r="O199" s="8"/>
      <c r="P199" s="45">
        <f t="shared" si="42"/>
        <v>0</v>
      </c>
      <c r="Q199" s="8"/>
      <c r="R199" s="8"/>
      <c r="S199" s="45">
        <f t="shared" si="43"/>
        <v>0</v>
      </c>
      <c r="T199" s="45">
        <f t="shared" si="44"/>
        <v>0</v>
      </c>
      <c r="U199" s="8"/>
      <c r="V199" s="8"/>
      <c r="W199" s="45">
        <f t="shared" si="45"/>
        <v>0</v>
      </c>
      <c r="X199" s="8"/>
      <c r="Y199" s="8"/>
      <c r="Z199" s="45">
        <f t="shared" si="46"/>
        <v>0</v>
      </c>
      <c r="AA199" s="8"/>
      <c r="AB199" s="8"/>
      <c r="AC199" s="50">
        <f t="shared" si="47"/>
        <v>0</v>
      </c>
    </row>
    <row r="200" spans="7:29" x14ac:dyDescent="0.15">
      <c r="G200" s="205" t="s">
        <v>388</v>
      </c>
      <c r="H200" s="53" t="s">
        <v>391</v>
      </c>
      <c r="I200" s="45">
        <f t="shared" si="39"/>
        <v>0</v>
      </c>
      <c r="J200" s="45">
        <f t="shared" si="40"/>
        <v>0</v>
      </c>
      <c r="K200" s="8"/>
      <c r="L200" s="8"/>
      <c r="M200" s="45">
        <f t="shared" si="41"/>
        <v>0</v>
      </c>
      <c r="N200" s="8"/>
      <c r="O200" s="8"/>
      <c r="P200" s="45">
        <f t="shared" si="42"/>
        <v>0</v>
      </c>
      <c r="Q200" s="8"/>
      <c r="R200" s="8"/>
      <c r="S200" s="45">
        <f t="shared" si="43"/>
        <v>0</v>
      </c>
      <c r="T200" s="45">
        <f t="shared" si="44"/>
        <v>0</v>
      </c>
      <c r="U200" s="8"/>
      <c r="V200" s="8"/>
      <c r="W200" s="45">
        <f t="shared" si="45"/>
        <v>0</v>
      </c>
      <c r="X200" s="8"/>
      <c r="Y200" s="8"/>
      <c r="Z200" s="45">
        <f t="shared" si="46"/>
        <v>0</v>
      </c>
      <c r="AA200" s="8"/>
      <c r="AB200" s="8"/>
      <c r="AC200" s="50">
        <f t="shared" si="47"/>
        <v>0</v>
      </c>
    </row>
    <row r="201" spans="7:29" x14ac:dyDescent="0.15">
      <c r="G201" s="205" t="s">
        <v>390</v>
      </c>
      <c r="H201" s="4" t="s">
        <v>393</v>
      </c>
      <c r="I201" s="45">
        <f t="shared" si="39"/>
        <v>0</v>
      </c>
      <c r="J201" s="45">
        <f t="shared" si="40"/>
        <v>0</v>
      </c>
      <c r="K201" s="8"/>
      <c r="L201" s="8"/>
      <c r="M201" s="45">
        <f t="shared" si="41"/>
        <v>0</v>
      </c>
      <c r="N201" s="8"/>
      <c r="O201" s="8"/>
      <c r="P201" s="45">
        <f t="shared" si="42"/>
        <v>0</v>
      </c>
      <c r="Q201" s="8"/>
      <c r="R201" s="8"/>
      <c r="S201" s="45">
        <f t="shared" si="43"/>
        <v>0</v>
      </c>
      <c r="T201" s="45">
        <f t="shared" si="44"/>
        <v>0</v>
      </c>
      <c r="U201" s="8"/>
      <c r="V201" s="8"/>
      <c r="W201" s="45">
        <f t="shared" si="45"/>
        <v>0</v>
      </c>
      <c r="X201" s="8"/>
      <c r="Y201" s="8"/>
      <c r="Z201" s="45">
        <f t="shared" si="46"/>
        <v>0</v>
      </c>
      <c r="AA201" s="8"/>
      <c r="AB201" s="8"/>
      <c r="AC201" s="50">
        <f t="shared" si="47"/>
        <v>0</v>
      </c>
    </row>
    <row r="202" spans="7:29" x14ac:dyDescent="0.15">
      <c r="G202" s="205" t="s">
        <v>392</v>
      </c>
      <c r="H202" s="4" t="s">
        <v>395</v>
      </c>
      <c r="I202" s="45">
        <f t="shared" si="39"/>
        <v>0</v>
      </c>
      <c r="J202" s="45">
        <f t="shared" si="40"/>
        <v>0</v>
      </c>
      <c r="K202" s="8"/>
      <c r="L202" s="8"/>
      <c r="M202" s="45">
        <f t="shared" si="41"/>
        <v>0</v>
      </c>
      <c r="N202" s="8"/>
      <c r="O202" s="8"/>
      <c r="P202" s="45">
        <f t="shared" si="42"/>
        <v>0</v>
      </c>
      <c r="Q202" s="8"/>
      <c r="R202" s="8"/>
      <c r="S202" s="45">
        <f t="shared" si="43"/>
        <v>0</v>
      </c>
      <c r="T202" s="45">
        <f t="shared" si="44"/>
        <v>0</v>
      </c>
      <c r="U202" s="8"/>
      <c r="V202" s="8"/>
      <c r="W202" s="45">
        <f t="shared" si="45"/>
        <v>0</v>
      </c>
      <c r="X202" s="8"/>
      <c r="Y202" s="8"/>
      <c r="Z202" s="45">
        <f t="shared" si="46"/>
        <v>0</v>
      </c>
      <c r="AA202" s="8"/>
      <c r="AB202" s="8"/>
      <c r="AC202" s="50">
        <f t="shared" si="47"/>
        <v>0</v>
      </c>
    </row>
    <row r="203" spans="7:29" x14ac:dyDescent="0.15">
      <c r="G203" s="205" t="s">
        <v>394</v>
      </c>
      <c r="H203" s="53" t="s">
        <v>397</v>
      </c>
      <c r="I203" s="45">
        <f t="shared" si="39"/>
        <v>0</v>
      </c>
      <c r="J203" s="45">
        <f t="shared" si="40"/>
        <v>0</v>
      </c>
      <c r="K203" s="8"/>
      <c r="L203" s="8"/>
      <c r="M203" s="45">
        <f t="shared" si="41"/>
        <v>0</v>
      </c>
      <c r="N203" s="8"/>
      <c r="O203" s="8"/>
      <c r="P203" s="45">
        <f t="shared" si="42"/>
        <v>0</v>
      </c>
      <c r="Q203" s="8"/>
      <c r="R203" s="8"/>
      <c r="S203" s="45">
        <f t="shared" si="43"/>
        <v>0</v>
      </c>
      <c r="T203" s="45">
        <f t="shared" si="44"/>
        <v>0</v>
      </c>
      <c r="U203" s="8"/>
      <c r="V203" s="8"/>
      <c r="W203" s="45">
        <f t="shared" si="45"/>
        <v>0</v>
      </c>
      <c r="X203" s="8"/>
      <c r="Y203" s="8"/>
      <c r="Z203" s="45">
        <f t="shared" si="46"/>
        <v>0</v>
      </c>
      <c r="AA203" s="8"/>
      <c r="AB203" s="8"/>
      <c r="AC203" s="50">
        <f t="shared" si="47"/>
        <v>0</v>
      </c>
    </row>
    <row r="204" spans="7:29" x14ac:dyDescent="0.15">
      <c r="G204" s="205" t="s">
        <v>396</v>
      </c>
      <c r="H204" s="4" t="s">
        <v>399</v>
      </c>
      <c r="I204" s="45">
        <f t="shared" si="39"/>
        <v>0</v>
      </c>
      <c r="J204" s="45">
        <f t="shared" si="40"/>
        <v>0</v>
      </c>
      <c r="K204" s="8"/>
      <c r="L204" s="8"/>
      <c r="M204" s="45">
        <f t="shared" si="41"/>
        <v>0</v>
      </c>
      <c r="N204" s="8"/>
      <c r="O204" s="8"/>
      <c r="P204" s="45">
        <f t="shared" si="42"/>
        <v>0</v>
      </c>
      <c r="Q204" s="8"/>
      <c r="R204" s="8"/>
      <c r="S204" s="45">
        <f t="shared" si="43"/>
        <v>0</v>
      </c>
      <c r="T204" s="45">
        <f t="shared" si="44"/>
        <v>0</v>
      </c>
      <c r="U204" s="8"/>
      <c r="V204" s="8"/>
      <c r="W204" s="45">
        <f t="shared" si="45"/>
        <v>0</v>
      </c>
      <c r="X204" s="8"/>
      <c r="Y204" s="8"/>
      <c r="Z204" s="45">
        <f t="shared" si="46"/>
        <v>0</v>
      </c>
      <c r="AA204" s="8"/>
      <c r="AB204" s="8"/>
      <c r="AC204" s="50">
        <f t="shared" si="47"/>
        <v>0</v>
      </c>
    </row>
    <row r="205" spans="7:29" x14ac:dyDescent="0.15">
      <c r="G205" s="205" t="s">
        <v>398</v>
      </c>
      <c r="H205" s="4" t="s">
        <v>401</v>
      </c>
      <c r="I205" s="45">
        <f t="shared" ref="I205:I269" si="53">J205+M205+P205</f>
        <v>0</v>
      </c>
      <c r="J205" s="45">
        <f t="shared" ref="J205:J269" si="54">K205+L205</f>
        <v>0</v>
      </c>
      <c r="K205" s="8"/>
      <c r="L205" s="8"/>
      <c r="M205" s="45">
        <f t="shared" ref="M205:M269" si="55">N205+O205</f>
        <v>0</v>
      </c>
      <c r="N205" s="8"/>
      <c r="O205" s="8"/>
      <c r="P205" s="45">
        <f t="shared" ref="P205:P269" si="56">Q205+R205</f>
        <v>0</v>
      </c>
      <c r="Q205" s="8"/>
      <c r="R205" s="8"/>
      <c r="S205" s="45">
        <f t="shared" ref="S205:S269" si="57">T205+W205+Z205</f>
        <v>0</v>
      </c>
      <c r="T205" s="45">
        <f t="shared" ref="T205:T269" si="58">U205+V205</f>
        <v>0</v>
      </c>
      <c r="U205" s="8"/>
      <c r="V205" s="8"/>
      <c r="W205" s="45">
        <f t="shared" ref="W205:W269" si="59">X205+Y205</f>
        <v>0</v>
      </c>
      <c r="X205" s="8"/>
      <c r="Y205" s="8"/>
      <c r="Z205" s="45">
        <f t="shared" ref="Z205:Z269" si="60">AA205+AB205</f>
        <v>0</v>
      </c>
      <c r="AA205" s="8"/>
      <c r="AB205" s="8"/>
      <c r="AC205" s="50">
        <f t="shared" ref="AC205:AC269" si="61">SUM(I205:AB205)</f>
        <v>0</v>
      </c>
    </row>
    <row r="206" spans="7:29" ht="21" x14ac:dyDescent="0.15">
      <c r="G206" s="205" t="s">
        <v>400</v>
      </c>
      <c r="H206" s="53" t="s">
        <v>403</v>
      </c>
      <c r="I206" s="45">
        <f t="shared" si="53"/>
        <v>0</v>
      </c>
      <c r="J206" s="45">
        <f t="shared" si="54"/>
        <v>0</v>
      </c>
      <c r="K206" s="8"/>
      <c r="L206" s="8"/>
      <c r="M206" s="45">
        <f t="shared" si="55"/>
        <v>0</v>
      </c>
      <c r="N206" s="8"/>
      <c r="O206" s="8"/>
      <c r="P206" s="45">
        <f t="shared" si="56"/>
        <v>0</v>
      </c>
      <c r="Q206" s="8"/>
      <c r="R206" s="8"/>
      <c r="S206" s="45">
        <f t="shared" si="57"/>
        <v>0</v>
      </c>
      <c r="T206" s="45">
        <f t="shared" si="58"/>
        <v>0</v>
      </c>
      <c r="U206" s="8"/>
      <c r="V206" s="8"/>
      <c r="W206" s="45">
        <f t="shared" si="59"/>
        <v>0</v>
      </c>
      <c r="X206" s="8"/>
      <c r="Y206" s="8"/>
      <c r="Z206" s="45">
        <f t="shared" si="60"/>
        <v>0</v>
      </c>
      <c r="AA206" s="8"/>
      <c r="AB206" s="8"/>
      <c r="AC206" s="50">
        <f t="shared" si="61"/>
        <v>0</v>
      </c>
    </row>
    <row r="207" spans="7:29" ht="21" x14ac:dyDescent="0.15">
      <c r="G207" s="205" t="s">
        <v>402</v>
      </c>
      <c r="H207" s="4" t="s">
        <v>405</v>
      </c>
      <c r="I207" s="45">
        <f t="shared" si="53"/>
        <v>0</v>
      </c>
      <c r="J207" s="45">
        <f t="shared" si="54"/>
        <v>0</v>
      </c>
      <c r="K207" s="8"/>
      <c r="L207" s="8"/>
      <c r="M207" s="45">
        <f t="shared" si="55"/>
        <v>0</v>
      </c>
      <c r="N207" s="8"/>
      <c r="O207" s="8"/>
      <c r="P207" s="45">
        <f t="shared" si="56"/>
        <v>0</v>
      </c>
      <c r="Q207" s="8"/>
      <c r="R207" s="8"/>
      <c r="S207" s="45">
        <f t="shared" si="57"/>
        <v>0</v>
      </c>
      <c r="T207" s="45">
        <f t="shared" si="58"/>
        <v>0</v>
      </c>
      <c r="U207" s="8"/>
      <c r="V207" s="8"/>
      <c r="W207" s="45">
        <f t="shared" si="59"/>
        <v>0</v>
      </c>
      <c r="X207" s="8"/>
      <c r="Y207" s="8"/>
      <c r="Z207" s="45">
        <f t="shared" si="60"/>
        <v>0</v>
      </c>
      <c r="AA207" s="8"/>
      <c r="AB207" s="8"/>
      <c r="AC207" s="50">
        <f t="shared" si="61"/>
        <v>0</v>
      </c>
    </row>
    <row r="208" spans="7:29" x14ac:dyDescent="0.15">
      <c r="G208" s="205" t="s">
        <v>404</v>
      </c>
      <c r="H208" s="4" t="s">
        <v>407</v>
      </c>
      <c r="I208" s="45">
        <f t="shared" si="53"/>
        <v>0</v>
      </c>
      <c r="J208" s="45">
        <f t="shared" si="54"/>
        <v>0</v>
      </c>
      <c r="K208" s="8"/>
      <c r="L208" s="8"/>
      <c r="M208" s="45">
        <f t="shared" si="55"/>
        <v>0</v>
      </c>
      <c r="N208" s="8"/>
      <c r="O208" s="8"/>
      <c r="P208" s="45">
        <f t="shared" si="56"/>
        <v>0</v>
      </c>
      <c r="Q208" s="8"/>
      <c r="R208" s="8"/>
      <c r="S208" s="45">
        <f t="shared" si="57"/>
        <v>0</v>
      </c>
      <c r="T208" s="45">
        <f t="shared" si="58"/>
        <v>0</v>
      </c>
      <c r="U208" s="8"/>
      <c r="V208" s="8"/>
      <c r="W208" s="45">
        <f t="shared" si="59"/>
        <v>0</v>
      </c>
      <c r="X208" s="8"/>
      <c r="Y208" s="8"/>
      <c r="Z208" s="45">
        <f t="shared" si="60"/>
        <v>0</v>
      </c>
      <c r="AA208" s="8"/>
      <c r="AB208" s="8"/>
      <c r="AC208" s="50">
        <f t="shared" si="61"/>
        <v>0</v>
      </c>
    </row>
    <row r="209" spans="7:29" ht="21" x14ac:dyDescent="0.15">
      <c r="G209" s="205" t="s">
        <v>406</v>
      </c>
      <c r="H209" s="53" t="s">
        <v>409</v>
      </c>
      <c r="I209" s="45">
        <f t="shared" si="53"/>
        <v>0</v>
      </c>
      <c r="J209" s="45">
        <f t="shared" si="54"/>
        <v>0</v>
      </c>
      <c r="K209" s="8"/>
      <c r="L209" s="8"/>
      <c r="M209" s="45">
        <f t="shared" si="55"/>
        <v>0</v>
      </c>
      <c r="N209" s="8"/>
      <c r="O209" s="8"/>
      <c r="P209" s="45">
        <f t="shared" si="56"/>
        <v>0</v>
      </c>
      <c r="Q209" s="8"/>
      <c r="R209" s="8"/>
      <c r="S209" s="45">
        <f t="shared" si="57"/>
        <v>0</v>
      </c>
      <c r="T209" s="45">
        <f t="shared" si="58"/>
        <v>0</v>
      </c>
      <c r="U209" s="8"/>
      <c r="V209" s="8"/>
      <c r="W209" s="45">
        <f t="shared" si="59"/>
        <v>0</v>
      </c>
      <c r="X209" s="8"/>
      <c r="Y209" s="8"/>
      <c r="Z209" s="45">
        <f t="shared" si="60"/>
        <v>0</v>
      </c>
      <c r="AA209" s="8"/>
      <c r="AB209" s="8"/>
      <c r="AC209" s="50">
        <f t="shared" si="61"/>
        <v>0</v>
      </c>
    </row>
    <row r="210" spans="7:29" x14ac:dyDescent="0.15">
      <c r="G210" s="205" t="s">
        <v>408</v>
      </c>
      <c r="H210" s="4" t="s">
        <v>411</v>
      </c>
      <c r="I210" s="45">
        <f t="shared" si="53"/>
        <v>0</v>
      </c>
      <c r="J210" s="45">
        <f t="shared" si="54"/>
        <v>0</v>
      </c>
      <c r="K210" s="46">
        <f t="shared" ref="K210:AB210" si="62">SUM(K211:K216)</f>
        <v>0</v>
      </c>
      <c r="L210" s="46">
        <f t="shared" si="62"/>
        <v>0</v>
      </c>
      <c r="M210" s="45">
        <f t="shared" si="55"/>
        <v>0</v>
      </c>
      <c r="N210" s="46">
        <f t="shared" si="62"/>
        <v>0</v>
      </c>
      <c r="O210" s="46">
        <f t="shared" si="62"/>
        <v>0</v>
      </c>
      <c r="P210" s="45">
        <f t="shared" si="56"/>
        <v>0</v>
      </c>
      <c r="Q210" s="46">
        <f t="shared" si="62"/>
        <v>0</v>
      </c>
      <c r="R210" s="46">
        <f t="shared" si="62"/>
        <v>0</v>
      </c>
      <c r="S210" s="45">
        <f t="shared" si="57"/>
        <v>0</v>
      </c>
      <c r="T210" s="45">
        <f t="shared" si="58"/>
        <v>0</v>
      </c>
      <c r="U210" s="46">
        <f t="shared" si="62"/>
        <v>0</v>
      </c>
      <c r="V210" s="46">
        <f t="shared" si="62"/>
        <v>0</v>
      </c>
      <c r="W210" s="45">
        <f t="shared" si="59"/>
        <v>0</v>
      </c>
      <c r="X210" s="46">
        <f t="shared" si="62"/>
        <v>0</v>
      </c>
      <c r="Y210" s="46">
        <f t="shared" si="62"/>
        <v>0</v>
      </c>
      <c r="Z210" s="45">
        <f t="shared" si="60"/>
        <v>0</v>
      </c>
      <c r="AA210" s="46">
        <f t="shared" si="62"/>
        <v>0</v>
      </c>
      <c r="AB210" s="46">
        <f t="shared" si="62"/>
        <v>0</v>
      </c>
      <c r="AC210" s="50">
        <f t="shared" si="61"/>
        <v>0</v>
      </c>
    </row>
    <row r="211" spans="7:29" ht="21" x14ac:dyDescent="0.15">
      <c r="G211" s="206" t="s">
        <v>410</v>
      </c>
      <c r="H211" s="4" t="s">
        <v>413</v>
      </c>
      <c r="I211" s="45">
        <f t="shared" si="53"/>
        <v>0</v>
      </c>
      <c r="J211" s="45">
        <f t="shared" si="54"/>
        <v>0</v>
      </c>
      <c r="K211" s="8"/>
      <c r="L211" s="8"/>
      <c r="M211" s="45">
        <f t="shared" si="55"/>
        <v>0</v>
      </c>
      <c r="N211" s="8"/>
      <c r="O211" s="8"/>
      <c r="P211" s="45">
        <f t="shared" si="56"/>
        <v>0</v>
      </c>
      <c r="Q211" s="8"/>
      <c r="R211" s="8"/>
      <c r="S211" s="45">
        <f t="shared" si="57"/>
        <v>0</v>
      </c>
      <c r="T211" s="45">
        <f t="shared" si="58"/>
        <v>0</v>
      </c>
      <c r="U211" s="8"/>
      <c r="V211" s="8"/>
      <c r="W211" s="45">
        <f t="shared" si="59"/>
        <v>0</v>
      </c>
      <c r="X211" s="8"/>
      <c r="Y211" s="8"/>
      <c r="Z211" s="45">
        <f t="shared" si="60"/>
        <v>0</v>
      </c>
      <c r="AA211" s="8"/>
      <c r="AB211" s="8"/>
      <c r="AC211" s="50">
        <f t="shared" si="61"/>
        <v>0</v>
      </c>
    </row>
    <row r="212" spans="7:29" x14ac:dyDescent="0.15">
      <c r="G212" s="206" t="s">
        <v>412</v>
      </c>
      <c r="H212" s="53" t="s">
        <v>415</v>
      </c>
      <c r="I212" s="45">
        <f t="shared" si="53"/>
        <v>0</v>
      </c>
      <c r="J212" s="45">
        <f t="shared" si="54"/>
        <v>0</v>
      </c>
      <c r="K212" s="8"/>
      <c r="L212" s="8"/>
      <c r="M212" s="45">
        <f t="shared" si="55"/>
        <v>0</v>
      </c>
      <c r="N212" s="8"/>
      <c r="O212" s="8"/>
      <c r="P212" s="45">
        <f t="shared" si="56"/>
        <v>0</v>
      </c>
      <c r="Q212" s="8"/>
      <c r="R212" s="8"/>
      <c r="S212" s="45">
        <f t="shared" si="57"/>
        <v>0</v>
      </c>
      <c r="T212" s="45">
        <f t="shared" si="58"/>
        <v>0</v>
      </c>
      <c r="U212" s="8"/>
      <c r="V212" s="8"/>
      <c r="W212" s="45">
        <f t="shared" si="59"/>
        <v>0</v>
      </c>
      <c r="X212" s="8"/>
      <c r="Y212" s="8"/>
      <c r="Z212" s="45">
        <f t="shared" si="60"/>
        <v>0</v>
      </c>
      <c r="AA212" s="8"/>
      <c r="AB212" s="8"/>
      <c r="AC212" s="50">
        <f t="shared" si="61"/>
        <v>0</v>
      </c>
    </row>
    <row r="213" spans="7:29" x14ac:dyDescent="0.15">
      <c r="G213" s="206" t="s">
        <v>414</v>
      </c>
      <c r="H213" s="4" t="s">
        <v>417</v>
      </c>
      <c r="I213" s="45">
        <f t="shared" si="53"/>
        <v>0</v>
      </c>
      <c r="J213" s="45">
        <f t="shared" si="54"/>
        <v>0</v>
      </c>
      <c r="K213" s="8"/>
      <c r="L213" s="8"/>
      <c r="M213" s="45">
        <f t="shared" si="55"/>
        <v>0</v>
      </c>
      <c r="N213" s="8"/>
      <c r="O213" s="8"/>
      <c r="P213" s="45">
        <f t="shared" si="56"/>
        <v>0</v>
      </c>
      <c r="Q213" s="8"/>
      <c r="R213" s="8"/>
      <c r="S213" s="45">
        <f t="shared" si="57"/>
        <v>0</v>
      </c>
      <c r="T213" s="45">
        <f t="shared" si="58"/>
        <v>0</v>
      </c>
      <c r="U213" s="8"/>
      <c r="V213" s="8"/>
      <c r="W213" s="45">
        <f t="shared" si="59"/>
        <v>0</v>
      </c>
      <c r="X213" s="8"/>
      <c r="Y213" s="8"/>
      <c r="Z213" s="45">
        <f t="shared" si="60"/>
        <v>0</v>
      </c>
      <c r="AA213" s="8"/>
      <c r="AB213" s="8"/>
      <c r="AC213" s="50">
        <f t="shared" si="61"/>
        <v>0</v>
      </c>
    </row>
    <row r="214" spans="7:29" x14ac:dyDescent="0.15">
      <c r="G214" s="206" t="s">
        <v>416</v>
      </c>
      <c r="H214" s="4" t="s">
        <v>419</v>
      </c>
      <c r="I214" s="45">
        <f t="shared" si="53"/>
        <v>0</v>
      </c>
      <c r="J214" s="45">
        <f t="shared" si="54"/>
        <v>0</v>
      </c>
      <c r="K214" s="8"/>
      <c r="L214" s="8"/>
      <c r="M214" s="45">
        <f t="shared" si="55"/>
        <v>0</v>
      </c>
      <c r="N214" s="8"/>
      <c r="O214" s="8"/>
      <c r="P214" s="45">
        <f t="shared" si="56"/>
        <v>0</v>
      </c>
      <c r="Q214" s="8"/>
      <c r="R214" s="8"/>
      <c r="S214" s="45">
        <f t="shared" si="57"/>
        <v>0</v>
      </c>
      <c r="T214" s="45">
        <f t="shared" si="58"/>
        <v>0</v>
      </c>
      <c r="U214" s="8"/>
      <c r="V214" s="8"/>
      <c r="W214" s="45">
        <f t="shared" si="59"/>
        <v>0</v>
      </c>
      <c r="X214" s="8"/>
      <c r="Y214" s="8"/>
      <c r="Z214" s="45">
        <f t="shared" si="60"/>
        <v>0</v>
      </c>
      <c r="AA214" s="8"/>
      <c r="AB214" s="8"/>
      <c r="AC214" s="50">
        <f t="shared" si="61"/>
        <v>0</v>
      </c>
    </row>
    <row r="215" spans="7:29" x14ac:dyDescent="0.15">
      <c r="G215" s="206" t="s">
        <v>418</v>
      </c>
      <c r="H215" s="53" t="s">
        <v>421</v>
      </c>
      <c r="I215" s="45">
        <f t="shared" si="53"/>
        <v>0</v>
      </c>
      <c r="J215" s="45">
        <f t="shared" si="54"/>
        <v>0</v>
      </c>
      <c r="K215" s="8"/>
      <c r="L215" s="8"/>
      <c r="M215" s="45">
        <f t="shared" si="55"/>
        <v>0</v>
      </c>
      <c r="N215" s="8"/>
      <c r="O215" s="8"/>
      <c r="P215" s="45">
        <f t="shared" si="56"/>
        <v>0</v>
      </c>
      <c r="Q215" s="8"/>
      <c r="R215" s="8"/>
      <c r="S215" s="45">
        <f t="shared" si="57"/>
        <v>0</v>
      </c>
      <c r="T215" s="45">
        <f t="shared" si="58"/>
        <v>0</v>
      </c>
      <c r="U215" s="8"/>
      <c r="V215" s="8"/>
      <c r="W215" s="45">
        <f t="shared" si="59"/>
        <v>0</v>
      </c>
      <c r="X215" s="8"/>
      <c r="Y215" s="8"/>
      <c r="Z215" s="45">
        <f t="shared" si="60"/>
        <v>0</v>
      </c>
      <c r="AA215" s="8"/>
      <c r="AB215" s="8"/>
      <c r="AC215" s="50">
        <f t="shared" si="61"/>
        <v>0</v>
      </c>
    </row>
    <row r="216" spans="7:29" x14ac:dyDescent="0.15">
      <c r="G216" s="206" t="s">
        <v>420</v>
      </c>
      <c r="H216" s="4" t="s">
        <v>423</v>
      </c>
      <c r="I216" s="45">
        <f t="shared" si="53"/>
        <v>0</v>
      </c>
      <c r="J216" s="45">
        <f t="shared" si="54"/>
        <v>0</v>
      </c>
      <c r="K216" s="8"/>
      <c r="L216" s="8"/>
      <c r="M216" s="45">
        <f t="shared" si="55"/>
        <v>0</v>
      </c>
      <c r="N216" s="8"/>
      <c r="O216" s="8"/>
      <c r="P216" s="45">
        <f t="shared" si="56"/>
        <v>0</v>
      </c>
      <c r="Q216" s="8"/>
      <c r="R216" s="8"/>
      <c r="S216" s="45">
        <f t="shared" si="57"/>
        <v>0</v>
      </c>
      <c r="T216" s="45">
        <f t="shared" si="58"/>
        <v>0</v>
      </c>
      <c r="U216" s="8"/>
      <c r="V216" s="8"/>
      <c r="W216" s="45">
        <f t="shared" si="59"/>
        <v>0</v>
      </c>
      <c r="X216" s="8"/>
      <c r="Y216" s="8"/>
      <c r="Z216" s="45">
        <f t="shared" si="60"/>
        <v>0</v>
      </c>
      <c r="AA216" s="8"/>
      <c r="AB216" s="8"/>
      <c r="AC216" s="50">
        <f t="shared" si="61"/>
        <v>0</v>
      </c>
    </row>
    <row r="217" spans="7:29" x14ac:dyDescent="0.15">
      <c r="G217" s="205" t="s">
        <v>422</v>
      </c>
      <c r="H217" s="4" t="s">
        <v>425</v>
      </c>
      <c r="I217" s="45">
        <f t="shared" si="53"/>
        <v>0</v>
      </c>
      <c r="J217" s="45">
        <f t="shared" si="54"/>
        <v>0</v>
      </c>
      <c r="K217" s="8"/>
      <c r="L217" s="8"/>
      <c r="M217" s="45">
        <f t="shared" si="55"/>
        <v>0</v>
      </c>
      <c r="N217" s="8"/>
      <c r="O217" s="8"/>
      <c r="P217" s="45">
        <f t="shared" si="56"/>
        <v>0</v>
      </c>
      <c r="Q217" s="8"/>
      <c r="R217" s="8"/>
      <c r="S217" s="45">
        <f t="shared" si="57"/>
        <v>0</v>
      </c>
      <c r="T217" s="45">
        <f t="shared" si="58"/>
        <v>0</v>
      </c>
      <c r="U217" s="8"/>
      <c r="V217" s="8"/>
      <c r="W217" s="45">
        <f t="shared" si="59"/>
        <v>0</v>
      </c>
      <c r="X217" s="8"/>
      <c r="Y217" s="8"/>
      <c r="Z217" s="45">
        <f t="shared" si="60"/>
        <v>0</v>
      </c>
      <c r="AA217" s="8"/>
      <c r="AB217" s="8"/>
      <c r="AC217" s="50">
        <f t="shared" si="61"/>
        <v>0</v>
      </c>
    </row>
    <row r="218" spans="7:29" x14ac:dyDescent="0.15">
      <c r="G218" s="205" t="s">
        <v>424</v>
      </c>
      <c r="H218" s="53" t="s">
        <v>427</v>
      </c>
      <c r="I218" s="45">
        <f t="shared" si="53"/>
        <v>0</v>
      </c>
      <c r="J218" s="45">
        <f t="shared" si="54"/>
        <v>0</v>
      </c>
      <c r="K218" s="8"/>
      <c r="L218" s="8"/>
      <c r="M218" s="45">
        <f t="shared" si="55"/>
        <v>0</v>
      </c>
      <c r="N218" s="8"/>
      <c r="O218" s="8"/>
      <c r="P218" s="45">
        <f t="shared" si="56"/>
        <v>0</v>
      </c>
      <c r="Q218" s="8"/>
      <c r="R218" s="8"/>
      <c r="S218" s="45">
        <f t="shared" si="57"/>
        <v>0</v>
      </c>
      <c r="T218" s="45">
        <f t="shared" si="58"/>
        <v>0</v>
      </c>
      <c r="U218" s="8"/>
      <c r="V218" s="8"/>
      <c r="W218" s="45">
        <f t="shared" si="59"/>
        <v>0</v>
      </c>
      <c r="X218" s="8"/>
      <c r="Y218" s="8"/>
      <c r="Z218" s="45">
        <f t="shared" si="60"/>
        <v>0</v>
      </c>
      <c r="AA218" s="8"/>
      <c r="AB218" s="8"/>
      <c r="AC218" s="50">
        <f t="shared" si="61"/>
        <v>0</v>
      </c>
    </row>
    <row r="219" spans="7:29" x14ac:dyDescent="0.15">
      <c r="G219" s="205" t="s">
        <v>426</v>
      </c>
      <c r="H219" s="4" t="s">
        <v>429</v>
      </c>
      <c r="I219" s="45">
        <f t="shared" si="53"/>
        <v>0</v>
      </c>
      <c r="J219" s="45">
        <f t="shared" si="54"/>
        <v>0</v>
      </c>
      <c r="K219" s="8"/>
      <c r="L219" s="8"/>
      <c r="M219" s="45">
        <f t="shared" si="55"/>
        <v>0</v>
      </c>
      <c r="N219" s="8"/>
      <c r="O219" s="8"/>
      <c r="P219" s="45">
        <f t="shared" si="56"/>
        <v>0</v>
      </c>
      <c r="Q219" s="8"/>
      <c r="R219" s="8"/>
      <c r="S219" s="45">
        <f t="shared" si="57"/>
        <v>0</v>
      </c>
      <c r="T219" s="45">
        <f t="shared" si="58"/>
        <v>0</v>
      </c>
      <c r="U219" s="8"/>
      <c r="V219" s="8"/>
      <c r="W219" s="45">
        <f t="shared" si="59"/>
        <v>0</v>
      </c>
      <c r="X219" s="8"/>
      <c r="Y219" s="8"/>
      <c r="Z219" s="45">
        <f t="shared" si="60"/>
        <v>0</v>
      </c>
      <c r="AA219" s="8"/>
      <c r="AB219" s="8"/>
      <c r="AC219" s="50">
        <f t="shared" si="61"/>
        <v>0</v>
      </c>
    </row>
    <row r="220" spans="7:29" x14ac:dyDescent="0.15">
      <c r="G220" s="205" t="s">
        <v>428</v>
      </c>
      <c r="H220" s="4" t="s">
        <v>431</v>
      </c>
      <c r="I220" s="45">
        <f t="shared" si="53"/>
        <v>0</v>
      </c>
      <c r="J220" s="45">
        <f t="shared" si="54"/>
        <v>0</v>
      </c>
      <c r="K220" s="8"/>
      <c r="L220" s="8"/>
      <c r="M220" s="45">
        <f t="shared" si="55"/>
        <v>0</v>
      </c>
      <c r="N220" s="8"/>
      <c r="O220" s="8"/>
      <c r="P220" s="45">
        <f t="shared" si="56"/>
        <v>0</v>
      </c>
      <c r="Q220" s="8"/>
      <c r="R220" s="8"/>
      <c r="S220" s="45">
        <f t="shared" si="57"/>
        <v>0</v>
      </c>
      <c r="T220" s="45">
        <f t="shared" si="58"/>
        <v>0</v>
      </c>
      <c r="U220" s="8"/>
      <c r="V220" s="8"/>
      <c r="W220" s="45">
        <f t="shared" si="59"/>
        <v>0</v>
      </c>
      <c r="X220" s="8"/>
      <c r="Y220" s="8"/>
      <c r="Z220" s="45">
        <f t="shared" si="60"/>
        <v>0</v>
      </c>
      <c r="AA220" s="8"/>
      <c r="AB220" s="8"/>
      <c r="AC220" s="50">
        <f t="shared" si="61"/>
        <v>0</v>
      </c>
    </row>
    <row r="221" spans="7:29" x14ac:dyDescent="0.15">
      <c r="G221" s="205" t="s">
        <v>430</v>
      </c>
      <c r="H221" s="53" t="s">
        <v>433</v>
      </c>
      <c r="I221" s="45">
        <f t="shared" si="53"/>
        <v>0</v>
      </c>
      <c r="J221" s="45">
        <f t="shared" si="54"/>
        <v>0</v>
      </c>
      <c r="K221" s="8"/>
      <c r="L221" s="8"/>
      <c r="M221" s="45">
        <f t="shared" si="55"/>
        <v>0</v>
      </c>
      <c r="N221" s="8"/>
      <c r="O221" s="8"/>
      <c r="P221" s="45">
        <f t="shared" si="56"/>
        <v>0</v>
      </c>
      <c r="Q221" s="8"/>
      <c r="R221" s="8"/>
      <c r="S221" s="45">
        <f t="shared" si="57"/>
        <v>0</v>
      </c>
      <c r="T221" s="45">
        <f t="shared" si="58"/>
        <v>0</v>
      </c>
      <c r="U221" s="8"/>
      <c r="V221" s="8"/>
      <c r="W221" s="45">
        <f t="shared" si="59"/>
        <v>0</v>
      </c>
      <c r="X221" s="8"/>
      <c r="Y221" s="8"/>
      <c r="Z221" s="45">
        <f t="shared" si="60"/>
        <v>0</v>
      </c>
      <c r="AA221" s="8"/>
      <c r="AB221" s="8"/>
      <c r="AC221" s="50">
        <f t="shared" si="61"/>
        <v>0</v>
      </c>
    </row>
    <row r="222" spans="7:29" x14ac:dyDescent="0.15">
      <c r="G222" s="205" t="s">
        <v>432</v>
      </c>
      <c r="H222" s="4" t="s">
        <v>435</v>
      </c>
      <c r="I222" s="45">
        <f t="shared" si="53"/>
        <v>0</v>
      </c>
      <c r="J222" s="45">
        <f t="shared" si="54"/>
        <v>0</v>
      </c>
      <c r="K222" s="8"/>
      <c r="L222" s="8"/>
      <c r="M222" s="45">
        <f t="shared" si="55"/>
        <v>0</v>
      </c>
      <c r="N222" s="8"/>
      <c r="O222" s="8"/>
      <c r="P222" s="45">
        <f t="shared" si="56"/>
        <v>0</v>
      </c>
      <c r="Q222" s="8"/>
      <c r="R222" s="8"/>
      <c r="S222" s="45">
        <f t="shared" si="57"/>
        <v>0</v>
      </c>
      <c r="T222" s="45">
        <f t="shared" si="58"/>
        <v>0</v>
      </c>
      <c r="U222" s="8"/>
      <c r="V222" s="8"/>
      <c r="W222" s="45">
        <f t="shared" si="59"/>
        <v>0</v>
      </c>
      <c r="X222" s="8"/>
      <c r="Y222" s="8"/>
      <c r="Z222" s="45">
        <f t="shared" si="60"/>
        <v>0</v>
      </c>
      <c r="AA222" s="8"/>
      <c r="AB222" s="8"/>
      <c r="AC222" s="50">
        <f t="shared" si="61"/>
        <v>0</v>
      </c>
    </row>
    <row r="223" spans="7:29" x14ac:dyDescent="0.15">
      <c r="G223" s="205" t="s">
        <v>434</v>
      </c>
      <c r="H223" s="4" t="s">
        <v>437</v>
      </c>
      <c r="I223" s="45">
        <f t="shared" si="53"/>
        <v>0</v>
      </c>
      <c r="J223" s="45">
        <f t="shared" si="54"/>
        <v>0</v>
      </c>
      <c r="K223" s="46">
        <f t="shared" ref="K223:AB223" si="63">SUM(K224:K228)</f>
        <v>0</v>
      </c>
      <c r="L223" s="46">
        <f t="shared" si="63"/>
        <v>0</v>
      </c>
      <c r="M223" s="45">
        <f t="shared" si="55"/>
        <v>0</v>
      </c>
      <c r="N223" s="46">
        <f t="shared" si="63"/>
        <v>0</v>
      </c>
      <c r="O223" s="46">
        <f t="shared" si="63"/>
        <v>0</v>
      </c>
      <c r="P223" s="45">
        <f t="shared" si="56"/>
        <v>0</v>
      </c>
      <c r="Q223" s="46">
        <f t="shared" si="63"/>
        <v>0</v>
      </c>
      <c r="R223" s="46">
        <f t="shared" si="63"/>
        <v>0</v>
      </c>
      <c r="S223" s="45">
        <f t="shared" si="57"/>
        <v>0</v>
      </c>
      <c r="T223" s="45">
        <f t="shared" si="58"/>
        <v>0</v>
      </c>
      <c r="U223" s="46">
        <f t="shared" si="63"/>
        <v>0</v>
      </c>
      <c r="V223" s="46">
        <f t="shared" si="63"/>
        <v>0</v>
      </c>
      <c r="W223" s="45">
        <f t="shared" si="59"/>
        <v>0</v>
      </c>
      <c r="X223" s="46">
        <f t="shared" si="63"/>
        <v>0</v>
      </c>
      <c r="Y223" s="46">
        <f t="shared" si="63"/>
        <v>0</v>
      </c>
      <c r="Z223" s="45">
        <f t="shared" si="60"/>
        <v>0</v>
      </c>
      <c r="AA223" s="46">
        <f t="shared" si="63"/>
        <v>0</v>
      </c>
      <c r="AB223" s="46">
        <f t="shared" si="63"/>
        <v>0</v>
      </c>
      <c r="AC223" s="50">
        <f t="shared" si="61"/>
        <v>0</v>
      </c>
    </row>
    <row r="224" spans="7:29" ht="21" x14ac:dyDescent="0.15">
      <c r="G224" s="206" t="s">
        <v>436</v>
      </c>
      <c r="H224" s="53" t="s">
        <v>439</v>
      </c>
      <c r="I224" s="45">
        <f t="shared" si="53"/>
        <v>0</v>
      </c>
      <c r="J224" s="45">
        <f t="shared" si="54"/>
        <v>0</v>
      </c>
      <c r="K224" s="8"/>
      <c r="L224" s="8"/>
      <c r="M224" s="45">
        <f t="shared" si="55"/>
        <v>0</v>
      </c>
      <c r="N224" s="8"/>
      <c r="O224" s="8"/>
      <c r="P224" s="45">
        <f t="shared" si="56"/>
        <v>0</v>
      </c>
      <c r="Q224" s="8"/>
      <c r="R224" s="8"/>
      <c r="S224" s="45">
        <f t="shared" si="57"/>
        <v>0</v>
      </c>
      <c r="T224" s="45">
        <f t="shared" si="58"/>
        <v>0</v>
      </c>
      <c r="U224" s="8"/>
      <c r="V224" s="8"/>
      <c r="W224" s="45">
        <f t="shared" si="59"/>
        <v>0</v>
      </c>
      <c r="X224" s="8"/>
      <c r="Y224" s="8"/>
      <c r="Z224" s="45">
        <f t="shared" si="60"/>
        <v>0</v>
      </c>
      <c r="AA224" s="8"/>
      <c r="AB224" s="8"/>
      <c r="AC224" s="50">
        <f t="shared" si="61"/>
        <v>0</v>
      </c>
    </row>
    <row r="225" spans="7:29" x14ac:dyDescent="0.15">
      <c r="G225" s="206" t="s">
        <v>438</v>
      </c>
      <c r="H225" s="4" t="s">
        <v>441</v>
      </c>
      <c r="I225" s="45">
        <f t="shared" si="53"/>
        <v>0</v>
      </c>
      <c r="J225" s="45">
        <f t="shared" si="54"/>
        <v>0</v>
      </c>
      <c r="K225" s="8"/>
      <c r="L225" s="8"/>
      <c r="M225" s="45">
        <f t="shared" si="55"/>
        <v>0</v>
      </c>
      <c r="N225" s="8"/>
      <c r="O225" s="8"/>
      <c r="P225" s="45">
        <f t="shared" si="56"/>
        <v>0</v>
      </c>
      <c r="Q225" s="8"/>
      <c r="R225" s="8"/>
      <c r="S225" s="45">
        <f t="shared" si="57"/>
        <v>0</v>
      </c>
      <c r="T225" s="45">
        <f t="shared" si="58"/>
        <v>0</v>
      </c>
      <c r="U225" s="8"/>
      <c r="V225" s="8"/>
      <c r="W225" s="45">
        <f t="shared" si="59"/>
        <v>0</v>
      </c>
      <c r="X225" s="8"/>
      <c r="Y225" s="8"/>
      <c r="Z225" s="45">
        <f t="shared" si="60"/>
        <v>0</v>
      </c>
      <c r="AA225" s="8"/>
      <c r="AB225" s="8"/>
      <c r="AC225" s="50">
        <f t="shared" si="61"/>
        <v>0</v>
      </c>
    </row>
    <row r="226" spans="7:29" x14ac:dyDescent="0.15">
      <c r="G226" s="206" t="s">
        <v>440</v>
      </c>
      <c r="H226" s="4" t="s">
        <v>443</v>
      </c>
      <c r="I226" s="45">
        <f t="shared" si="53"/>
        <v>0</v>
      </c>
      <c r="J226" s="45">
        <f t="shared" si="54"/>
        <v>0</v>
      </c>
      <c r="K226" s="8"/>
      <c r="L226" s="8"/>
      <c r="M226" s="45">
        <f t="shared" si="55"/>
        <v>0</v>
      </c>
      <c r="N226" s="8"/>
      <c r="O226" s="8"/>
      <c r="P226" s="45">
        <f t="shared" si="56"/>
        <v>0</v>
      </c>
      <c r="Q226" s="8"/>
      <c r="R226" s="8"/>
      <c r="S226" s="45">
        <f t="shared" si="57"/>
        <v>0</v>
      </c>
      <c r="T226" s="45">
        <f t="shared" si="58"/>
        <v>0</v>
      </c>
      <c r="U226" s="8"/>
      <c r="V226" s="8"/>
      <c r="W226" s="45">
        <f t="shared" si="59"/>
        <v>0</v>
      </c>
      <c r="X226" s="8"/>
      <c r="Y226" s="8"/>
      <c r="Z226" s="45">
        <f t="shared" si="60"/>
        <v>0</v>
      </c>
      <c r="AA226" s="8"/>
      <c r="AB226" s="8"/>
      <c r="AC226" s="50">
        <f t="shared" si="61"/>
        <v>0</v>
      </c>
    </row>
    <row r="227" spans="7:29" x14ac:dyDescent="0.15">
      <c r="G227" s="206" t="s">
        <v>442</v>
      </c>
      <c r="H227" s="53" t="s">
        <v>445</v>
      </c>
      <c r="I227" s="45">
        <f t="shared" si="53"/>
        <v>0</v>
      </c>
      <c r="J227" s="45">
        <f t="shared" si="54"/>
        <v>0</v>
      </c>
      <c r="K227" s="8"/>
      <c r="L227" s="8"/>
      <c r="M227" s="45">
        <f t="shared" si="55"/>
        <v>0</v>
      </c>
      <c r="N227" s="8"/>
      <c r="O227" s="8"/>
      <c r="P227" s="45">
        <f t="shared" si="56"/>
        <v>0</v>
      </c>
      <c r="Q227" s="8"/>
      <c r="R227" s="8"/>
      <c r="S227" s="45">
        <f t="shared" si="57"/>
        <v>0</v>
      </c>
      <c r="T227" s="45">
        <f t="shared" si="58"/>
        <v>0</v>
      </c>
      <c r="U227" s="8"/>
      <c r="V227" s="8"/>
      <c r="W227" s="45">
        <f t="shared" si="59"/>
        <v>0</v>
      </c>
      <c r="X227" s="8"/>
      <c r="Y227" s="8"/>
      <c r="Z227" s="45">
        <f t="shared" si="60"/>
        <v>0</v>
      </c>
      <c r="AA227" s="8"/>
      <c r="AB227" s="8"/>
      <c r="AC227" s="50">
        <f t="shared" si="61"/>
        <v>0</v>
      </c>
    </row>
    <row r="228" spans="7:29" x14ac:dyDescent="0.15">
      <c r="G228" s="206" t="s">
        <v>444</v>
      </c>
      <c r="H228" s="4" t="s">
        <v>447</v>
      </c>
      <c r="I228" s="45">
        <f t="shared" si="53"/>
        <v>0</v>
      </c>
      <c r="J228" s="45">
        <f t="shared" si="54"/>
        <v>0</v>
      </c>
      <c r="K228" s="8"/>
      <c r="L228" s="8"/>
      <c r="M228" s="45">
        <f t="shared" si="55"/>
        <v>0</v>
      </c>
      <c r="N228" s="8"/>
      <c r="O228" s="8"/>
      <c r="P228" s="45">
        <f t="shared" si="56"/>
        <v>0</v>
      </c>
      <c r="Q228" s="8"/>
      <c r="R228" s="8"/>
      <c r="S228" s="45">
        <f t="shared" si="57"/>
        <v>0</v>
      </c>
      <c r="T228" s="45">
        <f t="shared" si="58"/>
        <v>0</v>
      </c>
      <c r="U228" s="8"/>
      <c r="V228" s="8"/>
      <c r="W228" s="45">
        <f t="shared" si="59"/>
        <v>0</v>
      </c>
      <c r="X228" s="8"/>
      <c r="Y228" s="8"/>
      <c r="Z228" s="45">
        <f t="shared" si="60"/>
        <v>0</v>
      </c>
      <c r="AA228" s="8"/>
      <c r="AB228" s="8"/>
      <c r="AC228" s="50">
        <f t="shared" si="61"/>
        <v>0</v>
      </c>
    </row>
    <row r="229" spans="7:29" x14ac:dyDescent="0.15">
      <c r="G229" s="205" t="s">
        <v>446</v>
      </c>
      <c r="H229" s="4" t="s">
        <v>449</v>
      </c>
      <c r="I229" s="45">
        <f t="shared" si="53"/>
        <v>0</v>
      </c>
      <c r="J229" s="45">
        <f t="shared" si="54"/>
        <v>0</v>
      </c>
      <c r="K229" s="8"/>
      <c r="L229" s="8"/>
      <c r="M229" s="45">
        <f t="shared" si="55"/>
        <v>0</v>
      </c>
      <c r="N229" s="8"/>
      <c r="O229" s="8"/>
      <c r="P229" s="45">
        <f t="shared" si="56"/>
        <v>0</v>
      </c>
      <c r="Q229" s="8"/>
      <c r="R229" s="8"/>
      <c r="S229" s="45">
        <f t="shared" si="57"/>
        <v>0</v>
      </c>
      <c r="T229" s="45">
        <f t="shared" si="58"/>
        <v>0</v>
      </c>
      <c r="U229" s="8"/>
      <c r="V229" s="8"/>
      <c r="W229" s="45">
        <f t="shared" si="59"/>
        <v>0</v>
      </c>
      <c r="X229" s="8"/>
      <c r="Y229" s="8"/>
      <c r="Z229" s="45">
        <f t="shared" si="60"/>
        <v>0</v>
      </c>
      <c r="AA229" s="8"/>
      <c r="AB229" s="8"/>
      <c r="AC229" s="50">
        <f t="shared" si="61"/>
        <v>0</v>
      </c>
    </row>
    <row r="230" spans="7:29" x14ac:dyDescent="0.15">
      <c r="G230" s="205" t="s">
        <v>448</v>
      </c>
      <c r="H230" s="53" t="s">
        <v>451</v>
      </c>
      <c r="I230" s="45">
        <f t="shared" si="53"/>
        <v>0</v>
      </c>
      <c r="J230" s="45">
        <f t="shared" si="54"/>
        <v>0</v>
      </c>
      <c r="K230" s="8"/>
      <c r="L230" s="8"/>
      <c r="M230" s="45">
        <f t="shared" si="55"/>
        <v>0</v>
      </c>
      <c r="N230" s="8"/>
      <c r="O230" s="8"/>
      <c r="P230" s="45">
        <f t="shared" si="56"/>
        <v>0</v>
      </c>
      <c r="Q230" s="8"/>
      <c r="R230" s="8"/>
      <c r="S230" s="45">
        <f t="shared" si="57"/>
        <v>0</v>
      </c>
      <c r="T230" s="45">
        <f t="shared" si="58"/>
        <v>0</v>
      </c>
      <c r="U230" s="8"/>
      <c r="V230" s="8"/>
      <c r="W230" s="45">
        <f t="shared" si="59"/>
        <v>0</v>
      </c>
      <c r="X230" s="8"/>
      <c r="Y230" s="8"/>
      <c r="Z230" s="45">
        <f t="shared" si="60"/>
        <v>0</v>
      </c>
      <c r="AA230" s="8"/>
      <c r="AB230" s="8"/>
      <c r="AC230" s="50">
        <f t="shared" si="61"/>
        <v>0</v>
      </c>
    </row>
    <row r="231" spans="7:29" x14ac:dyDescent="0.15">
      <c r="G231" s="205" t="s">
        <v>450</v>
      </c>
      <c r="H231" s="4" t="s">
        <v>453</v>
      </c>
      <c r="I231" s="45">
        <f t="shared" si="53"/>
        <v>0</v>
      </c>
      <c r="J231" s="45">
        <f t="shared" si="54"/>
        <v>0</v>
      </c>
      <c r="K231" s="8"/>
      <c r="L231" s="8"/>
      <c r="M231" s="45">
        <f t="shared" si="55"/>
        <v>0</v>
      </c>
      <c r="N231" s="8"/>
      <c r="O231" s="8"/>
      <c r="P231" s="45">
        <f t="shared" si="56"/>
        <v>0</v>
      </c>
      <c r="Q231" s="8"/>
      <c r="R231" s="8"/>
      <c r="S231" s="45">
        <f t="shared" si="57"/>
        <v>0</v>
      </c>
      <c r="T231" s="45">
        <f t="shared" si="58"/>
        <v>0</v>
      </c>
      <c r="U231" s="8"/>
      <c r="V231" s="8"/>
      <c r="W231" s="45">
        <f t="shared" si="59"/>
        <v>0</v>
      </c>
      <c r="X231" s="8"/>
      <c r="Y231" s="8"/>
      <c r="Z231" s="45">
        <f t="shared" si="60"/>
        <v>0</v>
      </c>
      <c r="AA231" s="8"/>
      <c r="AB231" s="8"/>
      <c r="AC231" s="50">
        <f t="shared" si="61"/>
        <v>0</v>
      </c>
    </row>
    <row r="232" spans="7:29" x14ac:dyDescent="0.15">
      <c r="G232" s="205" t="s">
        <v>452</v>
      </c>
      <c r="H232" s="4" t="s">
        <v>455</v>
      </c>
      <c r="I232" s="45">
        <f t="shared" si="53"/>
        <v>0</v>
      </c>
      <c r="J232" s="45">
        <f t="shared" si="54"/>
        <v>0</v>
      </c>
      <c r="K232" s="8"/>
      <c r="L232" s="8"/>
      <c r="M232" s="45">
        <f t="shared" si="55"/>
        <v>0</v>
      </c>
      <c r="N232" s="8"/>
      <c r="O232" s="8"/>
      <c r="P232" s="45">
        <f t="shared" si="56"/>
        <v>0</v>
      </c>
      <c r="Q232" s="8"/>
      <c r="R232" s="8"/>
      <c r="S232" s="45">
        <f t="shared" si="57"/>
        <v>0</v>
      </c>
      <c r="T232" s="45">
        <f t="shared" si="58"/>
        <v>0</v>
      </c>
      <c r="U232" s="8"/>
      <c r="V232" s="8"/>
      <c r="W232" s="45">
        <f t="shared" si="59"/>
        <v>0</v>
      </c>
      <c r="X232" s="8"/>
      <c r="Y232" s="8"/>
      <c r="Z232" s="45">
        <f t="shared" si="60"/>
        <v>0</v>
      </c>
      <c r="AA232" s="8"/>
      <c r="AB232" s="8"/>
      <c r="AC232" s="50">
        <f t="shared" si="61"/>
        <v>0</v>
      </c>
    </row>
    <row r="233" spans="7:29" x14ac:dyDescent="0.15">
      <c r="G233" s="205" t="s">
        <v>454</v>
      </c>
      <c r="H233" s="53" t="s">
        <v>457</v>
      </c>
      <c r="I233" s="45">
        <f t="shared" si="53"/>
        <v>0</v>
      </c>
      <c r="J233" s="45">
        <f t="shared" si="54"/>
        <v>0</v>
      </c>
      <c r="K233" s="48">
        <f t="shared" ref="K233:AB233" si="64">SUM(K234:K239)</f>
        <v>0</v>
      </c>
      <c r="L233" s="48">
        <f t="shared" si="64"/>
        <v>0</v>
      </c>
      <c r="M233" s="45">
        <f t="shared" si="55"/>
        <v>0</v>
      </c>
      <c r="N233" s="48">
        <f t="shared" si="64"/>
        <v>0</v>
      </c>
      <c r="O233" s="48">
        <f t="shared" si="64"/>
        <v>0</v>
      </c>
      <c r="P233" s="45">
        <f t="shared" si="56"/>
        <v>0</v>
      </c>
      <c r="Q233" s="48">
        <f t="shared" si="64"/>
        <v>0</v>
      </c>
      <c r="R233" s="48">
        <f t="shared" si="64"/>
        <v>0</v>
      </c>
      <c r="S233" s="45">
        <f t="shared" si="57"/>
        <v>0</v>
      </c>
      <c r="T233" s="45">
        <f t="shared" si="58"/>
        <v>0</v>
      </c>
      <c r="U233" s="48">
        <f t="shared" si="64"/>
        <v>0</v>
      </c>
      <c r="V233" s="48">
        <f t="shared" si="64"/>
        <v>0</v>
      </c>
      <c r="W233" s="45">
        <f t="shared" si="59"/>
        <v>0</v>
      </c>
      <c r="X233" s="48">
        <f t="shared" si="64"/>
        <v>0</v>
      </c>
      <c r="Y233" s="48">
        <f t="shared" si="64"/>
        <v>0</v>
      </c>
      <c r="Z233" s="45">
        <f t="shared" si="60"/>
        <v>0</v>
      </c>
      <c r="AA233" s="48">
        <f t="shared" si="64"/>
        <v>0</v>
      </c>
      <c r="AB233" s="48">
        <f t="shared" si="64"/>
        <v>0</v>
      </c>
      <c r="AC233" s="50">
        <f t="shared" si="61"/>
        <v>0</v>
      </c>
    </row>
    <row r="234" spans="7:29" ht="21" x14ac:dyDescent="0.15">
      <c r="G234" s="206" t="s">
        <v>456</v>
      </c>
      <c r="H234" s="4" t="s">
        <v>459</v>
      </c>
      <c r="I234" s="45">
        <f t="shared" si="53"/>
        <v>0</v>
      </c>
      <c r="J234" s="45">
        <f t="shared" si="54"/>
        <v>0</v>
      </c>
      <c r="K234" s="8"/>
      <c r="L234" s="8"/>
      <c r="M234" s="45">
        <f t="shared" si="55"/>
        <v>0</v>
      </c>
      <c r="N234" s="8"/>
      <c r="O234" s="8"/>
      <c r="P234" s="45">
        <f t="shared" si="56"/>
        <v>0</v>
      </c>
      <c r="Q234" s="8"/>
      <c r="R234" s="8"/>
      <c r="S234" s="45">
        <f t="shared" si="57"/>
        <v>0</v>
      </c>
      <c r="T234" s="45">
        <f t="shared" si="58"/>
        <v>0</v>
      </c>
      <c r="U234" s="8"/>
      <c r="V234" s="8"/>
      <c r="W234" s="45">
        <f t="shared" si="59"/>
        <v>0</v>
      </c>
      <c r="X234" s="8"/>
      <c r="Y234" s="8"/>
      <c r="Z234" s="45">
        <f t="shared" si="60"/>
        <v>0</v>
      </c>
      <c r="AA234" s="8"/>
      <c r="AB234" s="8"/>
      <c r="AC234" s="50">
        <f t="shared" si="61"/>
        <v>0</v>
      </c>
    </row>
    <row r="235" spans="7:29" x14ac:dyDescent="0.15">
      <c r="G235" s="206" t="s">
        <v>458</v>
      </c>
      <c r="H235" s="4" t="s">
        <v>461</v>
      </c>
      <c r="I235" s="45">
        <f t="shared" si="53"/>
        <v>0</v>
      </c>
      <c r="J235" s="45">
        <f t="shared" si="54"/>
        <v>0</v>
      </c>
      <c r="K235" s="8"/>
      <c r="L235" s="8"/>
      <c r="M235" s="45">
        <f t="shared" si="55"/>
        <v>0</v>
      </c>
      <c r="N235" s="8"/>
      <c r="O235" s="8"/>
      <c r="P235" s="45">
        <f t="shared" si="56"/>
        <v>0</v>
      </c>
      <c r="Q235" s="8"/>
      <c r="R235" s="8"/>
      <c r="S235" s="45">
        <f t="shared" si="57"/>
        <v>0</v>
      </c>
      <c r="T235" s="45">
        <f t="shared" si="58"/>
        <v>0</v>
      </c>
      <c r="U235" s="8"/>
      <c r="V235" s="8"/>
      <c r="W235" s="45">
        <f t="shared" si="59"/>
        <v>0</v>
      </c>
      <c r="X235" s="8"/>
      <c r="Y235" s="8"/>
      <c r="Z235" s="45">
        <f t="shared" si="60"/>
        <v>0</v>
      </c>
      <c r="AA235" s="8"/>
      <c r="AB235" s="8"/>
      <c r="AC235" s="50">
        <f t="shared" si="61"/>
        <v>0</v>
      </c>
    </row>
    <row r="236" spans="7:29" ht="21" x14ac:dyDescent="0.15">
      <c r="G236" s="206" t="s">
        <v>460</v>
      </c>
      <c r="H236" s="53" t="s">
        <v>463</v>
      </c>
      <c r="I236" s="45">
        <f t="shared" si="53"/>
        <v>0</v>
      </c>
      <c r="J236" s="45">
        <f t="shared" si="54"/>
        <v>0</v>
      </c>
      <c r="K236" s="8"/>
      <c r="L236" s="8"/>
      <c r="M236" s="45">
        <f t="shared" si="55"/>
        <v>0</v>
      </c>
      <c r="N236" s="8"/>
      <c r="O236" s="8"/>
      <c r="P236" s="45">
        <f t="shared" si="56"/>
        <v>0</v>
      </c>
      <c r="Q236" s="8"/>
      <c r="R236" s="8"/>
      <c r="S236" s="45">
        <f t="shared" si="57"/>
        <v>0</v>
      </c>
      <c r="T236" s="45">
        <f t="shared" si="58"/>
        <v>0</v>
      </c>
      <c r="U236" s="8"/>
      <c r="V236" s="8"/>
      <c r="W236" s="45">
        <f t="shared" si="59"/>
        <v>0</v>
      </c>
      <c r="X236" s="8"/>
      <c r="Y236" s="8"/>
      <c r="Z236" s="45">
        <f t="shared" si="60"/>
        <v>0</v>
      </c>
      <c r="AA236" s="8"/>
      <c r="AB236" s="8"/>
      <c r="AC236" s="50">
        <f t="shared" si="61"/>
        <v>0</v>
      </c>
    </row>
    <row r="237" spans="7:29" x14ac:dyDescent="0.15">
      <c r="G237" s="206" t="s">
        <v>462</v>
      </c>
      <c r="H237" s="4" t="s">
        <v>465</v>
      </c>
      <c r="I237" s="45">
        <f t="shared" si="53"/>
        <v>0</v>
      </c>
      <c r="J237" s="45">
        <f t="shared" si="54"/>
        <v>0</v>
      </c>
      <c r="K237" s="8"/>
      <c r="L237" s="8"/>
      <c r="M237" s="45">
        <f t="shared" si="55"/>
        <v>0</v>
      </c>
      <c r="N237" s="8"/>
      <c r="O237" s="8"/>
      <c r="P237" s="45">
        <f t="shared" si="56"/>
        <v>0</v>
      </c>
      <c r="Q237" s="8"/>
      <c r="R237" s="8"/>
      <c r="S237" s="45">
        <f t="shared" si="57"/>
        <v>0</v>
      </c>
      <c r="T237" s="45">
        <f t="shared" si="58"/>
        <v>0</v>
      </c>
      <c r="U237" s="8"/>
      <c r="V237" s="8"/>
      <c r="W237" s="45">
        <f t="shared" si="59"/>
        <v>0</v>
      </c>
      <c r="X237" s="8"/>
      <c r="Y237" s="8"/>
      <c r="Z237" s="45">
        <f t="shared" si="60"/>
        <v>0</v>
      </c>
      <c r="AA237" s="8"/>
      <c r="AB237" s="8"/>
      <c r="AC237" s="50">
        <f t="shared" si="61"/>
        <v>0</v>
      </c>
    </row>
    <row r="238" spans="7:29" ht="21" x14ac:dyDescent="0.15">
      <c r="G238" s="206" t="s">
        <v>464</v>
      </c>
      <c r="H238" s="4" t="s">
        <v>466</v>
      </c>
      <c r="I238" s="45">
        <f t="shared" si="53"/>
        <v>0</v>
      </c>
      <c r="J238" s="45">
        <f t="shared" si="54"/>
        <v>0</v>
      </c>
      <c r="K238" s="8"/>
      <c r="L238" s="8"/>
      <c r="M238" s="45">
        <f t="shared" si="55"/>
        <v>0</v>
      </c>
      <c r="N238" s="8"/>
      <c r="O238" s="8"/>
      <c r="P238" s="45">
        <f t="shared" si="56"/>
        <v>0</v>
      </c>
      <c r="Q238" s="8"/>
      <c r="R238" s="8"/>
      <c r="S238" s="45">
        <f t="shared" si="57"/>
        <v>0</v>
      </c>
      <c r="T238" s="45">
        <f t="shared" si="58"/>
        <v>0</v>
      </c>
      <c r="U238" s="8"/>
      <c r="V238" s="8"/>
      <c r="W238" s="45">
        <f t="shared" si="59"/>
        <v>0</v>
      </c>
      <c r="X238" s="8"/>
      <c r="Y238" s="8"/>
      <c r="Z238" s="45">
        <f t="shared" si="60"/>
        <v>0</v>
      </c>
      <c r="AA238" s="8"/>
      <c r="AB238" s="8"/>
      <c r="AC238" s="50">
        <f t="shared" si="61"/>
        <v>0</v>
      </c>
    </row>
    <row r="239" spans="7:29" ht="21" x14ac:dyDescent="0.15">
      <c r="G239" s="206" t="s">
        <v>887</v>
      </c>
      <c r="H239" s="53" t="s">
        <v>468</v>
      </c>
      <c r="I239" s="45">
        <f t="shared" si="53"/>
        <v>0</v>
      </c>
      <c r="J239" s="45">
        <f t="shared" si="54"/>
        <v>0</v>
      </c>
      <c r="K239" s="8"/>
      <c r="L239" s="8"/>
      <c r="M239" s="45">
        <f t="shared" si="55"/>
        <v>0</v>
      </c>
      <c r="N239" s="8"/>
      <c r="O239" s="8"/>
      <c r="P239" s="45">
        <f t="shared" si="56"/>
        <v>0</v>
      </c>
      <c r="Q239" s="8"/>
      <c r="R239" s="8"/>
      <c r="S239" s="45">
        <f t="shared" si="57"/>
        <v>0</v>
      </c>
      <c r="T239" s="45">
        <f t="shared" si="58"/>
        <v>0</v>
      </c>
      <c r="U239" s="8"/>
      <c r="V239" s="8"/>
      <c r="W239" s="45">
        <f t="shared" si="59"/>
        <v>0</v>
      </c>
      <c r="X239" s="8"/>
      <c r="Y239" s="8"/>
      <c r="Z239" s="45">
        <f t="shared" si="60"/>
        <v>0</v>
      </c>
      <c r="AA239" s="8"/>
      <c r="AB239" s="8"/>
      <c r="AC239" s="50">
        <f t="shared" si="61"/>
        <v>0</v>
      </c>
    </row>
    <row r="240" spans="7:29" x14ac:dyDescent="0.15">
      <c r="G240" s="205" t="s">
        <v>467</v>
      </c>
      <c r="H240" s="4" t="s">
        <v>470</v>
      </c>
      <c r="I240" s="45">
        <f t="shared" si="53"/>
        <v>0</v>
      </c>
      <c r="J240" s="45">
        <f t="shared" si="54"/>
        <v>0</v>
      </c>
      <c r="K240" s="8"/>
      <c r="L240" s="8"/>
      <c r="M240" s="45">
        <f t="shared" si="55"/>
        <v>0</v>
      </c>
      <c r="N240" s="8"/>
      <c r="O240" s="8"/>
      <c r="P240" s="45">
        <f t="shared" si="56"/>
        <v>0</v>
      </c>
      <c r="Q240" s="8"/>
      <c r="R240" s="8"/>
      <c r="S240" s="45">
        <f t="shared" si="57"/>
        <v>0</v>
      </c>
      <c r="T240" s="45">
        <f t="shared" si="58"/>
        <v>0</v>
      </c>
      <c r="U240" s="8"/>
      <c r="V240" s="8"/>
      <c r="W240" s="45">
        <f t="shared" si="59"/>
        <v>0</v>
      </c>
      <c r="X240" s="8"/>
      <c r="Y240" s="8"/>
      <c r="Z240" s="45">
        <f t="shared" si="60"/>
        <v>0</v>
      </c>
      <c r="AA240" s="8"/>
      <c r="AB240" s="8"/>
      <c r="AC240" s="50">
        <f t="shared" si="61"/>
        <v>0</v>
      </c>
    </row>
    <row r="241" spans="7:29" x14ac:dyDescent="0.15">
      <c r="G241" s="205" t="s">
        <v>469</v>
      </c>
      <c r="H241" s="4" t="s">
        <v>472</v>
      </c>
      <c r="I241" s="45">
        <f t="shared" si="53"/>
        <v>0</v>
      </c>
      <c r="J241" s="45">
        <f t="shared" si="54"/>
        <v>0</v>
      </c>
      <c r="K241" s="8"/>
      <c r="L241" s="8"/>
      <c r="M241" s="45">
        <f t="shared" si="55"/>
        <v>0</v>
      </c>
      <c r="N241" s="8"/>
      <c r="O241" s="8"/>
      <c r="P241" s="45">
        <f t="shared" si="56"/>
        <v>0</v>
      </c>
      <c r="Q241" s="8"/>
      <c r="R241" s="8"/>
      <c r="S241" s="45">
        <f t="shared" si="57"/>
        <v>0</v>
      </c>
      <c r="T241" s="45">
        <f t="shared" si="58"/>
        <v>0</v>
      </c>
      <c r="U241" s="8"/>
      <c r="V241" s="8"/>
      <c r="W241" s="45">
        <f t="shared" si="59"/>
        <v>0</v>
      </c>
      <c r="X241" s="8"/>
      <c r="Y241" s="8"/>
      <c r="Z241" s="45">
        <f t="shared" si="60"/>
        <v>0</v>
      </c>
      <c r="AA241" s="8"/>
      <c r="AB241" s="8"/>
      <c r="AC241" s="50">
        <f t="shared" si="61"/>
        <v>0</v>
      </c>
    </row>
    <row r="242" spans="7:29" x14ac:dyDescent="0.15">
      <c r="G242" s="205" t="s">
        <v>471</v>
      </c>
      <c r="H242" s="53" t="s">
        <v>474</v>
      </c>
      <c r="I242" s="45">
        <f t="shared" si="53"/>
        <v>0</v>
      </c>
      <c r="J242" s="45">
        <f t="shared" si="54"/>
        <v>0</v>
      </c>
      <c r="K242" s="8"/>
      <c r="L242" s="8"/>
      <c r="M242" s="45">
        <f t="shared" si="55"/>
        <v>0</v>
      </c>
      <c r="N242" s="8"/>
      <c r="O242" s="8"/>
      <c r="P242" s="45">
        <f t="shared" si="56"/>
        <v>0</v>
      </c>
      <c r="Q242" s="8"/>
      <c r="R242" s="8"/>
      <c r="S242" s="45">
        <f t="shared" si="57"/>
        <v>0</v>
      </c>
      <c r="T242" s="45">
        <f t="shared" si="58"/>
        <v>0</v>
      </c>
      <c r="U242" s="8"/>
      <c r="V242" s="8"/>
      <c r="W242" s="45">
        <f t="shared" si="59"/>
        <v>0</v>
      </c>
      <c r="X242" s="8"/>
      <c r="Y242" s="8"/>
      <c r="Z242" s="45">
        <f t="shared" si="60"/>
        <v>0</v>
      </c>
      <c r="AA242" s="8"/>
      <c r="AB242" s="8"/>
      <c r="AC242" s="50">
        <f t="shared" si="61"/>
        <v>0</v>
      </c>
    </row>
    <row r="243" spans="7:29" x14ac:dyDescent="0.15">
      <c r="G243" s="205" t="s">
        <v>473</v>
      </c>
      <c r="H243" s="4" t="s">
        <v>476</v>
      </c>
      <c r="I243" s="45">
        <f t="shared" si="53"/>
        <v>0</v>
      </c>
      <c r="J243" s="45">
        <f t="shared" si="54"/>
        <v>0</v>
      </c>
      <c r="K243" s="46">
        <f t="shared" ref="K243:AB243" si="65">SUM(K244:K246)</f>
        <v>0</v>
      </c>
      <c r="L243" s="46">
        <f t="shared" si="65"/>
        <v>0</v>
      </c>
      <c r="M243" s="45">
        <f t="shared" si="55"/>
        <v>0</v>
      </c>
      <c r="N243" s="46">
        <f t="shared" si="65"/>
        <v>0</v>
      </c>
      <c r="O243" s="46">
        <f t="shared" si="65"/>
        <v>0</v>
      </c>
      <c r="P243" s="45">
        <f t="shared" si="56"/>
        <v>0</v>
      </c>
      <c r="Q243" s="46">
        <f t="shared" si="65"/>
        <v>0</v>
      </c>
      <c r="R243" s="46">
        <f t="shared" si="65"/>
        <v>0</v>
      </c>
      <c r="S243" s="45">
        <f t="shared" si="57"/>
        <v>0</v>
      </c>
      <c r="T243" s="45">
        <f t="shared" si="58"/>
        <v>0</v>
      </c>
      <c r="U243" s="46">
        <f t="shared" si="65"/>
        <v>0</v>
      </c>
      <c r="V243" s="46">
        <f t="shared" si="65"/>
        <v>0</v>
      </c>
      <c r="W243" s="45">
        <f t="shared" si="59"/>
        <v>0</v>
      </c>
      <c r="X243" s="46">
        <f t="shared" si="65"/>
        <v>0</v>
      </c>
      <c r="Y243" s="46">
        <f t="shared" si="65"/>
        <v>0</v>
      </c>
      <c r="Z243" s="45">
        <f t="shared" si="60"/>
        <v>0</v>
      </c>
      <c r="AA243" s="46">
        <f t="shared" si="65"/>
        <v>0</v>
      </c>
      <c r="AB243" s="46">
        <f t="shared" si="65"/>
        <v>0</v>
      </c>
      <c r="AC243" s="50">
        <f t="shared" si="61"/>
        <v>0</v>
      </c>
    </row>
    <row r="244" spans="7:29" ht="21" x14ac:dyDescent="0.15">
      <c r="G244" s="206" t="s">
        <v>475</v>
      </c>
      <c r="H244" s="4" t="s">
        <v>478</v>
      </c>
      <c r="I244" s="45">
        <f t="shared" si="53"/>
        <v>0</v>
      </c>
      <c r="J244" s="45">
        <f t="shared" si="54"/>
        <v>0</v>
      </c>
      <c r="K244" s="8"/>
      <c r="L244" s="8"/>
      <c r="M244" s="45">
        <f t="shared" si="55"/>
        <v>0</v>
      </c>
      <c r="N244" s="8"/>
      <c r="O244" s="8"/>
      <c r="P244" s="45">
        <f t="shared" si="56"/>
        <v>0</v>
      </c>
      <c r="Q244" s="8"/>
      <c r="R244" s="8"/>
      <c r="S244" s="45">
        <f t="shared" si="57"/>
        <v>0</v>
      </c>
      <c r="T244" s="45">
        <f t="shared" si="58"/>
        <v>0</v>
      </c>
      <c r="U244" s="8"/>
      <c r="V244" s="8"/>
      <c r="W244" s="45">
        <f t="shared" si="59"/>
        <v>0</v>
      </c>
      <c r="X244" s="8"/>
      <c r="Y244" s="8"/>
      <c r="Z244" s="45">
        <f t="shared" si="60"/>
        <v>0</v>
      </c>
      <c r="AA244" s="8"/>
      <c r="AB244" s="8"/>
      <c r="AC244" s="50">
        <f t="shared" si="61"/>
        <v>0</v>
      </c>
    </row>
    <row r="245" spans="7:29" x14ac:dyDescent="0.15">
      <c r="G245" s="206" t="s">
        <v>477</v>
      </c>
      <c r="H245" s="53" t="s">
        <v>480</v>
      </c>
      <c r="I245" s="45">
        <f t="shared" si="53"/>
        <v>0</v>
      </c>
      <c r="J245" s="45">
        <f t="shared" si="54"/>
        <v>0</v>
      </c>
      <c r="K245" s="8"/>
      <c r="L245" s="8"/>
      <c r="M245" s="45">
        <f t="shared" si="55"/>
        <v>0</v>
      </c>
      <c r="N245" s="8"/>
      <c r="O245" s="8"/>
      <c r="P245" s="45">
        <f t="shared" si="56"/>
        <v>0</v>
      </c>
      <c r="Q245" s="8"/>
      <c r="R245" s="8"/>
      <c r="S245" s="45">
        <f t="shared" si="57"/>
        <v>0</v>
      </c>
      <c r="T245" s="45">
        <f t="shared" si="58"/>
        <v>0</v>
      </c>
      <c r="U245" s="8"/>
      <c r="V245" s="8"/>
      <c r="W245" s="45">
        <f t="shared" si="59"/>
        <v>0</v>
      </c>
      <c r="X245" s="8"/>
      <c r="Y245" s="8"/>
      <c r="Z245" s="45">
        <f t="shared" si="60"/>
        <v>0</v>
      </c>
      <c r="AA245" s="8"/>
      <c r="AB245" s="8"/>
      <c r="AC245" s="50">
        <f t="shared" si="61"/>
        <v>0</v>
      </c>
    </row>
    <row r="246" spans="7:29" ht="21" x14ac:dyDescent="0.15">
      <c r="G246" s="206" t="s">
        <v>479</v>
      </c>
      <c r="H246" s="4" t="s">
        <v>482</v>
      </c>
      <c r="I246" s="45">
        <f t="shared" si="53"/>
        <v>0</v>
      </c>
      <c r="J246" s="45">
        <f t="shared" si="54"/>
        <v>0</v>
      </c>
      <c r="K246" s="8"/>
      <c r="L246" s="8"/>
      <c r="M246" s="45">
        <f t="shared" si="55"/>
        <v>0</v>
      </c>
      <c r="N246" s="8"/>
      <c r="O246" s="8"/>
      <c r="P246" s="45">
        <f t="shared" si="56"/>
        <v>0</v>
      </c>
      <c r="Q246" s="8"/>
      <c r="R246" s="8"/>
      <c r="S246" s="45">
        <f t="shared" si="57"/>
        <v>0</v>
      </c>
      <c r="T246" s="45">
        <f t="shared" si="58"/>
        <v>0</v>
      </c>
      <c r="U246" s="8"/>
      <c r="V246" s="8"/>
      <c r="W246" s="45">
        <f t="shared" si="59"/>
        <v>0</v>
      </c>
      <c r="X246" s="8"/>
      <c r="Y246" s="8"/>
      <c r="Z246" s="45">
        <f t="shared" si="60"/>
        <v>0</v>
      </c>
      <c r="AA246" s="8"/>
      <c r="AB246" s="8"/>
      <c r="AC246" s="50">
        <f t="shared" si="61"/>
        <v>0</v>
      </c>
    </row>
    <row r="247" spans="7:29" x14ac:dyDescent="0.15">
      <c r="G247" s="205" t="s">
        <v>481</v>
      </c>
      <c r="H247" s="4" t="s">
        <v>484</v>
      </c>
      <c r="I247" s="45">
        <f t="shared" si="53"/>
        <v>0</v>
      </c>
      <c r="J247" s="45">
        <f t="shared" si="54"/>
        <v>0</v>
      </c>
      <c r="K247" s="8"/>
      <c r="L247" s="8"/>
      <c r="M247" s="45">
        <f t="shared" si="55"/>
        <v>0</v>
      </c>
      <c r="N247" s="8"/>
      <c r="O247" s="8"/>
      <c r="P247" s="45">
        <f t="shared" si="56"/>
        <v>0</v>
      </c>
      <c r="Q247" s="8"/>
      <c r="R247" s="8"/>
      <c r="S247" s="45">
        <f t="shared" si="57"/>
        <v>0</v>
      </c>
      <c r="T247" s="45">
        <f t="shared" si="58"/>
        <v>0</v>
      </c>
      <c r="U247" s="8"/>
      <c r="V247" s="8"/>
      <c r="W247" s="45">
        <f t="shared" si="59"/>
        <v>0</v>
      </c>
      <c r="X247" s="8"/>
      <c r="Y247" s="8"/>
      <c r="Z247" s="45">
        <f t="shared" si="60"/>
        <v>0</v>
      </c>
      <c r="AA247" s="8"/>
      <c r="AB247" s="8"/>
      <c r="AC247" s="50">
        <f t="shared" si="61"/>
        <v>0</v>
      </c>
    </row>
    <row r="248" spans="7:29" x14ac:dyDescent="0.15">
      <c r="G248" s="205" t="s">
        <v>483</v>
      </c>
      <c r="H248" s="53" t="s">
        <v>486</v>
      </c>
      <c r="I248" s="45">
        <f t="shared" si="53"/>
        <v>0</v>
      </c>
      <c r="J248" s="45">
        <f t="shared" si="54"/>
        <v>0</v>
      </c>
      <c r="K248" s="8"/>
      <c r="L248" s="8"/>
      <c r="M248" s="45">
        <f t="shared" si="55"/>
        <v>0</v>
      </c>
      <c r="N248" s="8"/>
      <c r="O248" s="8"/>
      <c r="P248" s="45">
        <f t="shared" si="56"/>
        <v>0</v>
      </c>
      <c r="Q248" s="8"/>
      <c r="R248" s="8"/>
      <c r="S248" s="45">
        <f t="shared" si="57"/>
        <v>0</v>
      </c>
      <c r="T248" s="45">
        <f t="shared" si="58"/>
        <v>0</v>
      </c>
      <c r="U248" s="8"/>
      <c r="V248" s="8"/>
      <c r="W248" s="45">
        <f t="shared" si="59"/>
        <v>0</v>
      </c>
      <c r="X248" s="8"/>
      <c r="Y248" s="8"/>
      <c r="Z248" s="45">
        <f t="shared" si="60"/>
        <v>0</v>
      </c>
      <c r="AA248" s="8"/>
      <c r="AB248" s="8"/>
      <c r="AC248" s="50">
        <f t="shared" si="61"/>
        <v>0</v>
      </c>
    </row>
    <row r="249" spans="7:29" ht="21" x14ac:dyDescent="0.15">
      <c r="G249" s="205" t="s">
        <v>485</v>
      </c>
      <c r="H249" s="4" t="s">
        <v>488</v>
      </c>
      <c r="I249" s="45">
        <f t="shared" si="53"/>
        <v>0</v>
      </c>
      <c r="J249" s="45">
        <f t="shared" si="54"/>
        <v>0</v>
      </c>
      <c r="K249" s="8"/>
      <c r="L249" s="8"/>
      <c r="M249" s="45">
        <f t="shared" si="55"/>
        <v>0</v>
      </c>
      <c r="N249" s="8"/>
      <c r="O249" s="8"/>
      <c r="P249" s="45">
        <f t="shared" si="56"/>
        <v>0</v>
      </c>
      <c r="Q249" s="8"/>
      <c r="R249" s="8"/>
      <c r="S249" s="45">
        <f t="shared" si="57"/>
        <v>0</v>
      </c>
      <c r="T249" s="45">
        <f t="shared" si="58"/>
        <v>0</v>
      </c>
      <c r="U249" s="8"/>
      <c r="V249" s="8"/>
      <c r="W249" s="45">
        <f t="shared" si="59"/>
        <v>0</v>
      </c>
      <c r="X249" s="8"/>
      <c r="Y249" s="8"/>
      <c r="Z249" s="45">
        <f t="shared" si="60"/>
        <v>0</v>
      </c>
      <c r="AA249" s="8"/>
      <c r="AB249" s="8"/>
      <c r="AC249" s="50">
        <f t="shared" si="61"/>
        <v>0</v>
      </c>
    </row>
    <row r="250" spans="7:29" x14ac:dyDescent="0.15">
      <c r="G250" s="205" t="s">
        <v>487</v>
      </c>
      <c r="H250" s="4" t="s">
        <v>490</v>
      </c>
      <c r="I250" s="45">
        <f t="shared" si="53"/>
        <v>0</v>
      </c>
      <c r="J250" s="45">
        <f t="shared" si="54"/>
        <v>0</v>
      </c>
      <c r="K250" s="46">
        <f t="shared" ref="K250:AB250" si="66">SUM(K251:K254)</f>
        <v>0</v>
      </c>
      <c r="L250" s="46">
        <f t="shared" si="66"/>
        <v>0</v>
      </c>
      <c r="M250" s="45">
        <f t="shared" si="55"/>
        <v>0</v>
      </c>
      <c r="N250" s="46">
        <f t="shared" si="66"/>
        <v>0</v>
      </c>
      <c r="O250" s="46">
        <f t="shared" si="66"/>
        <v>0</v>
      </c>
      <c r="P250" s="45">
        <f t="shared" si="56"/>
        <v>0</v>
      </c>
      <c r="Q250" s="46">
        <f t="shared" si="66"/>
        <v>0</v>
      </c>
      <c r="R250" s="46">
        <f t="shared" si="66"/>
        <v>0</v>
      </c>
      <c r="S250" s="45">
        <f t="shared" si="57"/>
        <v>0</v>
      </c>
      <c r="T250" s="45">
        <f t="shared" si="58"/>
        <v>0</v>
      </c>
      <c r="U250" s="46">
        <f t="shared" si="66"/>
        <v>0</v>
      </c>
      <c r="V250" s="46">
        <f t="shared" si="66"/>
        <v>0</v>
      </c>
      <c r="W250" s="45">
        <f t="shared" si="59"/>
        <v>0</v>
      </c>
      <c r="X250" s="46">
        <f t="shared" si="66"/>
        <v>0</v>
      </c>
      <c r="Y250" s="46">
        <f t="shared" si="66"/>
        <v>0</v>
      </c>
      <c r="Z250" s="45">
        <f t="shared" si="60"/>
        <v>0</v>
      </c>
      <c r="AA250" s="46">
        <f t="shared" si="66"/>
        <v>0</v>
      </c>
      <c r="AB250" s="46">
        <f t="shared" si="66"/>
        <v>0</v>
      </c>
      <c r="AC250" s="50">
        <f t="shared" si="61"/>
        <v>0</v>
      </c>
    </row>
    <row r="251" spans="7:29" ht="21" x14ac:dyDescent="0.15">
      <c r="G251" s="206" t="s">
        <v>489</v>
      </c>
      <c r="H251" s="53" t="s">
        <v>492</v>
      </c>
      <c r="I251" s="45">
        <f t="shared" si="53"/>
        <v>0</v>
      </c>
      <c r="J251" s="45">
        <f t="shared" si="54"/>
        <v>0</v>
      </c>
      <c r="K251" s="8"/>
      <c r="L251" s="8"/>
      <c r="M251" s="45">
        <f t="shared" si="55"/>
        <v>0</v>
      </c>
      <c r="N251" s="8"/>
      <c r="O251" s="8"/>
      <c r="P251" s="45">
        <f t="shared" si="56"/>
        <v>0</v>
      </c>
      <c r="Q251" s="8"/>
      <c r="R251" s="8"/>
      <c r="S251" s="45">
        <f t="shared" si="57"/>
        <v>0</v>
      </c>
      <c r="T251" s="45">
        <f t="shared" si="58"/>
        <v>0</v>
      </c>
      <c r="U251" s="8"/>
      <c r="V251" s="8"/>
      <c r="W251" s="45">
        <f t="shared" si="59"/>
        <v>0</v>
      </c>
      <c r="X251" s="8"/>
      <c r="Y251" s="8"/>
      <c r="Z251" s="45">
        <f t="shared" si="60"/>
        <v>0</v>
      </c>
      <c r="AA251" s="8"/>
      <c r="AB251" s="8"/>
      <c r="AC251" s="50">
        <f t="shared" si="61"/>
        <v>0</v>
      </c>
    </row>
    <row r="252" spans="7:29" x14ac:dyDescent="0.15">
      <c r="G252" s="206" t="s">
        <v>491</v>
      </c>
      <c r="H252" s="4" t="s">
        <v>494</v>
      </c>
      <c r="I252" s="45">
        <f t="shared" si="53"/>
        <v>0</v>
      </c>
      <c r="J252" s="45">
        <f t="shared" si="54"/>
        <v>0</v>
      </c>
      <c r="K252" s="8"/>
      <c r="L252" s="8"/>
      <c r="M252" s="45">
        <f t="shared" si="55"/>
        <v>0</v>
      </c>
      <c r="N252" s="8"/>
      <c r="O252" s="8"/>
      <c r="P252" s="45">
        <f t="shared" si="56"/>
        <v>0</v>
      </c>
      <c r="Q252" s="8"/>
      <c r="R252" s="8"/>
      <c r="S252" s="45">
        <f t="shared" si="57"/>
        <v>0</v>
      </c>
      <c r="T252" s="45">
        <f t="shared" si="58"/>
        <v>0</v>
      </c>
      <c r="U252" s="8"/>
      <c r="V252" s="8"/>
      <c r="W252" s="45">
        <f t="shared" si="59"/>
        <v>0</v>
      </c>
      <c r="X252" s="8"/>
      <c r="Y252" s="8"/>
      <c r="Z252" s="45">
        <f t="shared" si="60"/>
        <v>0</v>
      </c>
      <c r="AA252" s="8"/>
      <c r="AB252" s="8"/>
      <c r="AC252" s="50">
        <f t="shared" si="61"/>
        <v>0</v>
      </c>
    </row>
    <row r="253" spans="7:29" x14ac:dyDescent="0.15">
      <c r="G253" s="206" t="s">
        <v>493</v>
      </c>
      <c r="H253" s="4" t="s">
        <v>496</v>
      </c>
      <c r="I253" s="45">
        <f t="shared" si="53"/>
        <v>0</v>
      </c>
      <c r="J253" s="45">
        <f t="shared" si="54"/>
        <v>0</v>
      </c>
      <c r="K253" s="8"/>
      <c r="L253" s="8"/>
      <c r="M253" s="45">
        <f t="shared" si="55"/>
        <v>0</v>
      </c>
      <c r="N253" s="8"/>
      <c r="O253" s="8"/>
      <c r="P253" s="45">
        <f t="shared" si="56"/>
        <v>0</v>
      </c>
      <c r="Q253" s="8"/>
      <c r="R253" s="8"/>
      <c r="S253" s="45">
        <f t="shared" si="57"/>
        <v>0</v>
      </c>
      <c r="T253" s="45">
        <f t="shared" si="58"/>
        <v>0</v>
      </c>
      <c r="U253" s="8"/>
      <c r="V253" s="8"/>
      <c r="W253" s="45">
        <f t="shared" si="59"/>
        <v>0</v>
      </c>
      <c r="X253" s="8"/>
      <c r="Y253" s="8"/>
      <c r="Z253" s="45">
        <f t="shared" si="60"/>
        <v>0</v>
      </c>
      <c r="AA253" s="8"/>
      <c r="AB253" s="8"/>
      <c r="AC253" s="50">
        <f t="shared" si="61"/>
        <v>0</v>
      </c>
    </row>
    <row r="254" spans="7:29" ht="21" x14ac:dyDescent="0.15">
      <c r="G254" s="206" t="s">
        <v>495</v>
      </c>
      <c r="H254" s="53" t="s">
        <v>498</v>
      </c>
      <c r="I254" s="45">
        <f t="shared" si="53"/>
        <v>0</v>
      </c>
      <c r="J254" s="45">
        <f t="shared" si="54"/>
        <v>0</v>
      </c>
      <c r="K254" s="8"/>
      <c r="L254" s="8"/>
      <c r="M254" s="45">
        <f t="shared" si="55"/>
        <v>0</v>
      </c>
      <c r="N254" s="8"/>
      <c r="O254" s="8"/>
      <c r="P254" s="45">
        <f t="shared" si="56"/>
        <v>0</v>
      </c>
      <c r="Q254" s="8"/>
      <c r="R254" s="8"/>
      <c r="S254" s="45">
        <f t="shared" si="57"/>
        <v>0</v>
      </c>
      <c r="T254" s="45">
        <f t="shared" si="58"/>
        <v>0</v>
      </c>
      <c r="U254" s="8"/>
      <c r="V254" s="8"/>
      <c r="W254" s="45">
        <f t="shared" si="59"/>
        <v>0</v>
      </c>
      <c r="X254" s="8"/>
      <c r="Y254" s="8"/>
      <c r="Z254" s="45">
        <f t="shared" si="60"/>
        <v>0</v>
      </c>
      <c r="AA254" s="8"/>
      <c r="AB254" s="8"/>
      <c r="AC254" s="50">
        <f t="shared" si="61"/>
        <v>0</v>
      </c>
    </row>
    <row r="255" spans="7:29" ht="21" x14ac:dyDescent="0.15">
      <c r="G255" s="205" t="s">
        <v>497</v>
      </c>
      <c r="H255" s="4" t="s">
        <v>500</v>
      </c>
      <c r="I255" s="45">
        <f t="shared" si="53"/>
        <v>0</v>
      </c>
      <c r="J255" s="45">
        <f t="shared" si="54"/>
        <v>0</v>
      </c>
      <c r="K255" s="8"/>
      <c r="L255" s="8"/>
      <c r="M255" s="45">
        <f t="shared" si="55"/>
        <v>0</v>
      </c>
      <c r="N255" s="8"/>
      <c r="O255" s="8"/>
      <c r="P255" s="45">
        <f t="shared" si="56"/>
        <v>0</v>
      </c>
      <c r="Q255" s="8"/>
      <c r="R255" s="8"/>
      <c r="S255" s="45">
        <f t="shared" si="57"/>
        <v>0</v>
      </c>
      <c r="T255" s="45">
        <f t="shared" si="58"/>
        <v>0</v>
      </c>
      <c r="U255" s="8"/>
      <c r="V255" s="8"/>
      <c r="W255" s="45">
        <f t="shared" si="59"/>
        <v>0</v>
      </c>
      <c r="X255" s="8"/>
      <c r="Y255" s="8"/>
      <c r="Z255" s="45">
        <f t="shared" si="60"/>
        <v>0</v>
      </c>
      <c r="AA255" s="8"/>
      <c r="AB255" s="8"/>
      <c r="AC255" s="50">
        <f t="shared" si="61"/>
        <v>0</v>
      </c>
    </row>
    <row r="256" spans="7:29" x14ac:dyDescent="0.15">
      <c r="G256" s="205" t="s">
        <v>499</v>
      </c>
      <c r="H256" s="4" t="s">
        <v>502</v>
      </c>
      <c r="I256" s="45">
        <f t="shared" si="53"/>
        <v>0</v>
      </c>
      <c r="J256" s="45">
        <f t="shared" si="54"/>
        <v>0</v>
      </c>
      <c r="K256" s="8"/>
      <c r="L256" s="8"/>
      <c r="M256" s="45">
        <f t="shared" si="55"/>
        <v>0</v>
      </c>
      <c r="N256" s="8"/>
      <c r="O256" s="8"/>
      <c r="P256" s="45">
        <f t="shared" si="56"/>
        <v>0</v>
      </c>
      <c r="Q256" s="8"/>
      <c r="R256" s="8"/>
      <c r="S256" s="45">
        <f t="shared" si="57"/>
        <v>0</v>
      </c>
      <c r="T256" s="45">
        <f t="shared" si="58"/>
        <v>0</v>
      </c>
      <c r="U256" s="8"/>
      <c r="V256" s="8"/>
      <c r="W256" s="45">
        <f t="shared" si="59"/>
        <v>0</v>
      </c>
      <c r="X256" s="8"/>
      <c r="Y256" s="8"/>
      <c r="Z256" s="45">
        <f t="shared" si="60"/>
        <v>0</v>
      </c>
      <c r="AA256" s="8"/>
      <c r="AB256" s="8"/>
      <c r="AC256" s="50">
        <f t="shared" si="61"/>
        <v>0</v>
      </c>
    </row>
    <row r="257" spans="7:29" x14ac:dyDescent="0.15">
      <c r="G257" s="205" t="s">
        <v>501</v>
      </c>
      <c r="H257" s="53" t="s">
        <v>504</v>
      </c>
      <c r="I257" s="45">
        <f t="shared" si="53"/>
        <v>0</v>
      </c>
      <c r="J257" s="45">
        <f t="shared" si="54"/>
        <v>0</v>
      </c>
      <c r="K257" s="8"/>
      <c r="L257" s="8"/>
      <c r="M257" s="45">
        <f t="shared" si="55"/>
        <v>0</v>
      </c>
      <c r="N257" s="8"/>
      <c r="O257" s="8"/>
      <c r="P257" s="45">
        <f t="shared" si="56"/>
        <v>0</v>
      </c>
      <c r="Q257" s="8"/>
      <c r="R257" s="8"/>
      <c r="S257" s="45">
        <f t="shared" si="57"/>
        <v>0</v>
      </c>
      <c r="T257" s="45">
        <f t="shared" si="58"/>
        <v>0</v>
      </c>
      <c r="U257" s="8"/>
      <c r="V257" s="8"/>
      <c r="W257" s="45">
        <f t="shared" si="59"/>
        <v>0</v>
      </c>
      <c r="X257" s="8"/>
      <c r="Y257" s="8"/>
      <c r="Z257" s="45">
        <f t="shared" si="60"/>
        <v>0</v>
      </c>
      <c r="AA257" s="8"/>
      <c r="AB257" s="8"/>
      <c r="AC257" s="50">
        <f t="shared" si="61"/>
        <v>0</v>
      </c>
    </row>
    <row r="258" spans="7:29" x14ac:dyDescent="0.15">
      <c r="G258" s="205" t="s">
        <v>503</v>
      </c>
      <c r="H258" s="4" t="s">
        <v>506</v>
      </c>
      <c r="I258" s="45">
        <f t="shared" si="53"/>
        <v>0</v>
      </c>
      <c r="J258" s="45">
        <f t="shared" si="54"/>
        <v>0</v>
      </c>
      <c r="K258" s="8"/>
      <c r="L258" s="8"/>
      <c r="M258" s="45">
        <f t="shared" si="55"/>
        <v>0</v>
      </c>
      <c r="N258" s="8"/>
      <c r="O258" s="8"/>
      <c r="P258" s="45">
        <f t="shared" si="56"/>
        <v>0</v>
      </c>
      <c r="Q258" s="8"/>
      <c r="R258" s="8"/>
      <c r="S258" s="45">
        <f t="shared" si="57"/>
        <v>0</v>
      </c>
      <c r="T258" s="45">
        <f t="shared" si="58"/>
        <v>0</v>
      </c>
      <c r="U258" s="8"/>
      <c r="V258" s="8"/>
      <c r="W258" s="45">
        <f t="shared" si="59"/>
        <v>0</v>
      </c>
      <c r="X258" s="8"/>
      <c r="Y258" s="8"/>
      <c r="Z258" s="45">
        <f t="shared" si="60"/>
        <v>0</v>
      </c>
      <c r="AA258" s="8"/>
      <c r="AB258" s="8"/>
      <c r="AC258" s="50">
        <f t="shared" si="61"/>
        <v>0</v>
      </c>
    </row>
    <row r="259" spans="7:29" x14ac:dyDescent="0.15">
      <c r="G259" s="205" t="s">
        <v>505</v>
      </c>
      <c r="H259" s="4" t="s">
        <v>508</v>
      </c>
      <c r="I259" s="45">
        <f t="shared" si="53"/>
        <v>0</v>
      </c>
      <c r="J259" s="45">
        <f t="shared" si="54"/>
        <v>0</v>
      </c>
      <c r="K259" s="8"/>
      <c r="L259" s="8"/>
      <c r="M259" s="45">
        <f t="shared" si="55"/>
        <v>0</v>
      </c>
      <c r="N259" s="8"/>
      <c r="O259" s="8"/>
      <c r="P259" s="45">
        <f t="shared" si="56"/>
        <v>0</v>
      </c>
      <c r="Q259" s="8"/>
      <c r="R259" s="8"/>
      <c r="S259" s="45">
        <f t="shared" si="57"/>
        <v>0</v>
      </c>
      <c r="T259" s="45">
        <f t="shared" si="58"/>
        <v>0</v>
      </c>
      <c r="U259" s="8"/>
      <c r="V259" s="8"/>
      <c r="W259" s="45">
        <f t="shared" si="59"/>
        <v>0</v>
      </c>
      <c r="X259" s="8"/>
      <c r="Y259" s="8"/>
      <c r="Z259" s="45">
        <f t="shared" si="60"/>
        <v>0</v>
      </c>
      <c r="AA259" s="8"/>
      <c r="AB259" s="8"/>
      <c r="AC259" s="50">
        <f t="shared" si="61"/>
        <v>0</v>
      </c>
    </row>
    <row r="260" spans="7:29" x14ac:dyDescent="0.15">
      <c r="G260" s="205" t="s">
        <v>507</v>
      </c>
      <c r="H260" s="53" t="s">
        <v>510</v>
      </c>
      <c r="I260" s="45">
        <f t="shared" si="53"/>
        <v>0</v>
      </c>
      <c r="J260" s="45">
        <f t="shared" si="54"/>
        <v>0</v>
      </c>
      <c r="K260" s="8"/>
      <c r="L260" s="8"/>
      <c r="M260" s="45">
        <f t="shared" si="55"/>
        <v>0</v>
      </c>
      <c r="N260" s="8"/>
      <c r="O260" s="8"/>
      <c r="P260" s="45">
        <f t="shared" si="56"/>
        <v>0</v>
      </c>
      <c r="Q260" s="8"/>
      <c r="R260" s="8"/>
      <c r="S260" s="45">
        <f t="shared" si="57"/>
        <v>0</v>
      </c>
      <c r="T260" s="45">
        <f t="shared" si="58"/>
        <v>0</v>
      </c>
      <c r="U260" s="8"/>
      <c r="V260" s="8"/>
      <c r="W260" s="45">
        <f t="shared" si="59"/>
        <v>0</v>
      </c>
      <c r="X260" s="8"/>
      <c r="Y260" s="8"/>
      <c r="Z260" s="45">
        <f t="shared" si="60"/>
        <v>0</v>
      </c>
      <c r="AA260" s="8"/>
      <c r="AB260" s="8"/>
      <c r="AC260" s="50">
        <f t="shared" si="61"/>
        <v>0</v>
      </c>
    </row>
    <row r="261" spans="7:29" x14ac:dyDescent="0.15">
      <c r="G261" s="205" t="s">
        <v>509</v>
      </c>
      <c r="H261" s="4" t="s">
        <v>512</v>
      </c>
      <c r="I261" s="45">
        <f t="shared" si="53"/>
        <v>0</v>
      </c>
      <c r="J261" s="45">
        <f t="shared" si="54"/>
        <v>0</v>
      </c>
      <c r="K261" s="8"/>
      <c r="L261" s="8"/>
      <c r="M261" s="45">
        <f t="shared" si="55"/>
        <v>0</v>
      </c>
      <c r="N261" s="8"/>
      <c r="O261" s="8"/>
      <c r="P261" s="45">
        <f t="shared" si="56"/>
        <v>0</v>
      </c>
      <c r="Q261" s="8"/>
      <c r="R261" s="8"/>
      <c r="S261" s="45">
        <f t="shared" si="57"/>
        <v>0</v>
      </c>
      <c r="T261" s="45">
        <f t="shared" si="58"/>
        <v>0</v>
      </c>
      <c r="U261" s="8"/>
      <c r="V261" s="8"/>
      <c r="W261" s="45">
        <f t="shared" si="59"/>
        <v>0</v>
      </c>
      <c r="X261" s="8"/>
      <c r="Y261" s="8"/>
      <c r="Z261" s="45">
        <f t="shared" si="60"/>
        <v>0</v>
      </c>
      <c r="AA261" s="8"/>
      <c r="AB261" s="8"/>
      <c r="AC261" s="50">
        <f t="shared" si="61"/>
        <v>0</v>
      </c>
    </row>
    <row r="262" spans="7:29" x14ac:dyDescent="0.15">
      <c r="G262" s="205" t="s">
        <v>511</v>
      </c>
      <c r="H262" s="4" t="s">
        <v>514</v>
      </c>
      <c r="I262" s="45">
        <f t="shared" si="53"/>
        <v>0</v>
      </c>
      <c r="J262" s="45">
        <f t="shared" si="54"/>
        <v>0</v>
      </c>
      <c r="K262" s="8"/>
      <c r="L262" s="8"/>
      <c r="M262" s="45">
        <f t="shared" si="55"/>
        <v>0</v>
      </c>
      <c r="N262" s="8"/>
      <c r="O262" s="8"/>
      <c r="P262" s="45">
        <f t="shared" si="56"/>
        <v>0</v>
      </c>
      <c r="Q262" s="8"/>
      <c r="R262" s="8"/>
      <c r="S262" s="45">
        <f t="shared" si="57"/>
        <v>0</v>
      </c>
      <c r="T262" s="45">
        <f t="shared" si="58"/>
        <v>0</v>
      </c>
      <c r="U262" s="8"/>
      <c r="V262" s="8"/>
      <c r="W262" s="45">
        <f t="shared" si="59"/>
        <v>0</v>
      </c>
      <c r="X262" s="8"/>
      <c r="Y262" s="8"/>
      <c r="Z262" s="45">
        <f t="shared" si="60"/>
        <v>0</v>
      </c>
      <c r="AA262" s="8"/>
      <c r="AB262" s="8"/>
      <c r="AC262" s="50">
        <f t="shared" si="61"/>
        <v>0</v>
      </c>
    </row>
    <row r="263" spans="7:29" x14ac:dyDescent="0.15">
      <c r="G263" s="205" t="s">
        <v>513</v>
      </c>
      <c r="H263" s="53" t="s">
        <v>516</v>
      </c>
      <c r="I263" s="45">
        <f t="shared" si="53"/>
        <v>0</v>
      </c>
      <c r="J263" s="45">
        <f t="shared" si="54"/>
        <v>0</v>
      </c>
      <c r="K263" s="8"/>
      <c r="L263" s="8"/>
      <c r="M263" s="45">
        <f t="shared" si="55"/>
        <v>0</v>
      </c>
      <c r="N263" s="8"/>
      <c r="O263" s="8"/>
      <c r="P263" s="45">
        <f t="shared" si="56"/>
        <v>0</v>
      </c>
      <c r="Q263" s="8"/>
      <c r="R263" s="8"/>
      <c r="S263" s="45">
        <f t="shared" si="57"/>
        <v>0</v>
      </c>
      <c r="T263" s="45">
        <f t="shared" si="58"/>
        <v>0</v>
      </c>
      <c r="U263" s="8"/>
      <c r="V263" s="8"/>
      <c r="W263" s="45">
        <f t="shared" si="59"/>
        <v>0</v>
      </c>
      <c r="X263" s="8"/>
      <c r="Y263" s="8"/>
      <c r="Z263" s="45">
        <f t="shared" si="60"/>
        <v>0</v>
      </c>
      <c r="AA263" s="8"/>
      <c r="AB263" s="8"/>
      <c r="AC263" s="50">
        <f t="shared" si="61"/>
        <v>0</v>
      </c>
    </row>
    <row r="264" spans="7:29" x14ac:dyDescent="0.15">
      <c r="G264" s="208" t="s">
        <v>515</v>
      </c>
      <c r="H264" s="4" t="s">
        <v>518</v>
      </c>
      <c r="I264" s="45">
        <f t="shared" si="53"/>
        <v>0</v>
      </c>
      <c r="J264" s="45">
        <f t="shared" si="54"/>
        <v>0</v>
      </c>
      <c r="K264" s="8"/>
      <c r="L264" s="8"/>
      <c r="M264" s="45">
        <f t="shared" si="55"/>
        <v>0</v>
      </c>
      <c r="N264" s="8"/>
      <c r="O264" s="8"/>
      <c r="P264" s="45">
        <f t="shared" si="56"/>
        <v>0</v>
      </c>
      <c r="Q264" s="8"/>
      <c r="R264" s="8"/>
      <c r="S264" s="45">
        <f t="shared" si="57"/>
        <v>0</v>
      </c>
      <c r="T264" s="45">
        <f t="shared" si="58"/>
        <v>0</v>
      </c>
      <c r="U264" s="8"/>
      <c r="V264" s="8"/>
      <c r="W264" s="45">
        <f t="shared" si="59"/>
        <v>0</v>
      </c>
      <c r="X264" s="8"/>
      <c r="Y264" s="8"/>
      <c r="Z264" s="45">
        <f t="shared" si="60"/>
        <v>0</v>
      </c>
      <c r="AA264" s="8"/>
      <c r="AB264" s="8"/>
      <c r="AC264" s="50">
        <f t="shared" si="61"/>
        <v>0</v>
      </c>
    </row>
    <row r="265" spans="7:29" x14ac:dyDescent="0.15">
      <c r="G265" s="205" t="s">
        <v>517</v>
      </c>
      <c r="H265" s="4" t="s">
        <v>520</v>
      </c>
      <c r="I265" s="45">
        <f t="shared" si="53"/>
        <v>0</v>
      </c>
      <c r="J265" s="45">
        <f t="shared" si="54"/>
        <v>0</v>
      </c>
      <c r="K265" s="8"/>
      <c r="L265" s="8"/>
      <c r="M265" s="45">
        <f t="shared" si="55"/>
        <v>0</v>
      </c>
      <c r="N265" s="8"/>
      <c r="O265" s="8"/>
      <c r="P265" s="45">
        <f t="shared" si="56"/>
        <v>0</v>
      </c>
      <c r="Q265" s="8"/>
      <c r="R265" s="8"/>
      <c r="S265" s="45">
        <f t="shared" si="57"/>
        <v>0</v>
      </c>
      <c r="T265" s="45">
        <f t="shared" si="58"/>
        <v>0</v>
      </c>
      <c r="U265" s="8"/>
      <c r="V265" s="8"/>
      <c r="W265" s="45">
        <f t="shared" si="59"/>
        <v>0</v>
      </c>
      <c r="X265" s="8"/>
      <c r="Y265" s="8"/>
      <c r="Z265" s="45">
        <f t="shared" si="60"/>
        <v>0</v>
      </c>
      <c r="AA265" s="8"/>
      <c r="AB265" s="8"/>
      <c r="AC265" s="50">
        <f t="shared" si="61"/>
        <v>0</v>
      </c>
    </row>
    <row r="266" spans="7:29" x14ac:dyDescent="0.15">
      <c r="G266" s="205" t="s">
        <v>519</v>
      </c>
      <c r="H266" s="53" t="s">
        <v>522</v>
      </c>
      <c r="I266" s="45">
        <f t="shared" si="53"/>
        <v>0</v>
      </c>
      <c r="J266" s="45">
        <f t="shared" si="54"/>
        <v>0</v>
      </c>
      <c r="K266" s="8"/>
      <c r="L266" s="8"/>
      <c r="M266" s="45">
        <f t="shared" si="55"/>
        <v>0</v>
      </c>
      <c r="N266" s="8"/>
      <c r="O266" s="8"/>
      <c r="P266" s="45">
        <f t="shared" si="56"/>
        <v>0</v>
      </c>
      <c r="Q266" s="8"/>
      <c r="R266" s="8"/>
      <c r="S266" s="45">
        <f t="shared" si="57"/>
        <v>0</v>
      </c>
      <c r="T266" s="45">
        <f t="shared" si="58"/>
        <v>0</v>
      </c>
      <c r="U266" s="8"/>
      <c r="V266" s="8"/>
      <c r="W266" s="45">
        <f t="shared" si="59"/>
        <v>0</v>
      </c>
      <c r="X266" s="8"/>
      <c r="Y266" s="8"/>
      <c r="Z266" s="45">
        <f t="shared" si="60"/>
        <v>0</v>
      </c>
      <c r="AA266" s="8"/>
      <c r="AB266" s="8"/>
      <c r="AC266" s="50">
        <f t="shared" si="61"/>
        <v>0</v>
      </c>
    </row>
    <row r="267" spans="7:29" x14ac:dyDescent="0.15">
      <c r="G267" s="205" t="s">
        <v>896</v>
      </c>
      <c r="H267" s="4" t="s">
        <v>524</v>
      </c>
      <c r="I267" s="45">
        <f t="shared" ref="I267" si="67">J267+M267+P267</f>
        <v>0</v>
      </c>
      <c r="J267" s="45">
        <f t="shared" ref="J267" si="68">K267+L267</f>
        <v>0</v>
      </c>
      <c r="K267" s="8"/>
      <c r="L267" s="8"/>
      <c r="M267" s="45">
        <f t="shared" ref="M267" si="69">N267+O267</f>
        <v>0</v>
      </c>
      <c r="N267" s="8"/>
      <c r="O267" s="8"/>
      <c r="P267" s="45">
        <f t="shared" ref="P267" si="70">Q267+R267</f>
        <v>0</v>
      </c>
      <c r="Q267" s="8"/>
      <c r="R267" s="8"/>
      <c r="S267" s="45">
        <f t="shared" ref="S267" si="71">T267+W267+Z267</f>
        <v>0</v>
      </c>
      <c r="T267" s="45">
        <f t="shared" ref="T267" si="72">U267+V267</f>
        <v>0</v>
      </c>
      <c r="U267" s="8"/>
      <c r="V267" s="8"/>
      <c r="W267" s="45">
        <f t="shared" ref="W267" si="73">X267+Y267</f>
        <v>0</v>
      </c>
      <c r="X267" s="8"/>
      <c r="Y267" s="8"/>
      <c r="Z267" s="45">
        <f t="shared" ref="Z267" si="74">AA267+AB267</f>
        <v>0</v>
      </c>
      <c r="AA267" s="8"/>
      <c r="AB267" s="8"/>
      <c r="AC267" s="50">
        <f t="shared" ref="AC267" si="75">SUM(I267:AB267)</f>
        <v>0</v>
      </c>
    </row>
    <row r="268" spans="7:29" x14ac:dyDescent="0.15">
      <c r="G268" s="205" t="s">
        <v>521</v>
      </c>
      <c r="H268" s="4" t="s">
        <v>526</v>
      </c>
      <c r="I268" s="45">
        <f t="shared" si="53"/>
        <v>0</v>
      </c>
      <c r="J268" s="45">
        <f t="shared" si="54"/>
        <v>0</v>
      </c>
      <c r="K268" s="8"/>
      <c r="L268" s="8"/>
      <c r="M268" s="45">
        <f t="shared" si="55"/>
        <v>0</v>
      </c>
      <c r="N268" s="8"/>
      <c r="O268" s="8"/>
      <c r="P268" s="45">
        <f t="shared" si="56"/>
        <v>0</v>
      </c>
      <c r="Q268" s="8"/>
      <c r="R268" s="8"/>
      <c r="S268" s="45">
        <f t="shared" si="57"/>
        <v>0</v>
      </c>
      <c r="T268" s="45">
        <f t="shared" si="58"/>
        <v>0</v>
      </c>
      <c r="U268" s="8"/>
      <c r="V268" s="8"/>
      <c r="W268" s="45">
        <f t="shared" si="59"/>
        <v>0</v>
      </c>
      <c r="X268" s="8"/>
      <c r="Y268" s="8"/>
      <c r="Z268" s="45">
        <f t="shared" si="60"/>
        <v>0</v>
      </c>
      <c r="AA268" s="8"/>
      <c r="AB268" s="8"/>
      <c r="AC268" s="50">
        <f t="shared" si="61"/>
        <v>0</v>
      </c>
    </row>
    <row r="269" spans="7:29" x14ac:dyDescent="0.15">
      <c r="G269" s="205" t="s">
        <v>523</v>
      </c>
      <c r="H269" s="53" t="s">
        <v>528</v>
      </c>
      <c r="I269" s="45">
        <f t="shared" si="53"/>
        <v>0</v>
      </c>
      <c r="J269" s="45">
        <f t="shared" si="54"/>
        <v>0</v>
      </c>
      <c r="K269" s="8"/>
      <c r="L269" s="8"/>
      <c r="M269" s="45">
        <f t="shared" si="55"/>
        <v>0</v>
      </c>
      <c r="N269" s="8"/>
      <c r="O269" s="8"/>
      <c r="P269" s="45">
        <f t="shared" si="56"/>
        <v>0</v>
      </c>
      <c r="Q269" s="8"/>
      <c r="R269" s="8"/>
      <c r="S269" s="45">
        <f t="shared" si="57"/>
        <v>0</v>
      </c>
      <c r="T269" s="45">
        <f t="shared" si="58"/>
        <v>0</v>
      </c>
      <c r="U269" s="8"/>
      <c r="V269" s="8"/>
      <c r="W269" s="45">
        <f t="shared" si="59"/>
        <v>0</v>
      </c>
      <c r="X269" s="8"/>
      <c r="Y269" s="8"/>
      <c r="Z269" s="45">
        <f t="shared" si="60"/>
        <v>0</v>
      </c>
      <c r="AA269" s="8"/>
      <c r="AB269" s="8"/>
      <c r="AC269" s="50">
        <f t="shared" si="61"/>
        <v>0</v>
      </c>
    </row>
    <row r="270" spans="7:29" x14ac:dyDescent="0.15">
      <c r="G270" s="205" t="s">
        <v>525</v>
      </c>
      <c r="H270" s="4" t="s">
        <v>530</v>
      </c>
      <c r="I270" s="45">
        <f t="shared" ref="I270:I322" si="76">J270+M270+P270</f>
        <v>0</v>
      </c>
      <c r="J270" s="45">
        <f t="shared" ref="J270:J322" si="77">K270+L270</f>
        <v>0</v>
      </c>
      <c r="K270" s="8"/>
      <c r="L270" s="8"/>
      <c r="M270" s="45">
        <f t="shared" ref="M270:M322" si="78">N270+O270</f>
        <v>0</v>
      </c>
      <c r="N270" s="8"/>
      <c r="O270" s="8"/>
      <c r="P270" s="45">
        <f t="shared" ref="P270:P322" si="79">Q270+R270</f>
        <v>0</v>
      </c>
      <c r="Q270" s="8"/>
      <c r="R270" s="8"/>
      <c r="S270" s="45">
        <f t="shared" ref="S270:S322" si="80">T270+W270+Z270</f>
        <v>0</v>
      </c>
      <c r="T270" s="45">
        <f t="shared" ref="T270:T322" si="81">U270+V270</f>
        <v>0</v>
      </c>
      <c r="U270" s="8"/>
      <c r="V270" s="8"/>
      <c r="W270" s="45">
        <f t="shared" ref="W270:W322" si="82">X270+Y270</f>
        <v>0</v>
      </c>
      <c r="X270" s="8"/>
      <c r="Y270" s="8"/>
      <c r="Z270" s="45">
        <f t="shared" ref="Z270:Z322" si="83">AA270+AB270</f>
        <v>0</v>
      </c>
      <c r="AA270" s="8"/>
      <c r="AB270" s="8"/>
      <c r="AC270" s="50">
        <f t="shared" ref="AC270:AC322" si="84">SUM(I270:AB270)</f>
        <v>0</v>
      </c>
    </row>
    <row r="271" spans="7:29" x14ac:dyDescent="0.15">
      <c r="G271" s="205" t="s">
        <v>527</v>
      </c>
      <c r="H271" s="4" t="s">
        <v>532</v>
      </c>
      <c r="I271" s="45">
        <f t="shared" si="76"/>
        <v>0</v>
      </c>
      <c r="J271" s="45">
        <f t="shared" si="77"/>
        <v>0</v>
      </c>
      <c r="K271" s="46">
        <f>SUM(K272:K276)</f>
        <v>0</v>
      </c>
      <c r="L271" s="46">
        <f>SUM(L272:L276)</f>
        <v>0</v>
      </c>
      <c r="M271" s="45">
        <f t="shared" si="78"/>
        <v>0</v>
      </c>
      <c r="N271" s="46">
        <f>SUM(N272:N276)</f>
        <v>0</v>
      </c>
      <c r="O271" s="46">
        <f>SUM(O272:O276)</f>
        <v>0</v>
      </c>
      <c r="P271" s="45">
        <f t="shared" si="79"/>
        <v>0</v>
      </c>
      <c r="Q271" s="46">
        <f>SUM(Q272:Q276)</f>
        <v>0</v>
      </c>
      <c r="R271" s="46">
        <f>SUM(R272:R276)</f>
        <v>0</v>
      </c>
      <c r="S271" s="45">
        <f t="shared" si="80"/>
        <v>0</v>
      </c>
      <c r="T271" s="45">
        <f t="shared" si="81"/>
        <v>0</v>
      </c>
      <c r="U271" s="46">
        <f>SUM(U272:U276)</f>
        <v>0</v>
      </c>
      <c r="V271" s="46">
        <f>SUM(V272:V276)</f>
        <v>0</v>
      </c>
      <c r="W271" s="45">
        <f t="shared" si="82"/>
        <v>0</v>
      </c>
      <c r="X271" s="46">
        <f>SUM(X272:X276)</f>
        <v>0</v>
      </c>
      <c r="Y271" s="46">
        <f>SUM(Y272:Y276)</f>
        <v>0</v>
      </c>
      <c r="Z271" s="45">
        <f t="shared" si="83"/>
        <v>0</v>
      </c>
      <c r="AA271" s="46">
        <f>SUM(AA272:AA276)</f>
        <v>0</v>
      </c>
      <c r="AB271" s="46">
        <f>SUM(AB272:AB276)</f>
        <v>0</v>
      </c>
      <c r="AC271" s="50">
        <f t="shared" si="84"/>
        <v>0</v>
      </c>
    </row>
    <row r="272" spans="7:29" ht="21" x14ac:dyDescent="0.15">
      <c r="G272" s="206" t="s">
        <v>529</v>
      </c>
      <c r="H272" s="53" t="s">
        <v>534</v>
      </c>
      <c r="I272" s="45">
        <f t="shared" si="76"/>
        <v>0</v>
      </c>
      <c r="J272" s="45">
        <f t="shared" si="77"/>
        <v>0</v>
      </c>
      <c r="K272" s="8"/>
      <c r="L272" s="8"/>
      <c r="M272" s="45">
        <f t="shared" si="78"/>
        <v>0</v>
      </c>
      <c r="N272" s="8"/>
      <c r="O272" s="8"/>
      <c r="P272" s="45">
        <f t="shared" si="79"/>
        <v>0</v>
      </c>
      <c r="Q272" s="8"/>
      <c r="R272" s="8"/>
      <c r="S272" s="45">
        <f t="shared" si="80"/>
        <v>0</v>
      </c>
      <c r="T272" s="45">
        <f t="shared" si="81"/>
        <v>0</v>
      </c>
      <c r="U272" s="8"/>
      <c r="V272" s="8"/>
      <c r="W272" s="45">
        <f t="shared" si="82"/>
        <v>0</v>
      </c>
      <c r="X272" s="8"/>
      <c r="Y272" s="8"/>
      <c r="Z272" s="45">
        <f t="shared" si="83"/>
        <v>0</v>
      </c>
      <c r="AA272" s="8"/>
      <c r="AB272" s="8"/>
      <c r="AC272" s="50">
        <f t="shared" si="84"/>
        <v>0</v>
      </c>
    </row>
    <row r="273" spans="7:29" x14ac:dyDescent="0.15">
      <c r="G273" s="206" t="s">
        <v>531</v>
      </c>
      <c r="H273" s="4" t="s">
        <v>536</v>
      </c>
      <c r="I273" s="45">
        <f t="shared" si="76"/>
        <v>0</v>
      </c>
      <c r="J273" s="45">
        <f t="shared" si="77"/>
        <v>0</v>
      </c>
      <c r="K273" s="8"/>
      <c r="L273" s="8"/>
      <c r="M273" s="45">
        <f t="shared" si="78"/>
        <v>0</v>
      </c>
      <c r="N273" s="8"/>
      <c r="O273" s="8"/>
      <c r="P273" s="45">
        <f t="shared" si="79"/>
        <v>0</v>
      </c>
      <c r="Q273" s="8"/>
      <c r="R273" s="8"/>
      <c r="S273" s="45">
        <f t="shared" si="80"/>
        <v>0</v>
      </c>
      <c r="T273" s="45">
        <f t="shared" si="81"/>
        <v>0</v>
      </c>
      <c r="U273" s="8"/>
      <c r="V273" s="8"/>
      <c r="W273" s="45">
        <f t="shared" si="82"/>
        <v>0</v>
      </c>
      <c r="X273" s="8"/>
      <c r="Y273" s="8"/>
      <c r="Z273" s="45">
        <f t="shared" si="83"/>
        <v>0</v>
      </c>
      <c r="AA273" s="8"/>
      <c r="AB273" s="8"/>
      <c r="AC273" s="50">
        <f t="shared" si="84"/>
        <v>0</v>
      </c>
    </row>
    <row r="274" spans="7:29" x14ac:dyDescent="0.15">
      <c r="G274" s="206" t="s">
        <v>533</v>
      </c>
      <c r="H274" s="4" t="s">
        <v>538</v>
      </c>
      <c r="I274" s="45">
        <f t="shared" si="76"/>
        <v>0</v>
      </c>
      <c r="J274" s="45">
        <f t="shared" si="77"/>
        <v>0</v>
      </c>
      <c r="K274" s="8"/>
      <c r="L274" s="8"/>
      <c r="M274" s="45">
        <f t="shared" si="78"/>
        <v>0</v>
      </c>
      <c r="N274" s="8"/>
      <c r="O274" s="8"/>
      <c r="P274" s="45">
        <f t="shared" si="79"/>
        <v>0</v>
      </c>
      <c r="Q274" s="8"/>
      <c r="R274" s="8"/>
      <c r="S274" s="45">
        <f t="shared" si="80"/>
        <v>0</v>
      </c>
      <c r="T274" s="45">
        <f t="shared" si="81"/>
        <v>0</v>
      </c>
      <c r="U274" s="8"/>
      <c r="V274" s="8"/>
      <c r="W274" s="45">
        <f t="shared" si="82"/>
        <v>0</v>
      </c>
      <c r="X274" s="8"/>
      <c r="Y274" s="8"/>
      <c r="Z274" s="45">
        <f t="shared" si="83"/>
        <v>0</v>
      </c>
      <c r="AA274" s="8"/>
      <c r="AB274" s="8"/>
      <c r="AC274" s="50">
        <f t="shared" si="84"/>
        <v>0</v>
      </c>
    </row>
    <row r="275" spans="7:29" x14ac:dyDescent="0.15">
      <c r="G275" s="206" t="s">
        <v>535</v>
      </c>
      <c r="H275" s="53" t="s">
        <v>540</v>
      </c>
      <c r="I275" s="45">
        <f t="shared" si="76"/>
        <v>0</v>
      </c>
      <c r="J275" s="45">
        <f t="shared" si="77"/>
        <v>0</v>
      </c>
      <c r="K275" s="8"/>
      <c r="L275" s="8"/>
      <c r="M275" s="45">
        <f t="shared" si="78"/>
        <v>0</v>
      </c>
      <c r="N275" s="8"/>
      <c r="O275" s="8"/>
      <c r="P275" s="45">
        <f t="shared" si="79"/>
        <v>0</v>
      </c>
      <c r="Q275" s="8"/>
      <c r="R275" s="8"/>
      <c r="S275" s="45">
        <f t="shared" si="80"/>
        <v>0</v>
      </c>
      <c r="T275" s="45">
        <f t="shared" si="81"/>
        <v>0</v>
      </c>
      <c r="U275" s="8"/>
      <c r="V275" s="8"/>
      <c r="W275" s="45">
        <f t="shared" si="82"/>
        <v>0</v>
      </c>
      <c r="X275" s="8"/>
      <c r="Y275" s="8"/>
      <c r="Z275" s="45">
        <f t="shared" si="83"/>
        <v>0</v>
      </c>
      <c r="AA275" s="8"/>
      <c r="AB275" s="8"/>
      <c r="AC275" s="50">
        <f t="shared" si="84"/>
        <v>0</v>
      </c>
    </row>
    <row r="276" spans="7:29" x14ac:dyDescent="0.15">
      <c r="G276" s="206" t="s">
        <v>897</v>
      </c>
      <c r="H276" s="4" t="s">
        <v>542</v>
      </c>
      <c r="I276" s="45">
        <f t="shared" ref="I276" si="85">J276+M276+P276</f>
        <v>0</v>
      </c>
      <c r="J276" s="45">
        <f t="shared" ref="J276" si="86">K276+L276</f>
        <v>0</v>
      </c>
      <c r="K276" s="8"/>
      <c r="L276" s="8"/>
      <c r="M276" s="45">
        <f t="shared" ref="M276" si="87">N276+O276</f>
        <v>0</v>
      </c>
      <c r="N276" s="8"/>
      <c r="O276" s="8"/>
      <c r="P276" s="45">
        <f t="shared" ref="P276" si="88">Q276+R276</f>
        <v>0</v>
      </c>
      <c r="Q276" s="8"/>
      <c r="R276" s="8"/>
      <c r="S276" s="45">
        <f t="shared" ref="S276" si="89">T276+W276+Z276</f>
        <v>0</v>
      </c>
      <c r="T276" s="45">
        <f t="shared" ref="T276" si="90">U276+V276</f>
        <v>0</v>
      </c>
      <c r="U276" s="8"/>
      <c r="V276" s="8"/>
      <c r="W276" s="45">
        <f t="shared" ref="W276" si="91">X276+Y276</f>
        <v>0</v>
      </c>
      <c r="X276" s="8"/>
      <c r="Y276" s="8"/>
      <c r="Z276" s="45">
        <f t="shared" ref="Z276" si="92">AA276+AB276</f>
        <v>0</v>
      </c>
      <c r="AA276" s="8"/>
      <c r="AB276" s="8"/>
      <c r="AC276" s="50">
        <f t="shared" ref="AC276" si="93">SUM(I276:AB276)</f>
        <v>0</v>
      </c>
    </row>
    <row r="277" spans="7:29" x14ac:dyDescent="0.15">
      <c r="G277" s="205" t="s">
        <v>537</v>
      </c>
      <c r="H277" s="4" t="s">
        <v>544</v>
      </c>
      <c r="I277" s="45">
        <f t="shared" si="76"/>
        <v>0</v>
      </c>
      <c r="J277" s="45">
        <f t="shared" si="77"/>
        <v>0</v>
      </c>
      <c r="K277" s="8"/>
      <c r="L277" s="8"/>
      <c r="M277" s="45">
        <f t="shared" si="78"/>
        <v>0</v>
      </c>
      <c r="N277" s="8"/>
      <c r="O277" s="8"/>
      <c r="P277" s="45">
        <f t="shared" si="79"/>
        <v>0</v>
      </c>
      <c r="Q277" s="8"/>
      <c r="R277" s="8"/>
      <c r="S277" s="45">
        <f t="shared" si="80"/>
        <v>0</v>
      </c>
      <c r="T277" s="45">
        <f t="shared" si="81"/>
        <v>0</v>
      </c>
      <c r="U277" s="8"/>
      <c r="V277" s="8"/>
      <c r="W277" s="45">
        <f t="shared" si="82"/>
        <v>0</v>
      </c>
      <c r="X277" s="8"/>
      <c r="Y277" s="8"/>
      <c r="Z277" s="45">
        <f t="shared" si="83"/>
        <v>0</v>
      </c>
      <c r="AA277" s="8"/>
      <c r="AB277" s="8"/>
      <c r="AC277" s="50">
        <f t="shared" si="84"/>
        <v>0</v>
      </c>
    </row>
    <row r="278" spans="7:29" ht="21" x14ac:dyDescent="0.15">
      <c r="G278" s="205" t="s">
        <v>539</v>
      </c>
      <c r="H278" s="53" t="s">
        <v>546</v>
      </c>
      <c r="I278" s="45">
        <f t="shared" si="76"/>
        <v>0</v>
      </c>
      <c r="J278" s="45">
        <f t="shared" si="77"/>
        <v>0</v>
      </c>
      <c r="K278" s="48">
        <f t="shared" ref="K278:AB278" si="94">SUM(K279:K283)</f>
        <v>0</v>
      </c>
      <c r="L278" s="48">
        <f t="shared" si="94"/>
        <v>0</v>
      </c>
      <c r="M278" s="45">
        <f t="shared" si="78"/>
        <v>0</v>
      </c>
      <c r="N278" s="48">
        <f t="shared" si="94"/>
        <v>0</v>
      </c>
      <c r="O278" s="48">
        <f t="shared" si="94"/>
        <v>0</v>
      </c>
      <c r="P278" s="45">
        <f t="shared" si="79"/>
        <v>0</v>
      </c>
      <c r="Q278" s="48">
        <f t="shared" si="94"/>
        <v>0</v>
      </c>
      <c r="R278" s="48">
        <f t="shared" si="94"/>
        <v>0</v>
      </c>
      <c r="S278" s="45">
        <f t="shared" si="80"/>
        <v>0</v>
      </c>
      <c r="T278" s="45">
        <f t="shared" si="81"/>
        <v>0</v>
      </c>
      <c r="U278" s="48">
        <f t="shared" si="94"/>
        <v>0</v>
      </c>
      <c r="V278" s="48">
        <f t="shared" si="94"/>
        <v>0</v>
      </c>
      <c r="W278" s="45">
        <f t="shared" si="82"/>
        <v>0</v>
      </c>
      <c r="X278" s="48">
        <f t="shared" si="94"/>
        <v>0</v>
      </c>
      <c r="Y278" s="48">
        <f t="shared" si="94"/>
        <v>0</v>
      </c>
      <c r="Z278" s="45">
        <f t="shared" si="83"/>
        <v>0</v>
      </c>
      <c r="AA278" s="48">
        <f t="shared" si="94"/>
        <v>0</v>
      </c>
      <c r="AB278" s="48">
        <f t="shared" si="94"/>
        <v>0</v>
      </c>
      <c r="AC278" s="50">
        <f t="shared" si="84"/>
        <v>0</v>
      </c>
    </row>
    <row r="279" spans="7:29" ht="21" x14ac:dyDescent="0.15">
      <c r="G279" s="206" t="s">
        <v>541</v>
      </c>
      <c r="H279" s="4" t="s">
        <v>548</v>
      </c>
      <c r="I279" s="45">
        <f t="shared" si="76"/>
        <v>0</v>
      </c>
      <c r="J279" s="45">
        <f t="shared" si="77"/>
        <v>0</v>
      </c>
      <c r="K279" s="8"/>
      <c r="L279" s="8"/>
      <c r="M279" s="45">
        <f t="shared" si="78"/>
        <v>0</v>
      </c>
      <c r="N279" s="8"/>
      <c r="O279" s="8"/>
      <c r="P279" s="45">
        <f t="shared" si="79"/>
        <v>0</v>
      </c>
      <c r="Q279" s="8"/>
      <c r="R279" s="8"/>
      <c r="S279" s="45">
        <f t="shared" si="80"/>
        <v>0</v>
      </c>
      <c r="T279" s="45">
        <f t="shared" si="81"/>
        <v>0</v>
      </c>
      <c r="U279" s="8"/>
      <c r="V279" s="8"/>
      <c r="W279" s="45">
        <f t="shared" si="82"/>
        <v>0</v>
      </c>
      <c r="X279" s="8"/>
      <c r="Y279" s="8"/>
      <c r="Z279" s="45">
        <f t="shared" si="83"/>
        <v>0</v>
      </c>
      <c r="AA279" s="8"/>
      <c r="AB279" s="8"/>
      <c r="AC279" s="50">
        <f t="shared" si="84"/>
        <v>0</v>
      </c>
    </row>
    <row r="280" spans="7:29" x14ac:dyDescent="0.15">
      <c r="G280" s="206" t="s">
        <v>543</v>
      </c>
      <c r="H280" s="4" t="s">
        <v>549</v>
      </c>
      <c r="I280" s="45">
        <f t="shared" si="76"/>
        <v>0</v>
      </c>
      <c r="J280" s="45">
        <f t="shared" si="77"/>
        <v>0</v>
      </c>
      <c r="K280" s="8"/>
      <c r="L280" s="8"/>
      <c r="M280" s="45">
        <f t="shared" si="78"/>
        <v>0</v>
      </c>
      <c r="N280" s="8"/>
      <c r="O280" s="8"/>
      <c r="P280" s="45">
        <f t="shared" si="79"/>
        <v>0</v>
      </c>
      <c r="Q280" s="8"/>
      <c r="R280" s="8"/>
      <c r="S280" s="45">
        <f t="shared" si="80"/>
        <v>0</v>
      </c>
      <c r="T280" s="45">
        <f t="shared" si="81"/>
        <v>0</v>
      </c>
      <c r="U280" s="8"/>
      <c r="V280" s="8"/>
      <c r="W280" s="45">
        <f t="shared" si="82"/>
        <v>0</v>
      </c>
      <c r="X280" s="8"/>
      <c r="Y280" s="8"/>
      <c r="Z280" s="45">
        <f t="shared" si="83"/>
        <v>0</v>
      </c>
      <c r="AA280" s="8"/>
      <c r="AB280" s="8"/>
      <c r="AC280" s="50">
        <f t="shared" si="84"/>
        <v>0</v>
      </c>
    </row>
    <row r="281" spans="7:29" x14ac:dyDescent="0.15">
      <c r="G281" s="206" t="s">
        <v>545</v>
      </c>
      <c r="H281" s="53" t="s">
        <v>551</v>
      </c>
      <c r="I281" s="45">
        <f t="shared" si="76"/>
        <v>0</v>
      </c>
      <c r="J281" s="45">
        <f t="shared" si="77"/>
        <v>0</v>
      </c>
      <c r="K281" s="8"/>
      <c r="L281" s="8"/>
      <c r="M281" s="45">
        <f t="shared" si="78"/>
        <v>0</v>
      </c>
      <c r="N281" s="8"/>
      <c r="O281" s="8"/>
      <c r="P281" s="45">
        <f t="shared" si="79"/>
        <v>0</v>
      </c>
      <c r="Q281" s="8"/>
      <c r="R281" s="8"/>
      <c r="S281" s="45">
        <f t="shared" si="80"/>
        <v>0</v>
      </c>
      <c r="T281" s="45">
        <f t="shared" si="81"/>
        <v>0</v>
      </c>
      <c r="U281" s="8"/>
      <c r="V281" s="8"/>
      <c r="W281" s="45">
        <f t="shared" si="82"/>
        <v>0</v>
      </c>
      <c r="X281" s="8"/>
      <c r="Y281" s="8"/>
      <c r="Z281" s="45">
        <f t="shared" si="83"/>
        <v>0</v>
      </c>
      <c r="AA281" s="8"/>
      <c r="AB281" s="8"/>
      <c r="AC281" s="50">
        <f t="shared" si="84"/>
        <v>0</v>
      </c>
    </row>
    <row r="282" spans="7:29" x14ac:dyDescent="0.15">
      <c r="G282" s="206" t="s">
        <v>547</v>
      </c>
      <c r="H282" s="4" t="s">
        <v>553</v>
      </c>
      <c r="I282" s="45">
        <f t="shared" si="76"/>
        <v>0</v>
      </c>
      <c r="J282" s="45">
        <f t="shared" si="77"/>
        <v>0</v>
      </c>
      <c r="K282" s="8"/>
      <c r="L282" s="8"/>
      <c r="M282" s="45">
        <f t="shared" si="78"/>
        <v>0</v>
      </c>
      <c r="N282" s="8"/>
      <c r="O282" s="8"/>
      <c r="P282" s="45">
        <f t="shared" si="79"/>
        <v>0</v>
      </c>
      <c r="Q282" s="8"/>
      <c r="R282" s="8"/>
      <c r="S282" s="45">
        <f t="shared" si="80"/>
        <v>0</v>
      </c>
      <c r="T282" s="45">
        <f t="shared" si="81"/>
        <v>0</v>
      </c>
      <c r="U282" s="8"/>
      <c r="V282" s="8"/>
      <c r="W282" s="45">
        <f t="shared" si="82"/>
        <v>0</v>
      </c>
      <c r="X282" s="8"/>
      <c r="Y282" s="8"/>
      <c r="Z282" s="45">
        <f t="shared" si="83"/>
        <v>0</v>
      </c>
      <c r="AA282" s="8"/>
      <c r="AB282" s="8"/>
      <c r="AC282" s="50">
        <f t="shared" si="84"/>
        <v>0</v>
      </c>
    </row>
    <row r="283" spans="7:29" x14ac:dyDescent="0.15">
      <c r="G283" s="206" t="s">
        <v>864</v>
      </c>
      <c r="H283" s="4" t="s">
        <v>555</v>
      </c>
      <c r="I283" s="45">
        <f t="shared" si="76"/>
        <v>0</v>
      </c>
      <c r="J283" s="45">
        <f t="shared" si="77"/>
        <v>0</v>
      </c>
      <c r="K283" s="8"/>
      <c r="L283" s="8"/>
      <c r="M283" s="45">
        <f t="shared" si="78"/>
        <v>0</v>
      </c>
      <c r="N283" s="8"/>
      <c r="O283" s="8"/>
      <c r="P283" s="45">
        <f t="shared" si="79"/>
        <v>0</v>
      </c>
      <c r="Q283" s="8"/>
      <c r="R283" s="8"/>
      <c r="S283" s="45">
        <f t="shared" si="80"/>
        <v>0</v>
      </c>
      <c r="T283" s="45">
        <f t="shared" si="81"/>
        <v>0</v>
      </c>
      <c r="U283" s="8"/>
      <c r="V283" s="8"/>
      <c r="W283" s="45">
        <f t="shared" si="82"/>
        <v>0</v>
      </c>
      <c r="X283" s="8"/>
      <c r="Y283" s="8"/>
      <c r="Z283" s="45">
        <f t="shared" si="83"/>
        <v>0</v>
      </c>
      <c r="AA283" s="8"/>
      <c r="AB283" s="8"/>
      <c r="AC283" s="50">
        <f t="shared" si="84"/>
        <v>0</v>
      </c>
    </row>
    <row r="284" spans="7:29" x14ac:dyDescent="0.15">
      <c r="G284" s="205" t="s">
        <v>550</v>
      </c>
      <c r="H284" s="53" t="s">
        <v>557</v>
      </c>
      <c r="I284" s="45">
        <f t="shared" si="76"/>
        <v>0</v>
      </c>
      <c r="J284" s="45">
        <f t="shared" si="77"/>
        <v>0</v>
      </c>
      <c r="K284" s="8"/>
      <c r="L284" s="8"/>
      <c r="M284" s="45">
        <f t="shared" si="78"/>
        <v>0</v>
      </c>
      <c r="N284" s="8"/>
      <c r="O284" s="8"/>
      <c r="P284" s="45">
        <f t="shared" si="79"/>
        <v>0</v>
      </c>
      <c r="Q284" s="8"/>
      <c r="R284" s="8"/>
      <c r="S284" s="45">
        <f t="shared" si="80"/>
        <v>0</v>
      </c>
      <c r="T284" s="45">
        <f t="shared" si="81"/>
        <v>0</v>
      </c>
      <c r="U284" s="8"/>
      <c r="V284" s="8"/>
      <c r="W284" s="45">
        <f t="shared" si="82"/>
        <v>0</v>
      </c>
      <c r="X284" s="8"/>
      <c r="Y284" s="8"/>
      <c r="Z284" s="45">
        <f t="shared" si="83"/>
        <v>0</v>
      </c>
      <c r="AA284" s="8"/>
      <c r="AB284" s="8"/>
      <c r="AC284" s="50">
        <f t="shared" si="84"/>
        <v>0</v>
      </c>
    </row>
    <row r="285" spans="7:29" x14ac:dyDescent="0.15">
      <c r="G285" s="205" t="s">
        <v>552</v>
      </c>
      <c r="H285" s="4" t="s">
        <v>559</v>
      </c>
      <c r="I285" s="45">
        <f t="shared" si="76"/>
        <v>0</v>
      </c>
      <c r="J285" s="45">
        <f t="shared" si="77"/>
        <v>0</v>
      </c>
      <c r="K285" s="8"/>
      <c r="L285" s="8"/>
      <c r="M285" s="45">
        <f t="shared" si="78"/>
        <v>0</v>
      </c>
      <c r="N285" s="8"/>
      <c r="O285" s="8"/>
      <c r="P285" s="45">
        <f t="shared" si="79"/>
        <v>0</v>
      </c>
      <c r="Q285" s="8"/>
      <c r="R285" s="8"/>
      <c r="S285" s="45">
        <f t="shared" si="80"/>
        <v>0</v>
      </c>
      <c r="T285" s="45">
        <f t="shared" si="81"/>
        <v>0</v>
      </c>
      <c r="U285" s="8"/>
      <c r="V285" s="8"/>
      <c r="W285" s="45">
        <f t="shared" si="82"/>
        <v>0</v>
      </c>
      <c r="X285" s="8"/>
      <c r="Y285" s="8"/>
      <c r="Z285" s="45">
        <f t="shared" si="83"/>
        <v>0</v>
      </c>
      <c r="AA285" s="8"/>
      <c r="AB285" s="8"/>
      <c r="AC285" s="50">
        <f t="shared" si="84"/>
        <v>0</v>
      </c>
    </row>
    <row r="286" spans="7:29" x14ac:dyDescent="0.15">
      <c r="G286" s="205" t="s">
        <v>554</v>
      </c>
      <c r="H286" s="4" t="s">
        <v>560</v>
      </c>
      <c r="I286" s="45">
        <f t="shared" si="76"/>
        <v>0</v>
      </c>
      <c r="J286" s="45">
        <f t="shared" si="77"/>
        <v>0</v>
      </c>
      <c r="K286" s="8"/>
      <c r="L286" s="8"/>
      <c r="M286" s="45">
        <f t="shared" si="78"/>
        <v>0</v>
      </c>
      <c r="N286" s="8"/>
      <c r="O286" s="8"/>
      <c r="P286" s="45">
        <f t="shared" si="79"/>
        <v>0</v>
      </c>
      <c r="Q286" s="8"/>
      <c r="R286" s="8"/>
      <c r="S286" s="45">
        <f t="shared" si="80"/>
        <v>0</v>
      </c>
      <c r="T286" s="45">
        <f t="shared" si="81"/>
        <v>0</v>
      </c>
      <c r="U286" s="8"/>
      <c r="V286" s="8"/>
      <c r="W286" s="45">
        <f t="shared" si="82"/>
        <v>0</v>
      </c>
      <c r="X286" s="8"/>
      <c r="Y286" s="8"/>
      <c r="Z286" s="45">
        <f t="shared" si="83"/>
        <v>0</v>
      </c>
      <c r="AA286" s="8"/>
      <c r="AB286" s="8"/>
      <c r="AC286" s="50">
        <f t="shared" si="84"/>
        <v>0</v>
      </c>
    </row>
    <row r="287" spans="7:29" x14ac:dyDescent="0.15">
      <c r="G287" s="205" t="s">
        <v>556</v>
      </c>
      <c r="H287" s="53" t="s">
        <v>562</v>
      </c>
      <c r="I287" s="45">
        <f t="shared" si="76"/>
        <v>0</v>
      </c>
      <c r="J287" s="45">
        <f t="shared" si="77"/>
        <v>0</v>
      </c>
      <c r="K287" s="46">
        <f t="shared" ref="K287:AB287" si="95">SUM(K288:K293)</f>
        <v>0</v>
      </c>
      <c r="L287" s="46">
        <f t="shared" si="95"/>
        <v>0</v>
      </c>
      <c r="M287" s="45">
        <f t="shared" si="78"/>
        <v>0</v>
      </c>
      <c r="N287" s="46">
        <f t="shared" si="95"/>
        <v>0</v>
      </c>
      <c r="O287" s="46">
        <f t="shared" si="95"/>
        <v>0</v>
      </c>
      <c r="P287" s="45">
        <f t="shared" si="79"/>
        <v>0</v>
      </c>
      <c r="Q287" s="46">
        <f t="shared" si="95"/>
        <v>0</v>
      </c>
      <c r="R287" s="46">
        <f t="shared" si="95"/>
        <v>0</v>
      </c>
      <c r="S287" s="45">
        <f t="shared" si="80"/>
        <v>0</v>
      </c>
      <c r="T287" s="45">
        <f t="shared" si="81"/>
        <v>0</v>
      </c>
      <c r="U287" s="46">
        <f t="shared" si="95"/>
        <v>0</v>
      </c>
      <c r="V287" s="46">
        <f t="shared" si="95"/>
        <v>0</v>
      </c>
      <c r="W287" s="45">
        <f t="shared" si="82"/>
        <v>0</v>
      </c>
      <c r="X287" s="46">
        <f t="shared" si="95"/>
        <v>0</v>
      </c>
      <c r="Y287" s="46">
        <f t="shared" si="95"/>
        <v>0</v>
      </c>
      <c r="Z287" s="45">
        <f t="shared" si="83"/>
        <v>0</v>
      </c>
      <c r="AA287" s="46">
        <f t="shared" si="95"/>
        <v>0</v>
      </c>
      <c r="AB287" s="46">
        <f t="shared" si="95"/>
        <v>0</v>
      </c>
      <c r="AC287" s="50">
        <f t="shared" si="84"/>
        <v>0</v>
      </c>
    </row>
    <row r="288" spans="7:29" ht="21" x14ac:dyDescent="0.15">
      <c r="G288" s="206" t="s">
        <v>558</v>
      </c>
      <c r="H288" s="4" t="s">
        <v>564</v>
      </c>
      <c r="I288" s="45">
        <f t="shared" si="76"/>
        <v>0</v>
      </c>
      <c r="J288" s="45">
        <f t="shared" si="77"/>
        <v>0</v>
      </c>
      <c r="K288" s="8"/>
      <c r="L288" s="8"/>
      <c r="M288" s="45">
        <f t="shared" si="78"/>
        <v>0</v>
      </c>
      <c r="N288" s="8"/>
      <c r="O288" s="8"/>
      <c r="P288" s="45">
        <f t="shared" si="79"/>
        <v>0</v>
      </c>
      <c r="Q288" s="8"/>
      <c r="R288" s="8"/>
      <c r="S288" s="45">
        <f t="shared" si="80"/>
        <v>0</v>
      </c>
      <c r="T288" s="45">
        <f t="shared" si="81"/>
        <v>0</v>
      </c>
      <c r="U288" s="8"/>
      <c r="V288" s="8"/>
      <c r="W288" s="45">
        <f t="shared" si="82"/>
        <v>0</v>
      </c>
      <c r="X288" s="8"/>
      <c r="Y288" s="8"/>
      <c r="Z288" s="45">
        <f t="shared" si="83"/>
        <v>0</v>
      </c>
      <c r="AA288" s="8"/>
      <c r="AB288" s="8"/>
      <c r="AC288" s="50">
        <f t="shared" si="84"/>
        <v>0</v>
      </c>
    </row>
    <row r="289" spans="7:29" x14ac:dyDescent="0.15">
      <c r="G289" s="206" t="s">
        <v>416</v>
      </c>
      <c r="H289" s="4" t="s">
        <v>565</v>
      </c>
      <c r="I289" s="45">
        <f t="shared" si="76"/>
        <v>0</v>
      </c>
      <c r="J289" s="45">
        <f t="shared" si="77"/>
        <v>0</v>
      </c>
      <c r="K289" s="8"/>
      <c r="L289" s="8"/>
      <c r="M289" s="45">
        <f t="shared" si="78"/>
        <v>0</v>
      </c>
      <c r="N289" s="8"/>
      <c r="O289" s="8"/>
      <c r="P289" s="45">
        <f t="shared" si="79"/>
        <v>0</v>
      </c>
      <c r="Q289" s="8"/>
      <c r="R289" s="8"/>
      <c r="S289" s="45">
        <f t="shared" si="80"/>
        <v>0</v>
      </c>
      <c r="T289" s="45">
        <f t="shared" si="81"/>
        <v>0</v>
      </c>
      <c r="U289" s="8"/>
      <c r="V289" s="8"/>
      <c r="W289" s="45">
        <f t="shared" si="82"/>
        <v>0</v>
      </c>
      <c r="X289" s="8"/>
      <c r="Y289" s="8"/>
      <c r="Z289" s="45">
        <f t="shared" si="83"/>
        <v>0</v>
      </c>
      <c r="AA289" s="8"/>
      <c r="AB289" s="8"/>
      <c r="AC289" s="50">
        <f t="shared" si="84"/>
        <v>0</v>
      </c>
    </row>
    <row r="290" spans="7:29" x14ac:dyDescent="0.15">
      <c r="G290" s="206" t="s">
        <v>561</v>
      </c>
      <c r="H290" s="53" t="s">
        <v>566</v>
      </c>
      <c r="I290" s="45">
        <f t="shared" si="76"/>
        <v>0</v>
      </c>
      <c r="J290" s="45">
        <f t="shared" si="77"/>
        <v>0</v>
      </c>
      <c r="K290" s="8"/>
      <c r="L290" s="8"/>
      <c r="M290" s="45">
        <f t="shared" si="78"/>
        <v>0</v>
      </c>
      <c r="N290" s="8"/>
      <c r="O290" s="8"/>
      <c r="P290" s="45">
        <f t="shared" si="79"/>
        <v>0</v>
      </c>
      <c r="Q290" s="8"/>
      <c r="R290" s="8"/>
      <c r="S290" s="45">
        <f t="shared" si="80"/>
        <v>0</v>
      </c>
      <c r="T290" s="45">
        <f t="shared" si="81"/>
        <v>0</v>
      </c>
      <c r="U290" s="8"/>
      <c r="V290" s="8"/>
      <c r="W290" s="45">
        <f t="shared" si="82"/>
        <v>0</v>
      </c>
      <c r="X290" s="8"/>
      <c r="Y290" s="8"/>
      <c r="Z290" s="45">
        <f t="shared" si="83"/>
        <v>0</v>
      </c>
      <c r="AA290" s="8"/>
      <c r="AB290" s="8"/>
      <c r="AC290" s="50">
        <f t="shared" si="84"/>
        <v>0</v>
      </c>
    </row>
    <row r="291" spans="7:29" x14ac:dyDescent="0.15">
      <c r="G291" s="206" t="s">
        <v>563</v>
      </c>
      <c r="H291" s="4" t="s">
        <v>568</v>
      </c>
      <c r="I291" s="45">
        <f t="shared" si="76"/>
        <v>0</v>
      </c>
      <c r="J291" s="45">
        <f t="shared" si="77"/>
        <v>0</v>
      </c>
      <c r="K291" s="8"/>
      <c r="L291" s="8"/>
      <c r="M291" s="45">
        <f t="shared" si="78"/>
        <v>0</v>
      </c>
      <c r="N291" s="8"/>
      <c r="O291" s="8"/>
      <c r="P291" s="45">
        <f t="shared" si="79"/>
        <v>0</v>
      </c>
      <c r="Q291" s="8"/>
      <c r="R291" s="8"/>
      <c r="S291" s="45">
        <f t="shared" si="80"/>
        <v>0</v>
      </c>
      <c r="T291" s="45">
        <f t="shared" si="81"/>
        <v>0</v>
      </c>
      <c r="U291" s="8"/>
      <c r="V291" s="8"/>
      <c r="W291" s="45">
        <f t="shared" si="82"/>
        <v>0</v>
      </c>
      <c r="X291" s="8"/>
      <c r="Y291" s="8"/>
      <c r="Z291" s="45">
        <f t="shared" si="83"/>
        <v>0</v>
      </c>
      <c r="AA291" s="8"/>
      <c r="AB291" s="8"/>
      <c r="AC291" s="50">
        <f t="shared" si="84"/>
        <v>0</v>
      </c>
    </row>
    <row r="292" spans="7:29" x14ac:dyDescent="0.15">
      <c r="G292" s="206" t="s">
        <v>414</v>
      </c>
      <c r="H292" s="4" t="s">
        <v>570</v>
      </c>
      <c r="I292" s="45">
        <f t="shared" si="76"/>
        <v>0</v>
      </c>
      <c r="J292" s="45">
        <f t="shared" si="77"/>
        <v>0</v>
      </c>
      <c r="K292" s="8"/>
      <c r="L292" s="8"/>
      <c r="M292" s="45">
        <f t="shared" si="78"/>
        <v>0</v>
      </c>
      <c r="N292" s="8"/>
      <c r="O292" s="8"/>
      <c r="P292" s="45">
        <f t="shared" si="79"/>
        <v>0</v>
      </c>
      <c r="Q292" s="8"/>
      <c r="R292" s="8"/>
      <c r="S292" s="45">
        <f t="shared" si="80"/>
        <v>0</v>
      </c>
      <c r="T292" s="45">
        <f t="shared" si="81"/>
        <v>0</v>
      </c>
      <c r="U292" s="8"/>
      <c r="V292" s="8"/>
      <c r="W292" s="45">
        <f t="shared" si="82"/>
        <v>0</v>
      </c>
      <c r="X292" s="8"/>
      <c r="Y292" s="8"/>
      <c r="Z292" s="45">
        <f t="shared" si="83"/>
        <v>0</v>
      </c>
      <c r="AA292" s="8"/>
      <c r="AB292" s="8"/>
      <c r="AC292" s="50">
        <f t="shared" si="84"/>
        <v>0</v>
      </c>
    </row>
    <row r="293" spans="7:29" x14ac:dyDescent="0.15">
      <c r="G293" s="206" t="s">
        <v>418</v>
      </c>
      <c r="H293" s="53" t="s">
        <v>571</v>
      </c>
      <c r="I293" s="45">
        <f t="shared" si="76"/>
        <v>0</v>
      </c>
      <c r="J293" s="45">
        <f t="shared" si="77"/>
        <v>0</v>
      </c>
      <c r="K293" s="8"/>
      <c r="L293" s="8"/>
      <c r="M293" s="45">
        <f t="shared" si="78"/>
        <v>0</v>
      </c>
      <c r="N293" s="8"/>
      <c r="O293" s="8"/>
      <c r="P293" s="45">
        <f t="shared" si="79"/>
        <v>0</v>
      </c>
      <c r="Q293" s="8"/>
      <c r="R293" s="8"/>
      <c r="S293" s="45">
        <f t="shared" si="80"/>
        <v>0</v>
      </c>
      <c r="T293" s="45">
        <f t="shared" si="81"/>
        <v>0</v>
      </c>
      <c r="U293" s="8"/>
      <c r="V293" s="8"/>
      <c r="W293" s="45">
        <f t="shared" si="82"/>
        <v>0</v>
      </c>
      <c r="X293" s="8"/>
      <c r="Y293" s="8"/>
      <c r="Z293" s="45">
        <f t="shared" si="83"/>
        <v>0</v>
      </c>
      <c r="AA293" s="8"/>
      <c r="AB293" s="8"/>
      <c r="AC293" s="50">
        <f t="shared" si="84"/>
        <v>0</v>
      </c>
    </row>
    <row r="294" spans="7:29" x14ac:dyDescent="0.15">
      <c r="G294" s="205" t="s">
        <v>567</v>
      </c>
      <c r="H294" s="4" t="s">
        <v>573</v>
      </c>
      <c r="I294" s="45">
        <f t="shared" si="76"/>
        <v>0</v>
      </c>
      <c r="J294" s="45">
        <f t="shared" si="77"/>
        <v>0</v>
      </c>
      <c r="K294" s="8"/>
      <c r="L294" s="8"/>
      <c r="M294" s="45">
        <f t="shared" si="78"/>
        <v>0</v>
      </c>
      <c r="N294" s="8"/>
      <c r="O294" s="8"/>
      <c r="P294" s="45">
        <f t="shared" si="79"/>
        <v>0</v>
      </c>
      <c r="Q294" s="8"/>
      <c r="R294" s="8"/>
      <c r="S294" s="45">
        <f t="shared" si="80"/>
        <v>0</v>
      </c>
      <c r="T294" s="45">
        <f t="shared" si="81"/>
        <v>0</v>
      </c>
      <c r="U294" s="8"/>
      <c r="V294" s="8"/>
      <c r="W294" s="45">
        <f t="shared" si="82"/>
        <v>0</v>
      </c>
      <c r="X294" s="8"/>
      <c r="Y294" s="8"/>
      <c r="Z294" s="45">
        <f t="shared" si="83"/>
        <v>0</v>
      </c>
      <c r="AA294" s="8"/>
      <c r="AB294" s="8"/>
      <c r="AC294" s="50">
        <f t="shared" si="84"/>
        <v>0</v>
      </c>
    </row>
    <row r="295" spans="7:29" x14ac:dyDescent="0.15">
      <c r="G295" s="205" t="s">
        <v>569</v>
      </c>
      <c r="H295" s="4" t="s">
        <v>575</v>
      </c>
      <c r="I295" s="45">
        <f t="shared" si="76"/>
        <v>0</v>
      </c>
      <c r="J295" s="45">
        <f t="shared" si="77"/>
        <v>0</v>
      </c>
      <c r="K295" s="46">
        <f t="shared" ref="K295:AB295" si="96">SUM(K296:K301)</f>
        <v>0</v>
      </c>
      <c r="L295" s="46">
        <f t="shared" si="96"/>
        <v>0</v>
      </c>
      <c r="M295" s="45">
        <f t="shared" si="78"/>
        <v>0</v>
      </c>
      <c r="N295" s="46">
        <f t="shared" si="96"/>
        <v>0</v>
      </c>
      <c r="O295" s="46">
        <f t="shared" si="96"/>
        <v>0</v>
      </c>
      <c r="P295" s="45">
        <f t="shared" si="79"/>
        <v>0</v>
      </c>
      <c r="Q295" s="46">
        <f t="shared" si="96"/>
        <v>0</v>
      </c>
      <c r="R295" s="46">
        <f t="shared" si="96"/>
        <v>0</v>
      </c>
      <c r="S295" s="45">
        <f t="shared" si="80"/>
        <v>0</v>
      </c>
      <c r="T295" s="45">
        <f t="shared" si="81"/>
        <v>0</v>
      </c>
      <c r="U295" s="46">
        <f t="shared" si="96"/>
        <v>0</v>
      </c>
      <c r="V295" s="46">
        <f t="shared" si="96"/>
        <v>0</v>
      </c>
      <c r="W295" s="45">
        <f t="shared" si="82"/>
        <v>0</v>
      </c>
      <c r="X295" s="46">
        <f t="shared" si="96"/>
        <v>0</v>
      </c>
      <c r="Y295" s="46">
        <f t="shared" si="96"/>
        <v>0</v>
      </c>
      <c r="Z295" s="45">
        <f t="shared" si="83"/>
        <v>0</v>
      </c>
      <c r="AA295" s="46">
        <f t="shared" si="96"/>
        <v>0</v>
      </c>
      <c r="AB295" s="46">
        <f t="shared" si="96"/>
        <v>0</v>
      </c>
      <c r="AC295" s="50">
        <f t="shared" si="84"/>
        <v>0</v>
      </c>
    </row>
    <row r="296" spans="7:29" ht="21" x14ac:dyDescent="0.15">
      <c r="G296" s="206" t="s">
        <v>871</v>
      </c>
      <c r="H296" s="53" t="s">
        <v>577</v>
      </c>
      <c r="I296" s="45">
        <f t="shared" si="76"/>
        <v>0</v>
      </c>
      <c r="J296" s="45">
        <f t="shared" si="77"/>
        <v>0</v>
      </c>
      <c r="K296" s="8"/>
      <c r="L296" s="8"/>
      <c r="M296" s="45">
        <f t="shared" si="78"/>
        <v>0</v>
      </c>
      <c r="N296" s="8"/>
      <c r="O296" s="8"/>
      <c r="P296" s="45">
        <f t="shared" si="79"/>
        <v>0</v>
      </c>
      <c r="Q296" s="8"/>
      <c r="R296" s="8"/>
      <c r="S296" s="45">
        <f t="shared" si="80"/>
        <v>0</v>
      </c>
      <c r="T296" s="45">
        <f t="shared" si="81"/>
        <v>0</v>
      </c>
      <c r="U296" s="8"/>
      <c r="V296" s="8"/>
      <c r="W296" s="45">
        <f t="shared" si="82"/>
        <v>0</v>
      </c>
      <c r="X296" s="8"/>
      <c r="Y296" s="8"/>
      <c r="Z296" s="45">
        <f t="shared" si="83"/>
        <v>0</v>
      </c>
      <c r="AA296" s="8"/>
      <c r="AB296" s="8"/>
      <c r="AC296" s="50">
        <f t="shared" si="84"/>
        <v>0</v>
      </c>
    </row>
    <row r="297" spans="7:29" x14ac:dyDescent="0.15">
      <c r="G297" s="206" t="s">
        <v>572</v>
      </c>
      <c r="H297" s="4" t="s">
        <v>579</v>
      </c>
      <c r="I297" s="45">
        <f t="shared" si="76"/>
        <v>0</v>
      </c>
      <c r="J297" s="45">
        <f t="shared" si="77"/>
        <v>0</v>
      </c>
      <c r="K297" s="8"/>
      <c r="L297" s="8"/>
      <c r="M297" s="45">
        <f t="shared" si="78"/>
        <v>0</v>
      </c>
      <c r="N297" s="8"/>
      <c r="O297" s="8"/>
      <c r="P297" s="45">
        <f t="shared" si="79"/>
        <v>0</v>
      </c>
      <c r="Q297" s="8"/>
      <c r="R297" s="8"/>
      <c r="S297" s="45">
        <f t="shared" si="80"/>
        <v>0</v>
      </c>
      <c r="T297" s="45">
        <f t="shared" si="81"/>
        <v>0</v>
      </c>
      <c r="U297" s="8"/>
      <c r="V297" s="8"/>
      <c r="W297" s="45">
        <f t="shared" si="82"/>
        <v>0</v>
      </c>
      <c r="X297" s="8"/>
      <c r="Y297" s="8"/>
      <c r="Z297" s="45">
        <f t="shared" si="83"/>
        <v>0</v>
      </c>
      <c r="AA297" s="8"/>
      <c r="AB297" s="8"/>
      <c r="AC297" s="50">
        <f t="shared" si="84"/>
        <v>0</v>
      </c>
    </row>
    <row r="298" spans="7:29" x14ac:dyDescent="0.15">
      <c r="G298" s="206" t="s">
        <v>574</v>
      </c>
      <c r="H298" s="4" t="s">
        <v>581</v>
      </c>
      <c r="I298" s="45">
        <f t="shared" si="76"/>
        <v>0</v>
      </c>
      <c r="J298" s="45">
        <f t="shared" si="77"/>
        <v>0</v>
      </c>
      <c r="K298" s="8"/>
      <c r="L298" s="8"/>
      <c r="M298" s="45">
        <f t="shared" si="78"/>
        <v>0</v>
      </c>
      <c r="N298" s="8"/>
      <c r="O298" s="8"/>
      <c r="P298" s="45">
        <f t="shared" si="79"/>
        <v>0</v>
      </c>
      <c r="Q298" s="8"/>
      <c r="R298" s="8"/>
      <c r="S298" s="45">
        <f t="shared" si="80"/>
        <v>0</v>
      </c>
      <c r="T298" s="45">
        <f t="shared" si="81"/>
        <v>0</v>
      </c>
      <c r="U298" s="8"/>
      <c r="V298" s="8"/>
      <c r="W298" s="45">
        <f t="shared" si="82"/>
        <v>0</v>
      </c>
      <c r="X298" s="8"/>
      <c r="Y298" s="8"/>
      <c r="Z298" s="45">
        <f t="shared" si="83"/>
        <v>0</v>
      </c>
      <c r="AA298" s="8"/>
      <c r="AB298" s="8"/>
      <c r="AC298" s="50">
        <f t="shared" si="84"/>
        <v>0</v>
      </c>
    </row>
    <row r="299" spans="7:29" x14ac:dyDescent="0.15">
      <c r="G299" s="206" t="s">
        <v>576</v>
      </c>
      <c r="H299" s="53" t="s">
        <v>583</v>
      </c>
      <c r="I299" s="45">
        <f t="shared" si="76"/>
        <v>0</v>
      </c>
      <c r="J299" s="45">
        <f t="shared" si="77"/>
        <v>0</v>
      </c>
      <c r="K299" s="8"/>
      <c r="L299" s="8"/>
      <c r="M299" s="45">
        <f t="shared" si="78"/>
        <v>0</v>
      </c>
      <c r="N299" s="8"/>
      <c r="O299" s="8"/>
      <c r="P299" s="45">
        <f t="shared" si="79"/>
        <v>0</v>
      </c>
      <c r="Q299" s="8"/>
      <c r="R299" s="8"/>
      <c r="S299" s="45">
        <f t="shared" si="80"/>
        <v>0</v>
      </c>
      <c r="T299" s="45">
        <f t="shared" si="81"/>
        <v>0</v>
      </c>
      <c r="U299" s="8"/>
      <c r="V299" s="8"/>
      <c r="W299" s="45">
        <f t="shared" si="82"/>
        <v>0</v>
      </c>
      <c r="X299" s="8"/>
      <c r="Y299" s="8"/>
      <c r="Z299" s="45">
        <f t="shared" si="83"/>
        <v>0</v>
      </c>
      <c r="AA299" s="8"/>
      <c r="AB299" s="8"/>
      <c r="AC299" s="50">
        <f t="shared" si="84"/>
        <v>0</v>
      </c>
    </row>
    <row r="300" spans="7:29" x14ac:dyDescent="0.15">
      <c r="G300" s="206" t="s">
        <v>578</v>
      </c>
      <c r="H300" s="4" t="s">
        <v>585</v>
      </c>
      <c r="I300" s="45">
        <f t="shared" si="76"/>
        <v>0</v>
      </c>
      <c r="J300" s="45">
        <f t="shared" si="77"/>
        <v>0</v>
      </c>
      <c r="K300" s="8"/>
      <c r="L300" s="8"/>
      <c r="M300" s="45">
        <f t="shared" si="78"/>
        <v>0</v>
      </c>
      <c r="N300" s="8"/>
      <c r="O300" s="8"/>
      <c r="P300" s="45">
        <f t="shared" si="79"/>
        <v>0</v>
      </c>
      <c r="Q300" s="8"/>
      <c r="R300" s="8"/>
      <c r="S300" s="45">
        <f t="shared" si="80"/>
        <v>0</v>
      </c>
      <c r="T300" s="45">
        <f t="shared" si="81"/>
        <v>0</v>
      </c>
      <c r="U300" s="8"/>
      <c r="V300" s="8"/>
      <c r="W300" s="45">
        <f t="shared" si="82"/>
        <v>0</v>
      </c>
      <c r="X300" s="8"/>
      <c r="Y300" s="8"/>
      <c r="Z300" s="45">
        <f t="shared" si="83"/>
        <v>0</v>
      </c>
      <c r="AA300" s="8"/>
      <c r="AB300" s="8"/>
      <c r="AC300" s="50">
        <f t="shared" si="84"/>
        <v>0</v>
      </c>
    </row>
    <row r="301" spans="7:29" x14ac:dyDescent="0.15">
      <c r="G301" s="206" t="s">
        <v>580</v>
      </c>
      <c r="H301" s="4" t="s">
        <v>587</v>
      </c>
      <c r="I301" s="45">
        <f t="shared" si="76"/>
        <v>0</v>
      </c>
      <c r="J301" s="45">
        <f t="shared" si="77"/>
        <v>0</v>
      </c>
      <c r="K301" s="8"/>
      <c r="L301" s="8"/>
      <c r="M301" s="45">
        <f t="shared" si="78"/>
        <v>0</v>
      </c>
      <c r="N301" s="8"/>
      <c r="O301" s="8"/>
      <c r="P301" s="45">
        <f t="shared" si="79"/>
        <v>0</v>
      </c>
      <c r="Q301" s="8"/>
      <c r="R301" s="8"/>
      <c r="S301" s="45">
        <f t="shared" si="80"/>
        <v>0</v>
      </c>
      <c r="T301" s="45">
        <f t="shared" si="81"/>
        <v>0</v>
      </c>
      <c r="U301" s="8"/>
      <c r="V301" s="8"/>
      <c r="W301" s="45">
        <f t="shared" si="82"/>
        <v>0</v>
      </c>
      <c r="X301" s="8"/>
      <c r="Y301" s="8"/>
      <c r="Z301" s="45">
        <f t="shared" si="83"/>
        <v>0</v>
      </c>
      <c r="AA301" s="8"/>
      <c r="AB301" s="8"/>
      <c r="AC301" s="50">
        <f t="shared" si="84"/>
        <v>0</v>
      </c>
    </row>
    <row r="302" spans="7:29" x14ac:dyDescent="0.15">
      <c r="G302" s="205" t="s">
        <v>582</v>
      </c>
      <c r="H302" s="53" t="s">
        <v>588</v>
      </c>
      <c r="I302" s="45">
        <f t="shared" si="76"/>
        <v>0</v>
      </c>
      <c r="J302" s="45">
        <f t="shared" si="77"/>
        <v>0</v>
      </c>
      <c r="K302" s="8"/>
      <c r="L302" s="8"/>
      <c r="M302" s="45">
        <f t="shared" si="78"/>
        <v>0</v>
      </c>
      <c r="N302" s="8"/>
      <c r="O302" s="8"/>
      <c r="P302" s="45">
        <f t="shared" si="79"/>
        <v>0</v>
      </c>
      <c r="Q302" s="8"/>
      <c r="R302" s="8"/>
      <c r="S302" s="45">
        <f t="shared" si="80"/>
        <v>0</v>
      </c>
      <c r="T302" s="45">
        <f t="shared" si="81"/>
        <v>0</v>
      </c>
      <c r="U302" s="8"/>
      <c r="V302" s="8"/>
      <c r="W302" s="45">
        <f t="shared" si="82"/>
        <v>0</v>
      </c>
      <c r="X302" s="8"/>
      <c r="Y302" s="8"/>
      <c r="Z302" s="45">
        <f t="shared" si="83"/>
        <v>0</v>
      </c>
      <c r="AA302" s="8"/>
      <c r="AB302" s="8"/>
      <c r="AC302" s="50">
        <f t="shared" si="84"/>
        <v>0</v>
      </c>
    </row>
    <row r="303" spans="7:29" x14ac:dyDescent="0.15">
      <c r="G303" s="205" t="s">
        <v>584</v>
      </c>
      <c r="H303" s="4" t="s">
        <v>590</v>
      </c>
      <c r="I303" s="45">
        <f t="shared" si="76"/>
        <v>0</v>
      </c>
      <c r="J303" s="45">
        <f t="shared" si="77"/>
        <v>0</v>
      </c>
      <c r="K303" s="8"/>
      <c r="L303" s="8"/>
      <c r="M303" s="45">
        <f t="shared" si="78"/>
        <v>0</v>
      </c>
      <c r="N303" s="8"/>
      <c r="O303" s="8"/>
      <c r="P303" s="45">
        <f t="shared" si="79"/>
        <v>0</v>
      </c>
      <c r="Q303" s="8"/>
      <c r="R303" s="8"/>
      <c r="S303" s="45">
        <f t="shared" si="80"/>
        <v>0</v>
      </c>
      <c r="T303" s="45">
        <f t="shared" si="81"/>
        <v>0</v>
      </c>
      <c r="U303" s="8"/>
      <c r="V303" s="8"/>
      <c r="W303" s="45">
        <f t="shared" si="82"/>
        <v>0</v>
      </c>
      <c r="X303" s="8"/>
      <c r="Y303" s="8"/>
      <c r="Z303" s="45">
        <f t="shared" si="83"/>
        <v>0</v>
      </c>
      <c r="AA303" s="8"/>
      <c r="AB303" s="8"/>
      <c r="AC303" s="50">
        <f t="shared" si="84"/>
        <v>0</v>
      </c>
    </row>
    <row r="304" spans="7:29" x14ac:dyDescent="0.15">
      <c r="G304" s="205" t="s">
        <v>586</v>
      </c>
      <c r="H304" s="4" t="s">
        <v>592</v>
      </c>
      <c r="I304" s="45">
        <f t="shared" si="76"/>
        <v>0</v>
      </c>
      <c r="J304" s="45">
        <f t="shared" si="77"/>
        <v>0</v>
      </c>
      <c r="K304" s="46">
        <f t="shared" ref="K304:AB304" si="97">SUM(K305:K309)</f>
        <v>0</v>
      </c>
      <c r="L304" s="46">
        <f t="shared" si="97"/>
        <v>0</v>
      </c>
      <c r="M304" s="45">
        <f t="shared" si="78"/>
        <v>0</v>
      </c>
      <c r="N304" s="46">
        <f t="shared" si="97"/>
        <v>0</v>
      </c>
      <c r="O304" s="46">
        <f t="shared" si="97"/>
        <v>0</v>
      </c>
      <c r="P304" s="45">
        <f t="shared" si="79"/>
        <v>0</v>
      </c>
      <c r="Q304" s="46">
        <f t="shared" si="97"/>
        <v>0</v>
      </c>
      <c r="R304" s="46">
        <f t="shared" si="97"/>
        <v>0</v>
      </c>
      <c r="S304" s="45">
        <f t="shared" si="80"/>
        <v>0</v>
      </c>
      <c r="T304" s="45">
        <f t="shared" si="81"/>
        <v>0</v>
      </c>
      <c r="U304" s="46">
        <f t="shared" si="97"/>
        <v>0</v>
      </c>
      <c r="V304" s="46">
        <f t="shared" si="97"/>
        <v>0</v>
      </c>
      <c r="W304" s="45">
        <f t="shared" si="82"/>
        <v>0</v>
      </c>
      <c r="X304" s="46">
        <f t="shared" si="97"/>
        <v>0</v>
      </c>
      <c r="Y304" s="46">
        <f t="shared" si="97"/>
        <v>0</v>
      </c>
      <c r="Z304" s="45">
        <f t="shared" si="83"/>
        <v>0</v>
      </c>
      <c r="AA304" s="46">
        <f t="shared" si="97"/>
        <v>0</v>
      </c>
      <c r="AB304" s="46">
        <f t="shared" si="97"/>
        <v>0</v>
      </c>
      <c r="AC304" s="50">
        <f t="shared" si="84"/>
        <v>0</v>
      </c>
    </row>
    <row r="305" spans="7:29" ht="21" x14ac:dyDescent="0.15">
      <c r="G305" s="206" t="s">
        <v>872</v>
      </c>
      <c r="H305" s="53" t="s">
        <v>594</v>
      </c>
      <c r="I305" s="45">
        <f t="shared" si="76"/>
        <v>0</v>
      </c>
      <c r="J305" s="45">
        <f t="shared" si="77"/>
        <v>0</v>
      </c>
      <c r="K305" s="8"/>
      <c r="L305" s="8"/>
      <c r="M305" s="45">
        <f t="shared" si="78"/>
        <v>0</v>
      </c>
      <c r="N305" s="8"/>
      <c r="O305" s="8"/>
      <c r="P305" s="45">
        <f t="shared" si="79"/>
        <v>0</v>
      </c>
      <c r="Q305" s="8"/>
      <c r="R305" s="8"/>
      <c r="S305" s="45">
        <f t="shared" si="80"/>
        <v>0</v>
      </c>
      <c r="T305" s="45">
        <f t="shared" si="81"/>
        <v>0</v>
      </c>
      <c r="U305" s="8"/>
      <c r="V305" s="8"/>
      <c r="W305" s="45">
        <f t="shared" si="82"/>
        <v>0</v>
      </c>
      <c r="X305" s="8"/>
      <c r="Y305" s="8"/>
      <c r="Z305" s="45">
        <f t="shared" si="83"/>
        <v>0</v>
      </c>
      <c r="AA305" s="8"/>
      <c r="AB305" s="8"/>
      <c r="AC305" s="50">
        <f t="shared" si="84"/>
        <v>0</v>
      </c>
    </row>
    <row r="306" spans="7:29" x14ac:dyDescent="0.15">
      <c r="G306" s="206" t="s">
        <v>589</v>
      </c>
      <c r="H306" s="4" t="s">
        <v>596</v>
      </c>
      <c r="I306" s="45">
        <f t="shared" si="76"/>
        <v>0</v>
      </c>
      <c r="J306" s="45">
        <f t="shared" si="77"/>
        <v>0</v>
      </c>
      <c r="K306" s="8"/>
      <c r="L306" s="8"/>
      <c r="M306" s="45">
        <f t="shared" si="78"/>
        <v>0</v>
      </c>
      <c r="N306" s="8"/>
      <c r="O306" s="8"/>
      <c r="P306" s="45">
        <f t="shared" si="79"/>
        <v>0</v>
      </c>
      <c r="Q306" s="8"/>
      <c r="R306" s="8"/>
      <c r="S306" s="45">
        <f t="shared" si="80"/>
        <v>0</v>
      </c>
      <c r="T306" s="45">
        <f t="shared" si="81"/>
        <v>0</v>
      </c>
      <c r="U306" s="8"/>
      <c r="V306" s="8"/>
      <c r="W306" s="45">
        <f t="shared" si="82"/>
        <v>0</v>
      </c>
      <c r="X306" s="8"/>
      <c r="Y306" s="8"/>
      <c r="Z306" s="45">
        <f t="shared" si="83"/>
        <v>0</v>
      </c>
      <c r="AA306" s="8"/>
      <c r="AB306" s="8"/>
      <c r="AC306" s="50">
        <f t="shared" si="84"/>
        <v>0</v>
      </c>
    </row>
    <row r="307" spans="7:29" x14ac:dyDescent="0.15">
      <c r="G307" s="206" t="s">
        <v>591</v>
      </c>
      <c r="H307" s="4" t="s">
        <v>598</v>
      </c>
      <c r="I307" s="45">
        <f t="shared" si="76"/>
        <v>0</v>
      </c>
      <c r="J307" s="45">
        <f t="shared" si="77"/>
        <v>0</v>
      </c>
      <c r="K307" s="8"/>
      <c r="L307" s="8"/>
      <c r="M307" s="45">
        <f t="shared" si="78"/>
        <v>0</v>
      </c>
      <c r="N307" s="8"/>
      <c r="O307" s="8"/>
      <c r="P307" s="45">
        <f t="shared" si="79"/>
        <v>0</v>
      </c>
      <c r="Q307" s="8"/>
      <c r="R307" s="8"/>
      <c r="S307" s="45">
        <f t="shared" si="80"/>
        <v>0</v>
      </c>
      <c r="T307" s="45">
        <f t="shared" si="81"/>
        <v>0</v>
      </c>
      <c r="U307" s="8"/>
      <c r="V307" s="8"/>
      <c r="W307" s="45">
        <f t="shared" si="82"/>
        <v>0</v>
      </c>
      <c r="X307" s="8"/>
      <c r="Y307" s="8"/>
      <c r="Z307" s="45">
        <f t="shared" si="83"/>
        <v>0</v>
      </c>
      <c r="AA307" s="8"/>
      <c r="AB307" s="8"/>
      <c r="AC307" s="50">
        <f t="shared" si="84"/>
        <v>0</v>
      </c>
    </row>
    <row r="308" spans="7:29" x14ac:dyDescent="0.15">
      <c r="G308" s="206" t="s">
        <v>593</v>
      </c>
      <c r="H308" s="53" t="s">
        <v>599</v>
      </c>
      <c r="I308" s="45">
        <f t="shared" si="76"/>
        <v>0</v>
      </c>
      <c r="J308" s="45">
        <f t="shared" si="77"/>
        <v>0</v>
      </c>
      <c r="K308" s="8"/>
      <c r="L308" s="8"/>
      <c r="M308" s="45">
        <f t="shared" si="78"/>
        <v>0</v>
      </c>
      <c r="N308" s="8"/>
      <c r="O308" s="8"/>
      <c r="P308" s="45">
        <f t="shared" si="79"/>
        <v>0</v>
      </c>
      <c r="Q308" s="8"/>
      <c r="R308" s="8"/>
      <c r="S308" s="45">
        <f t="shared" si="80"/>
        <v>0</v>
      </c>
      <c r="T308" s="45">
        <f t="shared" si="81"/>
        <v>0</v>
      </c>
      <c r="U308" s="8"/>
      <c r="V308" s="8"/>
      <c r="W308" s="45">
        <f t="shared" si="82"/>
        <v>0</v>
      </c>
      <c r="X308" s="8"/>
      <c r="Y308" s="8"/>
      <c r="Z308" s="45">
        <f t="shared" si="83"/>
        <v>0</v>
      </c>
      <c r="AA308" s="8"/>
      <c r="AB308" s="8"/>
      <c r="AC308" s="50">
        <f t="shared" si="84"/>
        <v>0</v>
      </c>
    </row>
    <row r="309" spans="7:29" x14ac:dyDescent="0.15">
      <c r="G309" s="206" t="s">
        <v>595</v>
      </c>
      <c r="H309" s="4" t="s">
        <v>601</v>
      </c>
      <c r="I309" s="45">
        <f t="shared" si="76"/>
        <v>0</v>
      </c>
      <c r="J309" s="45">
        <f t="shared" si="77"/>
        <v>0</v>
      </c>
      <c r="K309" s="8"/>
      <c r="L309" s="8"/>
      <c r="M309" s="45">
        <f t="shared" si="78"/>
        <v>0</v>
      </c>
      <c r="N309" s="8"/>
      <c r="O309" s="8"/>
      <c r="P309" s="45">
        <f t="shared" si="79"/>
        <v>0</v>
      </c>
      <c r="Q309" s="8"/>
      <c r="R309" s="8"/>
      <c r="S309" s="45">
        <f t="shared" si="80"/>
        <v>0</v>
      </c>
      <c r="T309" s="45">
        <f t="shared" si="81"/>
        <v>0</v>
      </c>
      <c r="U309" s="8"/>
      <c r="V309" s="8"/>
      <c r="W309" s="45">
        <f t="shared" si="82"/>
        <v>0</v>
      </c>
      <c r="X309" s="8"/>
      <c r="Y309" s="8"/>
      <c r="Z309" s="45">
        <f t="shared" si="83"/>
        <v>0</v>
      </c>
      <c r="AA309" s="8"/>
      <c r="AB309" s="8"/>
      <c r="AC309" s="50">
        <f t="shared" si="84"/>
        <v>0</v>
      </c>
    </row>
    <row r="310" spans="7:29" x14ac:dyDescent="0.15">
      <c r="G310" s="205" t="s">
        <v>597</v>
      </c>
      <c r="H310" s="4" t="s">
        <v>603</v>
      </c>
      <c r="I310" s="45">
        <f t="shared" si="76"/>
        <v>0</v>
      </c>
      <c r="J310" s="45">
        <f t="shared" si="77"/>
        <v>0</v>
      </c>
      <c r="K310" s="46">
        <f t="shared" ref="K310:AB310" si="98">SUM(K311:K312)</f>
        <v>0</v>
      </c>
      <c r="L310" s="46">
        <f t="shared" si="98"/>
        <v>0</v>
      </c>
      <c r="M310" s="45">
        <f t="shared" si="78"/>
        <v>0</v>
      </c>
      <c r="N310" s="46">
        <f t="shared" si="98"/>
        <v>0</v>
      </c>
      <c r="O310" s="46">
        <f t="shared" si="98"/>
        <v>0</v>
      </c>
      <c r="P310" s="45">
        <f t="shared" si="79"/>
        <v>0</v>
      </c>
      <c r="Q310" s="46">
        <f t="shared" si="98"/>
        <v>0</v>
      </c>
      <c r="R310" s="46">
        <f t="shared" si="98"/>
        <v>0</v>
      </c>
      <c r="S310" s="45">
        <f t="shared" si="80"/>
        <v>0</v>
      </c>
      <c r="T310" s="45">
        <f t="shared" si="81"/>
        <v>0</v>
      </c>
      <c r="U310" s="46">
        <f t="shared" si="98"/>
        <v>0</v>
      </c>
      <c r="V310" s="46">
        <f t="shared" si="98"/>
        <v>0</v>
      </c>
      <c r="W310" s="45">
        <f t="shared" si="82"/>
        <v>0</v>
      </c>
      <c r="X310" s="46">
        <f t="shared" si="98"/>
        <v>0</v>
      </c>
      <c r="Y310" s="46">
        <f t="shared" si="98"/>
        <v>0</v>
      </c>
      <c r="Z310" s="45">
        <f t="shared" si="83"/>
        <v>0</v>
      </c>
      <c r="AA310" s="46">
        <f t="shared" si="98"/>
        <v>0</v>
      </c>
      <c r="AB310" s="46">
        <f t="shared" si="98"/>
        <v>0</v>
      </c>
      <c r="AC310" s="50">
        <f t="shared" si="84"/>
        <v>0</v>
      </c>
    </row>
    <row r="311" spans="7:29" ht="21" x14ac:dyDescent="0.15">
      <c r="G311" s="206" t="s">
        <v>888</v>
      </c>
      <c r="H311" s="53" t="s">
        <v>605</v>
      </c>
      <c r="I311" s="45">
        <f t="shared" si="76"/>
        <v>0</v>
      </c>
      <c r="J311" s="45">
        <f t="shared" si="77"/>
        <v>0</v>
      </c>
      <c r="K311" s="8"/>
      <c r="L311" s="8"/>
      <c r="M311" s="45">
        <f t="shared" si="78"/>
        <v>0</v>
      </c>
      <c r="N311" s="8"/>
      <c r="O311" s="8"/>
      <c r="P311" s="45">
        <f t="shared" si="79"/>
        <v>0</v>
      </c>
      <c r="Q311" s="8"/>
      <c r="R311" s="8"/>
      <c r="S311" s="45">
        <f t="shared" si="80"/>
        <v>0</v>
      </c>
      <c r="T311" s="45">
        <f t="shared" si="81"/>
        <v>0</v>
      </c>
      <c r="U311" s="8"/>
      <c r="V311" s="8"/>
      <c r="W311" s="45">
        <f t="shared" si="82"/>
        <v>0</v>
      </c>
      <c r="X311" s="8"/>
      <c r="Y311" s="8"/>
      <c r="Z311" s="45">
        <f t="shared" si="83"/>
        <v>0</v>
      </c>
      <c r="AA311" s="8"/>
      <c r="AB311" s="8"/>
      <c r="AC311" s="50">
        <f t="shared" si="84"/>
        <v>0</v>
      </c>
    </row>
    <row r="312" spans="7:29" ht="21" x14ac:dyDescent="0.15">
      <c r="G312" s="206" t="s">
        <v>600</v>
      </c>
      <c r="H312" s="4" t="s">
        <v>607</v>
      </c>
      <c r="I312" s="45">
        <f t="shared" si="76"/>
        <v>0</v>
      </c>
      <c r="J312" s="45">
        <f t="shared" si="77"/>
        <v>0</v>
      </c>
      <c r="K312" s="8"/>
      <c r="L312" s="8"/>
      <c r="M312" s="45">
        <f t="shared" si="78"/>
        <v>0</v>
      </c>
      <c r="N312" s="8"/>
      <c r="O312" s="8"/>
      <c r="P312" s="45">
        <f t="shared" si="79"/>
        <v>0</v>
      </c>
      <c r="Q312" s="8"/>
      <c r="R312" s="8"/>
      <c r="S312" s="45">
        <f t="shared" si="80"/>
        <v>0</v>
      </c>
      <c r="T312" s="45">
        <f t="shared" si="81"/>
        <v>0</v>
      </c>
      <c r="U312" s="8"/>
      <c r="V312" s="8"/>
      <c r="W312" s="45">
        <f t="shared" si="82"/>
        <v>0</v>
      </c>
      <c r="X312" s="8"/>
      <c r="Y312" s="8"/>
      <c r="Z312" s="45">
        <f t="shared" si="83"/>
        <v>0</v>
      </c>
      <c r="AA312" s="8"/>
      <c r="AB312" s="8"/>
      <c r="AC312" s="50">
        <f t="shared" si="84"/>
        <v>0</v>
      </c>
    </row>
    <row r="313" spans="7:29" x14ac:dyDescent="0.15">
      <c r="G313" s="205" t="s">
        <v>602</v>
      </c>
      <c r="H313" s="4" t="s">
        <v>609</v>
      </c>
      <c r="I313" s="45">
        <f t="shared" si="76"/>
        <v>0</v>
      </c>
      <c r="J313" s="45">
        <f t="shared" si="77"/>
        <v>0</v>
      </c>
      <c r="K313" s="8"/>
      <c r="L313" s="8"/>
      <c r="M313" s="45">
        <f t="shared" si="78"/>
        <v>0</v>
      </c>
      <c r="N313" s="8"/>
      <c r="O313" s="8"/>
      <c r="P313" s="45">
        <f t="shared" si="79"/>
        <v>0</v>
      </c>
      <c r="Q313" s="8"/>
      <c r="R313" s="8"/>
      <c r="S313" s="45">
        <f t="shared" si="80"/>
        <v>0</v>
      </c>
      <c r="T313" s="45">
        <f t="shared" si="81"/>
        <v>0</v>
      </c>
      <c r="U313" s="8"/>
      <c r="V313" s="8"/>
      <c r="W313" s="45">
        <f t="shared" si="82"/>
        <v>0</v>
      </c>
      <c r="X313" s="8"/>
      <c r="Y313" s="8"/>
      <c r="Z313" s="45">
        <f t="shared" si="83"/>
        <v>0</v>
      </c>
      <c r="AA313" s="8"/>
      <c r="AB313" s="8"/>
      <c r="AC313" s="50">
        <f t="shared" si="84"/>
        <v>0</v>
      </c>
    </row>
    <row r="314" spans="7:29" x14ac:dyDescent="0.15">
      <c r="G314" s="205" t="s">
        <v>604</v>
      </c>
      <c r="H314" s="53" t="s">
        <v>611</v>
      </c>
      <c r="I314" s="45">
        <f t="shared" si="76"/>
        <v>0</v>
      </c>
      <c r="J314" s="45">
        <f t="shared" si="77"/>
        <v>0</v>
      </c>
      <c r="K314" s="8"/>
      <c r="L314" s="8"/>
      <c r="M314" s="45">
        <f t="shared" si="78"/>
        <v>0</v>
      </c>
      <c r="N314" s="8"/>
      <c r="O314" s="8"/>
      <c r="P314" s="45">
        <f t="shared" si="79"/>
        <v>0</v>
      </c>
      <c r="Q314" s="8"/>
      <c r="R314" s="8"/>
      <c r="S314" s="45">
        <f t="shared" si="80"/>
        <v>0</v>
      </c>
      <c r="T314" s="45">
        <f t="shared" si="81"/>
        <v>0</v>
      </c>
      <c r="U314" s="8"/>
      <c r="V314" s="8"/>
      <c r="W314" s="45">
        <f t="shared" si="82"/>
        <v>0</v>
      </c>
      <c r="X314" s="8"/>
      <c r="Y314" s="8"/>
      <c r="Z314" s="45">
        <f t="shared" si="83"/>
        <v>0</v>
      </c>
      <c r="AA314" s="8"/>
      <c r="AB314" s="8"/>
      <c r="AC314" s="50">
        <f t="shared" si="84"/>
        <v>0</v>
      </c>
    </row>
    <row r="315" spans="7:29" x14ac:dyDescent="0.15">
      <c r="G315" s="205" t="s">
        <v>606</v>
      </c>
      <c r="H315" s="4" t="s">
        <v>613</v>
      </c>
      <c r="I315" s="45">
        <f t="shared" si="76"/>
        <v>0</v>
      </c>
      <c r="J315" s="45">
        <f t="shared" si="77"/>
        <v>0</v>
      </c>
      <c r="K315" s="8"/>
      <c r="L315" s="8"/>
      <c r="M315" s="45">
        <f t="shared" si="78"/>
        <v>0</v>
      </c>
      <c r="N315" s="8"/>
      <c r="O315" s="8"/>
      <c r="P315" s="45">
        <f t="shared" si="79"/>
        <v>0</v>
      </c>
      <c r="Q315" s="8"/>
      <c r="R315" s="8"/>
      <c r="S315" s="45">
        <f t="shared" si="80"/>
        <v>0</v>
      </c>
      <c r="T315" s="45">
        <f t="shared" si="81"/>
        <v>0</v>
      </c>
      <c r="U315" s="8"/>
      <c r="V315" s="8"/>
      <c r="W315" s="45">
        <f t="shared" si="82"/>
        <v>0</v>
      </c>
      <c r="X315" s="8"/>
      <c r="Y315" s="8"/>
      <c r="Z315" s="45">
        <f t="shared" si="83"/>
        <v>0</v>
      </c>
      <c r="AA315" s="8"/>
      <c r="AB315" s="8"/>
      <c r="AC315" s="50">
        <f t="shared" si="84"/>
        <v>0</v>
      </c>
    </row>
    <row r="316" spans="7:29" x14ac:dyDescent="0.15">
      <c r="G316" s="205" t="s">
        <v>608</v>
      </c>
      <c r="H316" s="4" t="s">
        <v>615</v>
      </c>
      <c r="I316" s="45">
        <f t="shared" si="76"/>
        <v>0</v>
      </c>
      <c r="J316" s="45">
        <f t="shared" si="77"/>
        <v>0</v>
      </c>
      <c r="K316" s="8"/>
      <c r="L316" s="8"/>
      <c r="M316" s="45">
        <f t="shared" si="78"/>
        <v>0</v>
      </c>
      <c r="N316" s="8"/>
      <c r="O316" s="8"/>
      <c r="P316" s="45">
        <f t="shared" si="79"/>
        <v>0</v>
      </c>
      <c r="Q316" s="8"/>
      <c r="R316" s="8"/>
      <c r="S316" s="45">
        <f t="shared" si="80"/>
        <v>0</v>
      </c>
      <c r="T316" s="45">
        <f t="shared" si="81"/>
        <v>0</v>
      </c>
      <c r="U316" s="8"/>
      <c r="V316" s="8"/>
      <c r="W316" s="45">
        <f t="shared" si="82"/>
        <v>0</v>
      </c>
      <c r="X316" s="8"/>
      <c r="Y316" s="8"/>
      <c r="Z316" s="45">
        <f t="shared" si="83"/>
        <v>0</v>
      </c>
      <c r="AA316" s="8"/>
      <c r="AB316" s="8"/>
      <c r="AC316" s="50">
        <f t="shared" si="84"/>
        <v>0</v>
      </c>
    </row>
    <row r="317" spans="7:29" x14ac:dyDescent="0.15">
      <c r="G317" s="205" t="s">
        <v>610</v>
      </c>
      <c r="H317" s="53" t="s">
        <v>617</v>
      </c>
      <c r="I317" s="45">
        <f t="shared" si="76"/>
        <v>0</v>
      </c>
      <c r="J317" s="45">
        <f t="shared" si="77"/>
        <v>0</v>
      </c>
      <c r="K317" s="8"/>
      <c r="L317" s="8"/>
      <c r="M317" s="45">
        <f t="shared" si="78"/>
        <v>0</v>
      </c>
      <c r="N317" s="8"/>
      <c r="O317" s="8"/>
      <c r="P317" s="45">
        <f t="shared" si="79"/>
        <v>0</v>
      </c>
      <c r="Q317" s="8"/>
      <c r="R317" s="8"/>
      <c r="S317" s="45">
        <f t="shared" si="80"/>
        <v>0</v>
      </c>
      <c r="T317" s="45">
        <f t="shared" si="81"/>
        <v>0</v>
      </c>
      <c r="U317" s="8"/>
      <c r="V317" s="8"/>
      <c r="W317" s="45">
        <f t="shared" si="82"/>
        <v>0</v>
      </c>
      <c r="X317" s="8"/>
      <c r="Y317" s="8"/>
      <c r="Z317" s="45">
        <f t="shared" si="83"/>
        <v>0</v>
      </c>
      <c r="AA317" s="8"/>
      <c r="AB317" s="8"/>
      <c r="AC317" s="50">
        <f t="shared" si="84"/>
        <v>0</v>
      </c>
    </row>
    <row r="318" spans="7:29" x14ac:dyDescent="0.15">
      <c r="G318" s="205" t="s">
        <v>612</v>
      </c>
      <c r="H318" s="4" t="s">
        <v>619</v>
      </c>
      <c r="I318" s="45">
        <f t="shared" si="76"/>
        <v>0</v>
      </c>
      <c r="J318" s="45">
        <f t="shared" si="77"/>
        <v>0</v>
      </c>
      <c r="K318" s="8"/>
      <c r="L318" s="8"/>
      <c r="M318" s="45">
        <f t="shared" si="78"/>
        <v>0</v>
      </c>
      <c r="N318" s="8"/>
      <c r="O318" s="8"/>
      <c r="P318" s="45">
        <f t="shared" si="79"/>
        <v>0</v>
      </c>
      <c r="Q318" s="8"/>
      <c r="R318" s="8"/>
      <c r="S318" s="45">
        <f t="shared" si="80"/>
        <v>0</v>
      </c>
      <c r="T318" s="45">
        <f t="shared" si="81"/>
        <v>0</v>
      </c>
      <c r="U318" s="8"/>
      <c r="V318" s="8"/>
      <c r="W318" s="45">
        <f t="shared" si="82"/>
        <v>0</v>
      </c>
      <c r="X318" s="8"/>
      <c r="Y318" s="8"/>
      <c r="Z318" s="45">
        <f t="shared" si="83"/>
        <v>0</v>
      </c>
      <c r="AA318" s="8"/>
      <c r="AB318" s="8"/>
      <c r="AC318" s="50">
        <f t="shared" si="84"/>
        <v>0</v>
      </c>
    </row>
    <row r="319" spans="7:29" x14ac:dyDescent="0.15">
      <c r="G319" s="205" t="s">
        <v>614</v>
      </c>
      <c r="H319" s="4" t="s">
        <v>621</v>
      </c>
      <c r="I319" s="45">
        <f t="shared" si="76"/>
        <v>0</v>
      </c>
      <c r="J319" s="45">
        <f t="shared" si="77"/>
        <v>0</v>
      </c>
      <c r="K319" s="8"/>
      <c r="L319" s="8"/>
      <c r="M319" s="45">
        <f t="shared" si="78"/>
        <v>0</v>
      </c>
      <c r="N319" s="8"/>
      <c r="O319" s="8"/>
      <c r="P319" s="45">
        <f t="shared" si="79"/>
        <v>0</v>
      </c>
      <c r="Q319" s="8"/>
      <c r="R319" s="8"/>
      <c r="S319" s="45">
        <f t="shared" si="80"/>
        <v>0</v>
      </c>
      <c r="T319" s="45">
        <f t="shared" si="81"/>
        <v>0</v>
      </c>
      <c r="U319" s="8"/>
      <c r="V319" s="8"/>
      <c r="W319" s="45">
        <f t="shared" si="82"/>
        <v>0</v>
      </c>
      <c r="X319" s="8"/>
      <c r="Y319" s="8"/>
      <c r="Z319" s="45">
        <f t="shared" si="83"/>
        <v>0</v>
      </c>
      <c r="AA319" s="8"/>
      <c r="AB319" s="8"/>
      <c r="AC319" s="50">
        <f t="shared" si="84"/>
        <v>0</v>
      </c>
    </row>
    <row r="320" spans="7:29" x14ac:dyDescent="0.15">
      <c r="G320" s="205" t="s">
        <v>616</v>
      </c>
      <c r="H320" s="53" t="s">
        <v>623</v>
      </c>
      <c r="I320" s="45">
        <f t="shared" si="76"/>
        <v>0</v>
      </c>
      <c r="J320" s="45">
        <f t="shared" si="77"/>
        <v>0</v>
      </c>
      <c r="K320" s="8"/>
      <c r="L320" s="8"/>
      <c r="M320" s="45">
        <f t="shared" si="78"/>
        <v>0</v>
      </c>
      <c r="N320" s="8"/>
      <c r="O320" s="8"/>
      <c r="P320" s="45">
        <f t="shared" si="79"/>
        <v>0</v>
      </c>
      <c r="Q320" s="8"/>
      <c r="R320" s="8"/>
      <c r="S320" s="45">
        <f t="shared" si="80"/>
        <v>0</v>
      </c>
      <c r="T320" s="45">
        <f t="shared" si="81"/>
        <v>0</v>
      </c>
      <c r="U320" s="8"/>
      <c r="V320" s="8"/>
      <c r="W320" s="45">
        <f t="shared" si="82"/>
        <v>0</v>
      </c>
      <c r="X320" s="8"/>
      <c r="Y320" s="8"/>
      <c r="Z320" s="45">
        <f t="shared" si="83"/>
        <v>0</v>
      </c>
      <c r="AA320" s="8"/>
      <c r="AB320" s="8"/>
      <c r="AC320" s="50">
        <f t="shared" si="84"/>
        <v>0</v>
      </c>
    </row>
    <row r="321" spans="7:29" x14ac:dyDescent="0.15">
      <c r="G321" s="205" t="s">
        <v>618</v>
      </c>
      <c r="H321" s="4" t="s">
        <v>898</v>
      </c>
      <c r="I321" s="45">
        <f t="shared" si="76"/>
        <v>0</v>
      </c>
      <c r="J321" s="45">
        <f t="shared" si="77"/>
        <v>0</v>
      </c>
      <c r="K321" s="8"/>
      <c r="L321" s="8"/>
      <c r="M321" s="45">
        <f t="shared" si="78"/>
        <v>0</v>
      </c>
      <c r="N321" s="8"/>
      <c r="O321" s="8"/>
      <c r="P321" s="45">
        <f t="shared" si="79"/>
        <v>0</v>
      </c>
      <c r="Q321" s="8"/>
      <c r="R321" s="8"/>
      <c r="S321" s="45">
        <f t="shared" si="80"/>
        <v>0</v>
      </c>
      <c r="T321" s="45">
        <f t="shared" si="81"/>
        <v>0</v>
      </c>
      <c r="U321" s="8"/>
      <c r="V321" s="8"/>
      <c r="W321" s="45">
        <f t="shared" si="82"/>
        <v>0</v>
      </c>
      <c r="X321" s="8"/>
      <c r="Y321" s="8"/>
      <c r="Z321" s="45">
        <f t="shared" si="83"/>
        <v>0</v>
      </c>
      <c r="AA321" s="8"/>
      <c r="AB321" s="8"/>
      <c r="AC321" s="50">
        <f t="shared" si="84"/>
        <v>0</v>
      </c>
    </row>
    <row r="322" spans="7:29" x14ac:dyDescent="0.15">
      <c r="G322" s="205" t="s">
        <v>620</v>
      </c>
      <c r="H322" s="4" t="s">
        <v>899</v>
      </c>
      <c r="I322" s="45">
        <f t="shared" si="76"/>
        <v>0</v>
      </c>
      <c r="J322" s="45">
        <f t="shared" si="77"/>
        <v>0</v>
      </c>
      <c r="K322" s="8"/>
      <c r="L322" s="8"/>
      <c r="M322" s="45">
        <f t="shared" si="78"/>
        <v>0</v>
      </c>
      <c r="N322" s="8"/>
      <c r="O322" s="8"/>
      <c r="P322" s="45">
        <f t="shared" si="79"/>
        <v>0</v>
      </c>
      <c r="Q322" s="8"/>
      <c r="R322" s="8"/>
      <c r="S322" s="45">
        <f t="shared" si="80"/>
        <v>0</v>
      </c>
      <c r="T322" s="45">
        <f t="shared" si="81"/>
        <v>0</v>
      </c>
      <c r="U322" s="8"/>
      <c r="V322" s="8"/>
      <c r="W322" s="45">
        <f t="shared" si="82"/>
        <v>0</v>
      </c>
      <c r="X322" s="8"/>
      <c r="Y322" s="8"/>
      <c r="Z322" s="45">
        <f t="shared" si="83"/>
        <v>0</v>
      </c>
      <c r="AA322" s="8"/>
      <c r="AB322" s="8"/>
      <c r="AC322" s="50">
        <f t="shared" si="84"/>
        <v>0</v>
      </c>
    </row>
    <row r="323" spans="7:29" x14ac:dyDescent="0.15">
      <c r="G323" s="209" t="s">
        <v>622</v>
      </c>
      <c r="H323" s="53" t="s">
        <v>900</v>
      </c>
      <c r="I323" s="45">
        <f t="shared" ref="I323:AB323" si="99">SUM(I11:I17,I20:I26,I31:I34,I39:I45,I52:I53,I56:I64,I68:I70,I73:I76,I81:I88,I91:I102,I105:I110,I118:I119,I124:I150,I153:I159,I164:I165,I171:I174,I180:I195,I199:I210,I217:I223,I229:I233,I240:I243,I247:I250,I255:I271,I277:I278,I284:I287,I294:I295,I302:I304,I310,I313:I322)</f>
        <v>0</v>
      </c>
      <c r="J323" s="45">
        <f t="shared" si="99"/>
        <v>0</v>
      </c>
      <c r="K323" s="45">
        <f t="shared" si="99"/>
        <v>0</v>
      </c>
      <c r="L323" s="45">
        <f t="shared" si="99"/>
        <v>0</v>
      </c>
      <c r="M323" s="45">
        <f t="shared" si="99"/>
        <v>0</v>
      </c>
      <c r="N323" s="45">
        <f t="shared" si="99"/>
        <v>0</v>
      </c>
      <c r="O323" s="45">
        <f t="shared" si="99"/>
        <v>0</v>
      </c>
      <c r="P323" s="45">
        <f t="shared" si="99"/>
        <v>0</v>
      </c>
      <c r="Q323" s="45">
        <f t="shared" si="99"/>
        <v>0</v>
      </c>
      <c r="R323" s="45">
        <f t="shared" si="99"/>
        <v>0</v>
      </c>
      <c r="S323" s="45">
        <f t="shared" si="99"/>
        <v>0</v>
      </c>
      <c r="T323" s="45">
        <f t="shared" si="99"/>
        <v>0</v>
      </c>
      <c r="U323" s="45">
        <f t="shared" si="99"/>
        <v>0</v>
      </c>
      <c r="V323" s="45">
        <f t="shared" si="99"/>
        <v>0</v>
      </c>
      <c r="W323" s="45">
        <f t="shared" si="99"/>
        <v>0</v>
      </c>
      <c r="X323" s="45">
        <f t="shared" si="99"/>
        <v>0</v>
      </c>
      <c r="Y323" s="45">
        <f t="shared" si="99"/>
        <v>0</v>
      </c>
      <c r="Z323" s="45">
        <f t="shared" si="99"/>
        <v>0</v>
      </c>
      <c r="AA323" s="45">
        <f t="shared" si="99"/>
        <v>0</v>
      </c>
      <c r="AB323" s="45">
        <f t="shared" si="99"/>
        <v>0</v>
      </c>
      <c r="AC323" s="50">
        <f>SUM(I11:AB323)</f>
        <v>0</v>
      </c>
    </row>
  </sheetData>
  <sheetProtection algorithmName="SHA-512" hashValue="hYntZn4vw0NkbhQO0WRWlKsAS4Z33s49LACvhKrvW7A9yh/Ln6khA+Ru4PgL/qzBfoKR5UHSsXGmyYINl3S8zA==" saltValue="d8UCCiS+IgG+eTf6dI9NFQ==" spinCount="100000" sheet="1" objects="1" scenarios="1" selectLockedCells="1"/>
  <mergeCells count="25">
    <mergeCell ref="S6:S9"/>
    <mergeCell ref="T6:V7"/>
    <mergeCell ref="W6:Y7"/>
    <mergeCell ref="Z6:AB7"/>
    <mergeCell ref="T8:T9"/>
    <mergeCell ref="U8:V8"/>
    <mergeCell ref="W8:W9"/>
    <mergeCell ref="X8:Y8"/>
    <mergeCell ref="Z8:Z9"/>
    <mergeCell ref="Q8:R8"/>
    <mergeCell ref="G4:AB4"/>
    <mergeCell ref="G5:G9"/>
    <mergeCell ref="H5:H9"/>
    <mergeCell ref="I5:R5"/>
    <mergeCell ref="S5:AB5"/>
    <mergeCell ref="I6:I9"/>
    <mergeCell ref="J6:L7"/>
    <mergeCell ref="M6:O7"/>
    <mergeCell ref="P6:R7"/>
    <mergeCell ref="J8:J9"/>
    <mergeCell ref="K8:L8"/>
    <mergeCell ref="M8:M9"/>
    <mergeCell ref="N8:O8"/>
    <mergeCell ref="P8:P9"/>
    <mergeCell ref="AA8:AB8"/>
  </mergeCells>
  <phoneticPr fontId="20" type="noConversion"/>
  <conditionalFormatting sqref="I11:AB323">
    <cfRule type="expression" dxfId="92" priority="1">
      <formula>MOD(I11,1)&lt;&gt;0</formula>
    </cfRule>
    <cfRule type="expression" dxfId="91" priority="9">
      <formula>ISTEXT(I11)</formula>
    </cfRule>
  </conditionalFormatting>
  <conditionalFormatting sqref="K11:L16 N11:O16 Q11:R16 U11:V16 X11:Y16 AA11:AB16 K18:L25 N18:O25 Q18:R25 U18:V25 X18:Y25 AA18:AB25 K27:L33 N27:O33 Q27:R33 U27:V33 X27:Y33 AA27:AB33 K35:L44 N35:O44 Q35:R44 U35:V44 X35:Y44 AA35:AB44 K46:L52 N46:O52 Q46:R52 U46:V52 X46:Y52 AA46:AB52 K54:L63 N54:O63 Q54:R63 U54:V63 X54:Y63 AA54:AB63 K65:L69 N65:O69 Q65:R69 U65:V69 X65:Y69 AA65:AB69 K71:L75 N71:O75 Q71:R75 U71:V75 X71:Y75 AA71:AB75 K77:L87 N77:O87 Q77:R87 U77:V87 X77:Y87 AA77:AB87 K89:L101 N89:O101 Q89:R101 U89:V101 X89:Y101 AA89:AB101 K103:L109 N103:O109 Q103:R109 U103:V109 X103:Y109 AA103:AB109 K111:L118 N111:O118 Q111:R118 U111:V118 X111:Y118 AA111:AB118 K120:L149 N120:O149 Q120:R149 U120:V149 X120:Y149 AA120:AB149 K151:L158 N151:O158 Q151:R158 U151:V158 X151:Y158 AA151:AB158 K160:L164 N160:O164 Q160:R164 U160:V164 X160:Y164 AA160:AB164 K166:L173 N166:O173 Q166:R173 U166:V173 X166:Y173 AA166:AB173 K175:L194 N175:O194 Q175:R194 U175:V194 X175:Y194 AA175:AB194 K196:L209 N196:O209 Q196:R209 U196:V209 X196:Y209 AA196:AB209 K211:L222 N211:O222 Q211:R222 U211:V222 X211:Y222 AA211:AB222 K224:L232 N224:O232 Q224:R232 U224:V232 X224:Y232 AA224:AB232 K234:L242 N234:O242 Q234:R242 U234:V242 X234:Y242 AA234:AB242 K244:L249 N244:O249 Q244:R249 U244:V249 X244:Y249 AA244:AB249 K251:L270 N251:O270 Q251:R270 U251:V270 X251:Y270 AA251:AB270 K272:L277 N272:O277 Q272:R277 U272:V277 X272:Y277 AA272:AB277 K279:L286 N279:O286 Q279:R286 U279:V286 X279:Y286 AA279:AB286 K288:L294 N288:O294 Q288:R294 U288:V294 X288:Y294 AA288:AB294 K296:L303 N296:O303 Q296:R303 U296:V303 X296:Y303 AA296:AB303 K305:L309 N305:O309 Q305:R309 U305:V309 X305:Y309 AA305:AB309 K311:L322 N311:O322 Q311:R322 U311:V322 X311:Y322 AA311:AB322">
    <cfRule type="expression" dxfId="90" priority="6">
      <formula>_xlfn.ISFORMULA(K11)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C1AAA5D3-6D87-4818-A430-2515E1EFD4DE}">
            <xm:f>SUM(I11)&gt;('Раздел 2'!K11+'Раздел 9'!$I$12-'Раздел 9'!$I$13)</xm:f>
            <x14:dxf>
              <fill>
                <patternFill>
                  <bgColor rgb="FFFF0000"/>
                </patternFill>
              </fill>
            </x14:dxf>
          </x14:cfRule>
          <xm:sqref>I11:I323</xm:sqref>
        </x14:conditionalFormatting>
        <x14:conditionalFormatting xmlns:xm="http://schemas.microsoft.com/office/excel/2006/main">
          <x14:cfRule type="expression" priority="10" id="{5AD51D6C-36D8-47CB-A006-42C619EDA903}">
            <xm:f>'Раздел 2'!$I11=1</xm:f>
            <x14:dxf>
              <fill>
                <patternFill>
                  <bgColor theme="6" tint="0.79998168889431442"/>
                </patternFill>
              </fill>
            </x14:dxf>
          </x14:cfRule>
          <x14:cfRule type="expression" priority="11" id="{395F274F-5EDD-42C6-9ECF-24A27139569D}">
            <xm:f>AND('Раздел 1'!$H$5=0,'Раздел 2'!$I11=0,($I11+$S11)&gt;0)</xm:f>
            <x14:dxf>
              <fill>
                <patternFill>
                  <bgColor theme="5" tint="0.79998168889431442"/>
                </patternFill>
              </fill>
            </x14:dxf>
          </x14:cfRule>
          <xm:sqref>K11:L16 N11:O16 Q11:R16 U11:V16 X11:Y16 AA11:AB16 K18:L25 N18:O25 Q18:R25 U18:V25 X18:Y25 AA18:AB25 K27:L33 N27:O33 Q27:R33 U27:V33 X27:Y33 AA27:AB33 K35:L44 N35:O44 Q35:R44 U35:V44 X35:Y44 AA35:AB44 K46:L52 N46:O52 Q46:R52 U46:V52 X46:Y52 AA46:AB52 K54:L63 N54:O63 Q54:R63 U54:V63 X54:Y63 AA54:AB63 K65:L69 N65:O69 Q65:R69 U65:V69 X65:Y69 AA65:AB69 K71:L75 N71:O75 Q71:R75 U71:V75 X71:Y75 AA71:AB75 K77:L87 N77:O87 Q77:R87 U77:V87 X77:Y87 AA77:AB87 K89:L101 N89:O101 Q89:R101 U89:V101 X89:Y101 AA89:AB101 K103:L109 N103:O109 Q103:R109 U103:V109 X103:Y109 AA103:AB109 K111:L118 N111:O118 Q111:R118 U111:V118 X111:Y118 AA111:AB118 K120:L149 N120:O149 Q120:R149 U120:V149 X120:Y149 AA120:AB149 K151:L158 N151:O158 Q151:R158 U151:V158 X151:Y158 AA151:AB158 K160:L164 N160:O164 Q160:R164 U160:V164 X160:Y164 AA160:AB164 K166:L173 N166:O173 Q166:R173 U166:V173 X166:Y173 AA166:AB173 K175:L194 N175:O194 Q175:R194 U175:V194 X175:Y194 AA175:AB194 K196:L209 N196:O209 Q196:R209 U196:V209 X196:Y209 AA196:AB209 K211:L222 N211:O222 Q211:R222 U211:V222 X211:Y222 AA211:AB222 K224:L232 N224:O232 Q224:R232 U224:V232 X224:Y232 AA224:AB232 K234:L242 N234:O242 Q234:R242 U234:V242 X234:Y242 AA234:AB242 K244:L249 N244:O249 Q244:R249 U244:V249 X244:Y249 AA244:AB249 K251:L270 N251:O270 Q251:R270 U251:V270 X251:Y270 AA251:AB270 K272:L277 N272:O277 Q272:R277 U272:V277 X272:Y277 AA272:AB277 K279:L286 N279:O286 Q279:R286 U279:V286 X279:Y286 AA279:AB286 K288:L294 N288:O294 Q288:R294 U288:V294 X288:Y294 AA288:AB294 K296:L303 N296:O303 Q296:R303 U296:V303 X296:Y303 AA296:AB303 K305:L309 N305:O309 Q305:R309 U305:V309 X305:Y309 AA305:AB309 K311:L322 N311:O322 Q311:R322 U311:V322 X311:Y322 AA311:AB322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82D8-D876-4497-989E-04C64E298A35}">
  <dimension ref="A1:AS323"/>
  <sheetViews>
    <sheetView topLeftCell="A5" zoomScaleNormal="100" workbookViewId="0">
      <pane xSplit="14" ySplit="6" topLeftCell="O300" activePane="bottomRight" state="frozen"/>
      <selection activeCell="H19" sqref="H19:I19"/>
      <selection pane="topRight" activeCell="H19" sqref="H19:I19"/>
      <selection pane="bottomLeft" activeCell="H19" sqref="H19:I19"/>
      <selection pane="bottomRight" activeCell="Q316" sqref="Q316"/>
    </sheetView>
  </sheetViews>
  <sheetFormatPr defaultColWidth="9.140625" defaultRowHeight="10.5" x14ac:dyDescent="0.15"/>
  <cols>
    <col min="1" max="1" width="5.140625" style="67" hidden="1" customWidth="1"/>
    <col min="2" max="2" width="13.140625" style="67" hidden="1" customWidth="1"/>
    <col min="3" max="5" width="5.140625" style="67" hidden="1" customWidth="1"/>
    <col min="6" max="6" width="14" style="67" hidden="1" customWidth="1"/>
    <col min="7" max="7" width="30.42578125" style="139" bestFit="1" customWidth="1"/>
    <col min="8" max="8" width="4.5703125" style="139" customWidth="1"/>
    <col min="9" max="9" width="10.28515625" style="139" customWidth="1"/>
    <col min="10" max="13" width="8.42578125" style="139" customWidth="1"/>
    <col min="14" max="14" width="7" style="139" bestFit="1" customWidth="1"/>
    <col min="15" max="24" width="6.85546875" style="139" customWidth="1"/>
    <col min="25" max="25" width="6.85546875" style="66" customWidth="1"/>
    <col min="26" max="43" width="6.85546875" style="139" customWidth="1"/>
    <col min="44" max="44" width="6.85546875" style="66" customWidth="1"/>
    <col min="45" max="45" width="4.85546875" style="139" customWidth="1"/>
    <col min="46" max="16384" width="9.140625" style="67"/>
  </cols>
  <sheetData>
    <row r="1" spans="1:45" hidden="1" x14ac:dyDescent="0.15"/>
    <row r="2" spans="1:45" hidden="1" x14ac:dyDescent="0.15"/>
    <row r="3" spans="1:45" hidden="1" x14ac:dyDescent="0.15"/>
    <row r="4" spans="1:45" hidden="1" x14ac:dyDescent="0.15"/>
    <row r="5" spans="1:45" ht="15" customHeight="1" x14ac:dyDescent="0.15">
      <c r="G5" s="317" t="s">
        <v>670</v>
      </c>
      <c r="H5" s="317"/>
      <c r="I5" s="317"/>
      <c r="J5" s="317"/>
      <c r="K5" s="317"/>
      <c r="L5" s="317"/>
      <c r="M5" s="317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317"/>
      <c r="AB5" s="317"/>
      <c r="AC5" s="317"/>
      <c r="AD5" s="317"/>
      <c r="AE5" s="317"/>
      <c r="AF5" s="317"/>
      <c r="AG5" s="317"/>
      <c r="AH5" s="317"/>
      <c r="AI5" s="317"/>
      <c r="AJ5" s="317"/>
      <c r="AK5" s="317"/>
      <c r="AL5" s="317"/>
      <c r="AM5" s="317"/>
      <c r="AN5" s="317"/>
      <c r="AO5" s="317"/>
      <c r="AP5" s="317"/>
      <c r="AQ5" s="317"/>
      <c r="AR5" s="317"/>
    </row>
    <row r="6" spans="1:45" ht="16.5" customHeight="1" x14ac:dyDescent="0.15">
      <c r="G6" s="318" t="s">
        <v>1</v>
      </c>
      <c r="H6" s="360" t="s">
        <v>2</v>
      </c>
      <c r="I6" s="321" t="s">
        <v>671</v>
      </c>
      <c r="J6" s="321"/>
      <c r="K6" s="321"/>
      <c r="L6" s="321"/>
      <c r="M6" s="321"/>
      <c r="N6" s="321"/>
      <c r="O6" s="321"/>
      <c r="P6" s="321"/>
      <c r="Q6" s="321"/>
      <c r="R6" s="321"/>
      <c r="S6" s="321"/>
      <c r="T6" s="321"/>
      <c r="U6" s="321"/>
      <c r="V6" s="321"/>
      <c r="W6" s="321"/>
      <c r="X6" s="321"/>
      <c r="Y6" s="321"/>
      <c r="Z6" s="321"/>
      <c r="AA6" s="321"/>
      <c r="AB6" s="321"/>
      <c r="AC6" s="321"/>
      <c r="AD6" s="321"/>
      <c r="AE6" s="321"/>
      <c r="AF6" s="321"/>
      <c r="AG6" s="321"/>
      <c r="AH6" s="321"/>
      <c r="AI6" s="321"/>
      <c r="AJ6" s="321"/>
      <c r="AK6" s="321"/>
      <c r="AL6" s="321"/>
      <c r="AM6" s="321"/>
      <c r="AN6" s="321"/>
      <c r="AO6" s="321"/>
      <c r="AP6" s="321"/>
      <c r="AQ6" s="321"/>
      <c r="AR6" s="321"/>
    </row>
    <row r="7" spans="1:45" ht="28.5" customHeight="1" x14ac:dyDescent="0.15">
      <c r="G7" s="318"/>
      <c r="H7" s="360"/>
      <c r="I7" s="318" t="s">
        <v>626</v>
      </c>
      <c r="J7" s="318"/>
      <c r="K7" s="318"/>
      <c r="L7" s="318"/>
      <c r="M7" s="318"/>
      <c r="N7" s="318"/>
      <c r="O7" s="318" t="s">
        <v>672</v>
      </c>
      <c r="P7" s="318"/>
      <c r="Q7" s="318"/>
      <c r="R7" s="318"/>
      <c r="S7" s="318"/>
      <c r="T7" s="318" t="s">
        <v>673</v>
      </c>
      <c r="U7" s="318"/>
      <c r="V7" s="318"/>
      <c r="W7" s="318"/>
      <c r="X7" s="318"/>
      <c r="Y7" s="318" t="s">
        <v>674</v>
      </c>
      <c r="Z7" s="318"/>
      <c r="AA7" s="318"/>
      <c r="AB7" s="318"/>
      <c r="AC7" s="318"/>
      <c r="AD7" s="318" t="s">
        <v>675</v>
      </c>
      <c r="AE7" s="318"/>
      <c r="AF7" s="318"/>
      <c r="AG7" s="318"/>
      <c r="AH7" s="318"/>
      <c r="AI7" s="327" t="s">
        <v>676</v>
      </c>
      <c r="AJ7" s="222"/>
      <c r="AK7" s="222"/>
      <c r="AL7" s="222"/>
      <c r="AM7" s="328"/>
      <c r="AN7" s="318" t="s">
        <v>677</v>
      </c>
      <c r="AO7" s="318"/>
      <c r="AP7" s="318"/>
      <c r="AQ7" s="318"/>
      <c r="AR7" s="318"/>
    </row>
    <row r="8" spans="1:45" ht="28.5" customHeight="1" x14ac:dyDescent="0.15">
      <c r="G8" s="318"/>
      <c r="H8" s="360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29"/>
      <c r="AJ8" s="330"/>
      <c r="AK8" s="330"/>
      <c r="AL8" s="330"/>
      <c r="AM8" s="331"/>
      <c r="AN8" s="318"/>
      <c r="AO8" s="318"/>
      <c r="AP8" s="318"/>
      <c r="AQ8" s="318"/>
      <c r="AR8" s="318"/>
    </row>
    <row r="9" spans="1:45" ht="30.75" customHeight="1" x14ac:dyDescent="0.15">
      <c r="G9" s="318"/>
      <c r="H9" s="319"/>
      <c r="I9" s="140" t="s">
        <v>678</v>
      </c>
      <c r="J9" s="140">
        <v>1</v>
      </c>
      <c r="K9" s="140">
        <v>2</v>
      </c>
      <c r="L9" s="140">
        <v>3</v>
      </c>
      <c r="M9" s="140" t="s">
        <v>679</v>
      </c>
      <c r="N9" s="140" t="s">
        <v>680</v>
      </c>
      <c r="O9" s="68">
        <v>1</v>
      </c>
      <c r="P9" s="68">
        <v>2</v>
      </c>
      <c r="Q9" s="68">
        <v>3</v>
      </c>
      <c r="R9" s="68" t="s">
        <v>679</v>
      </c>
      <c r="S9" s="68" t="s">
        <v>680</v>
      </c>
      <c r="T9" s="68">
        <v>1</v>
      </c>
      <c r="U9" s="68">
        <v>2</v>
      </c>
      <c r="V9" s="68">
        <v>3</v>
      </c>
      <c r="W9" s="68" t="s">
        <v>679</v>
      </c>
      <c r="X9" s="68" t="s">
        <v>680</v>
      </c>
      <c r="Y9" s="68">
        <v>1</v>
      </c>
      <c r="Z9" s="68">
        <v>2</v>
      </c>
      <c r="AA9" s="68">
        <v>3</v>
      </c>
      <c r="AB9" s="68" t="s">
        <v>679</v>
      </c>
      <c r="AC9" s="68" t="s">
        <v>680</v>
      </c>
      <c r="AD9" s="68">
        <v>1</v>
      </c>
      <c r="AE9" s="68">
        <v>2</v>
      </c>
      <c r="AF9" s="68">
        <v>3</v>
      </c>
      <c r="AG9" s="68" t="s">
        <v>679</v>
      </c>
      <c r="AH9" s="68" t="s">
        <v>680</v>
      </c>
      <c r="AI9" s="68">
        <v>1</v>
      </c>
      <c r="AJ9" s="68">
        <v>2</v>
      </c>
      <c r="AK9" s="68">
        <v>3</v>
      </c>
      <c r="AL9" s="68" t="s">
        <v>679</v>
      </c>
      <c r="AM9" s="68" t="s">
        <v>680</v>
      </c>
      <c r="AN9" s="68">
        <v>1</v>
      </c>
      <c r="AO9" s="68">
        <v>2</v>
      </c>
      <c r="AP9" s="68">
        <v>3</v>
      </c>
      <c r="AQ9" s="68" t="s">
        <v>679</v>
      </c>
      <c r="AR9" s="68" t="s">
        <v>680</v>
      </c>
    </row>
    <row r="10" spans="1:45" ht="11.25" thickBot="1" x14ac:dyDescent="0.2">
      <c r="A10" s="187">
        <f>'Раздел 0'!M27</f>
        <v>0</v>
      </c>
      <c r="B10" s="185">
        <f>'Раздел 1'!D15</f>
        <v>0</v>
      </c>
      <c r="C10" s="184" t="str" cm="1">
        <f t="array" ref="C10">_xlfn.IFS(SUM('Раздел 1'!$D$5:$D$6)&gt;0,"ФКиС",SUM('Раздел 1'!$D$7:$D$8)&gt;0,"Образование",SUM('Раздел 1'!$D$9:$D$10)&gt;0,"Другая")</f>
        <v>ФКиС</v>
      </c>
      <c r="D10" s="184" t="str" cm="1">
        <f t="array" ref="D10">_xlfn.IFS(SUM('Раздел 1'!$E$12)&gt;0,"СШ",SUM('Раздел 1'!$F$12)&gt;0,"СШОР",SUM('Раздел 1'!$G$12)&gt;0,"УОР",SUM('Раздел 1'!$H$12)&gt;0,"ЦСП",SUM('Раздел 1'!$I$12)&gt;0,"ДРУГИЕ",SUM('Раздел 1'!$E$13)&gt;0,"ОСП СШ",SUM('Раздел 1'!$F$13)&gt;0,"ОСП СШОР",SUM('Раздел 1'!$I$13)&gt;0,"ОСП ДРУГИЕ")</f>
        <v>ЦСП</v>
      </c>
      <c r="E10" s="184">
        <f>IF(SUM('Раздел 1'!$D$12)&gt;0,SUM('Раздел 1'!$D$13),"")</f>
        <v>0</v>
      </c>
      <c r="F10" s="184" t="e" cm="1">
        <f t="array" ref="F10">_xlfn.IFS(SUM('Раздел 1'!$D$19)&gt;0,"РФ",SUM('Раздел 1'!$E$19)&gt;0,"СУБЪЕКТ",SUM('Раздел 1'!$F$19:$G$19)&gt;0,"МУНИЦИПАЛ",SUM('Раздел 1'!$H$19:$I$19)&gt;0,"ИНЫЕ")</f>
        <v>#N/A</v>
      </c>
      <c r="G10" s="73">
        <v>1</v>
      </c>
      <c r="H10" s="73">
        <v>2</v>
      </c>
      <c r="I10" s="73">
        <v>3</v>
      </c>
      <c r="J10" s="73">
        <v>4</v>
      </c>
      <c r="K10" s="73">
        <v>5</v>
      </c>
      <c r="L10" s="73">
        <v>6</v>
      </c>
      <c r="M10" s="73">
        <v>7</v>
      </c>
      <c r="N10" s="73">
        <v>8</v>
      </c>
      <c r="O10" s="73">
        <v>9</v>
      </c>
      <c r="P10" s="73">
        <v>10</v>
      </c>
      <c r="Q10" s="73">
        <v>11</v>
      </c>
      <c r="R10" s="73">
        <v>12</v>
      </c>
      <c r="S10" s="73">
        <v>13</v>
      </c>
      <c r="T10" s="73">
        <v>14</v>
      </c>
      <c r="U10" s="73">
        <v>15</v>
      </c>
      <c r="V10" s="73">
        <v>16</v>
      </c>
      <c r="W10" s="73">
        <v>17</v>
      </c>
      <c r="X10" s="73">
        <v>18</v>
      </c>
      <c r="Y10" s="73">
        <v>19</v>
      </c>
      <c r="Z10" s="73">
        <v>20</v>
      </c>
      <c r="AA10" s="73">
        <v>21</v>
      </c>
      <c r="AB10" s="73">
        <v>22</v>
      </c>
      <c r="AC10" s="73">
        <v>23</v>
      </c>
      <c r="AD10" s="73">
        <v>24</v>
      </c>
      <c r="AE10" s="73">
        <v>25</v>
      </c>
      <c r="AF10" s="73">
        <v>26</v>
      </c>
      <c r="AG10" s="73">
        <v>27</v>
      </c>
      <c r="AH10" s="73">
        <v>28</v>
      </c>
      <c r="AI10" s="73">
        <v>29</v>
      </c>
      <c r="AJ10" s="73">
        <v>30</v>
      </c>
      <c r="AK10" s="73">
        <v>31</v>
      </c>
      <c r="AL10" s="73">
        <v>32</v>
      </c>
      <c r="AM10" s="73">
        <v>33</v>
      </c>
      <c r="AN10" s="73">
        <v>34</v>
      </c>
      <c r="AO10" s="73">
        <v>35</v>
      </c>
      <c r="AP10" s="73">
        <v>36</v>
      </c>
      <c r="AQ10" s="73">
        <v>37</v>
      </c>
      <c r="AR10" s="73">
        <v>38</v>
      </c>
      <c r="AS10" s="141">
        <v>39</v>
      </c>
    </row>
    <row r="11" spans="1:45" x14ac:dyDescent="0.15">
      <c r="F11" s="67" t="s">
        <v>928</v>
      </c>
      <c r="G11" s="210" t="s">
        <v>21</v>
      </c>
      <c r="H11" s="142" t="s">
        <v>22</v>
      </c>
      <c r="I11" s="56">
        <f>SUM(J11:L11)</f>
        <v>0</v>
      </c>
      <c r="J11" s="56">
        <f>O11+T11+Y11+AD11+AI11+AN11</f>
        <v>0</v>
      </c>
      <c r="K11" s="56">
        <f t="shared" ref="K11:N11" si="0">P11+U11+Z11+AE11+AJ11+AO11</f>
        <v>0</v>
      </c>
      <c r="L11" s="56">
        <f t="shared" si="0"/>
        <v>0</v>
      </c>
      <c r="M11" s="56">
        <f t="shared" si="0"/>
        <v>0</v>
      </c>
      <c r="N11" s="56">
        <f t="shared" si="0"/>
        <v>0</v>
      </c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143">
        <f>SUM(I11:AR11)</f>
        <v>0</v>
      </c>
    </row>
    <row r="12" spans="1:45" x14ac:dyDescent="0.15">
      <c r="F12" s="67" t="s">
        <v>928</v>
      </c>
      <c r="G12" s="211" t="s">
        <v>23</v>
      </c>
      <c r="H12" s="144" t="s">
        <v>24</v>
      </c>
      <c r="I12" s="45">
        <f t="shared" ref="I12:I75" si="1">SUM(J12:L12)</f>
        <v>0</v>
      </c>
      <c r="J12" s="45">
        <f t="shared" ref="J12:J75" si="2">O12+T12+Y12+AD12+AI12+AN12</f>
        <v>0</v>
      </c>
      <c r="K12" s="45">
        <f t="shared" ref="K12:K75" si="3">P12+U12+Z12+AE12+AJ12+AO12</f>
        <v>0</v>
      </c>
      <c r="L12" s="45">
        <f t="shared" ref="L12:L75" si="4">Q12+V12+AA12+AF12+AK12+AP12</f>
        <v>0</v>
      </c>
      <c r="M12" s="45">
        <f t="shared" ref="M12:M75" si="5">R12+W12+AB12+AG12+AL12+AQ12</f>
        <v>0</v>
      </c>
      <c r="N12" s="45">
        <f t="shared" ref="N12:N75" si="6">S12+X12+AC12+AH12+AM12+AR12</f>
        <v>0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143">
        <f t="shared" ref="AS12:AS75" si="7">SUM(I12:AR12)</f>
        <v>0</v>
      </c>
    </row>
    <row r="13" spans="1:45" x14ac:dyDescent="0.15">
      <c r="F13" s="67" t="s">
        <v>928</v>
      </c>
      <c r="G13" s="211" t="s">
        <v>25</v>
      </c>
      <c r="H13" s="144" t="s">
        <v>26</v>
      </c>
      <c r="I13" s="45">
        <f t="shared" si="1"/>
        <v>0</v>
      </c>
      <c r="J13" s="45">
        <f t="shared" si="2"/>
        <v>0</v>
      </c>
      <c r="K13" s="45">
        <f t="shared" si="3"/>
        <v>0</v>
      </c>
      <c r="L13" s="45">
        <f t="shared" si="4"/>
        <v>0</v>
      </c>
      <c r="M13" s="45">
        <f t="shared" si="5"/>
        <v>0</v>
      </c>
      <c r="N13" s="45">
        <f t="shared" si="6"/>
        <v>0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143">
        <f t="shared" si="7"/>
        <v>0</v>
      </c>
    </row>
    <row r="14" spans="1:45" x14ac:dyDescent="0.15">
      <c r="F14" s="67" t="s">
        <v>928</v>
      </c>
      <c r="G14" s="211" t="s">
        <v>27</v>
      </c>
      <c r="H14" s="142" t="s">
        <v>28</v>
      </c>
      <c r="I14" s="45">
        <f t="shared" si="1"/>
        <v>0</v>
      </c>
      <c r="J14" s="45">
        <f t="shared" si="2"/>
        <v>0</v>
      </c>
      <c r="K14" s="45">
        <f t="shared" si="3"/>
        <v>0</v>
      </c>
      <c r="L14" s="45">
        <f t="shared" si="4"/>
        <v>0</v>
      </c>
      <c r="M14" s="45">
        <f t="shared" si="5"/>
        <v>0</v>
      </c>
      <c r="N14" s="45">
        <f t="shared" si="6"/>
        <v>0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143">
        <f t="shared" si="7"/>
        <v>0</v>
      </c>
    </row>
    <row r="15" spans="1:45" x14ac:dyDescent="0.15">
      <c r="F15" s="67" t="s">
        <v>928</v>
      </c>
      <c r="G15" s="211" t="s">
        <v>29</v>
      </c>
      <c r="H15" s="144" t="s">
        <v>30</v>
      </c>
      <c r="I15" s="45">
        <f t="shared" si="1"/>
        <v>0</v>
      </c>
      <c r="J15" s="45">
        <f t="shared" si="2"/>
        <v>0</v>
      </c>
      <c r="K15" s="45">
        <f t="shared" si="3"/>
        <v>0</v>
      </c>
      <c r="L15" s="45">
        <f t="shared" si="4"/>
        <v>0</v>
      </c>
      <c r="M15" s="45">
        <f t="shared" si="5"/>
        <v>0</v>
      </c>
      <c r="N15" s="45">
        <f t="shared" si="6"/>
        <v>0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143">
        <f t="shared" si="7"/>
        <v>0</v>
      </c>
    </row>
    <row r="16" spans="1:45" x14ac:dyDescent="0.15">
      <c r="F16" s="67" t="s">
        <v>928</v>
      </c>
      <c r="G16" s="211" t="s">
        <v>31</v>
      </c>
      <c r="H16" s="144" t="s">
        <v>32</v>
      </c>
      <c r="I16" s="45">
        <f t="shared" si="1"/>
        <v>0</v>
      </c>
      <c r="J16" s="45">
        <f t="shared" si="2"/>
        <v>0</v>
      </c>
      <c r="K16" s="45">
        <f t="shared" si="3"/>
        <v>0</v>
      </c>
      <c r="L16" s="45">
        <f t="shared" si="4"/>
        <v>0</v>
      </c>
      <c r="M16" s="45">
        <f t="shared" si="5"/>
        <v>0</v>
      </c>
      <c r="N16" s="45">
        <f t="shared" si="6"/>
        <v>0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143">
        <f t="shared" si="7"/>
        <v>0</v>
      </c>
    </row>
    <row r="17" spans="6:45" x14ac:dyDescent="0.15">
      <c r="F17" s="67" t="s">
        <v>929</v>
      </c>
      <c r="G17" s="211" t="s">
        <v>33</v>
      </c>
      <c r="H17" s="142" t="s">
        <v>34</v>
      </c>
      <c r="I17" s="45">
        <f t="shared" si="1"/>
        <v>0</v>
      </c>
      <c r="J17" s="45">
        <f t="shared" si="2"/>
        <v>0</v>
      </c>
      <c r="K17" s="45">
        <f t="shared" si="3"/>
        <v>0</v>
      </c>
      <c r="L17" s="45">
        <f t="shared" si="4"/>
        <v>0</v>
      </c>
      <c r="M17" s="45">
        <f t="shared" si="5"/>
        <v>0</v>
      </c>
      <c r="N17" s="45">
        <f t="shared" si="6"/>
        <v>0</v>
      </c>
      <c r="O17" s="45">
        <f t="shared" ref="O17:AR17" si="8">SUM(O18:O19)</f>
        <v>0</v>
      </c>
      <c r="P17" s="45">
        <f t="shared" si="8"/>
        <v>0</v>
      </c>
      <c r="Q17" s="45">
        <f t="shared" si="8"/>
        <v>0</v>
      </c>
      <c r="R17" s="45">
        <f t="shared" si="8"/>
        <v>0</v>
      </c>
      <c r="S17" s="45">
        <f t="shared" si="8"/>
        <v>0</v>
      </c>
      <c r="T17" s="45">
        <f t="shared" si="8"/>
        <v>0</v>
      </c>
      <c r="U17" s="45">
        <f t="shared" si="8"/>
        <v>0</v>
      </c>
      <c r="V17" s="45">
        <f t="shared" si="8"/>
        <v>0</v>
      </c>
      <c r="W17" s="45">
        <f t="shared" si="8"/>
        <v>0</v>
      </c>
      <c r="X17" s="45">
        <f t="shared" si="8"/>
        <v>0</v>
      </c>
      <c r="Y17" s="45">
        <f t="shared" si="8"/>
        <v>0</v>
      </c>
      <c r="Z17" s="45">
        <f t="shared" si="8"/>
        <v>0</v>
      </c>
      <c r="AA17" s="45">
        <f t="shared" si="8"/>
        <v>0</v>
      </c>
      <c r="AB17" s="45">
        <f t="shared" si="8"/>
        <v>0</v>
      </c>
      <c r="AC17" s="45">
        <f t="shared" si="8"/>
        <v>0</v>
      </c>
      <c r="AD17" s="45">
        <f t="shared" si="8"/>
        <v>0</v>
      </c>
      <c r="AE17" s="45">
        <f t="shared" si="8"/>
        <v>0</v>
      </c>
      <c r="AF17" s="45">
        <f t="shared" si="8"/>
        <v>0</v>
      </c>
      <c r="AG17" s="45">
        <f t="shared" si="8"/>
        <v>0</v>
      </c>
      <c r="AH17" s="45">
        <f t="shared" si="8"/>
        <v>0</v>
      </c>
      <c r="AI17" s="45">
        <f t="shared" si="8"/>
        <v>0</v>
      </c>
      <c r="AJ17" s="45">
        <f t="shared" si="8"/>
        <v>0</v>
      </c>
      <c r="AK17" s="45">
        <f t="shared" si="8"/>
        <v>0</v>
      </c>
      <c r="AL17" s="45">
        <f t="shared" si="8"/>
        <v>0</v>
      </c>
      <c r="AM17" s="45">
        <f t="shared" si="8"/>
        <v>0</v>
      </c>
      <c r="AN17" s="45">
        <f t="shared" si="8"/>
        <v>0</v>
      </c>
      <c r="AO17" s="45">
        <f t="shared" si="8"/>
        <v>0</v>
      </c>
      <c r="AP17" s="45">
        <f t="shared" si="8"/>
        <v>0</v>
      </c>
      <c r="AQ17" s="45">
        <f t="shared" si="8"/>
        <v>0</v>
      </c>
      <c r="AR17" s="45">
        <f t="shared" si="8"/>
        <v>0</v>
      </c>
      <c r="AS17" s="143">
        <f t="shared" si="7"/>
        <v>0</v>
      </c>
    </row>
    <row r="18" spans="6:45" ht="21" x14ac:dyDescent="0.15">
      <c r="F18" s="67" t="s">
        <v>929</v>
      </c>
      <c r="G18" s="212" t="s">
        <v>35</v>
      </c>
      <c r="H18" s="144" t="s">
        <v>36</v>
      </c>
      <c r="I18" s="45">
        <f t="shared" si="1"/>
        <v>0</v>
      </c>
      <c r="J18" s="45">
        <f t="shared" si="2"/>
        <v>0</v>
      </c>
      <c r="K18" s="45">
        <f t="shared" si="3"/>
        <v>0</v>
      </c>
      <c r="L18" s="45">
        <f t="shared" si="4"/>
        <v>0</v>
      </c>
      <c r="M18" s="45">
        <f t="shared" si="5"/>
        <v>0</v>
      </c>
      <c r="N18" s="45">
        <f t="shared" si="6"/>
        <v>0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143">
        <f t="shared" si="7"/>
        <v>0</v>
      </c>
    </row>
    <row r="19" spans="6:45" ht="21" x14ac:dyDescent="0.15">
      <c r="F19" s="67" t="s">
        <v>929</v>
      </c>
      <c r="G19" s="212" t="s">
        <v>37</v>
      </c>
      <c r="H19" s="144" t="s">
        <v>38</v>
      </c>
      <c r="I19" s="45">
        <f t="shared" si="1"/>
        <v>0</v>
      </c>
      <c r="J19" s="45">
        <f t="shared" si="2"/>
        <v>0</v>
      </c>
      <c r="K19" s="45">
        <f t="shared" si="3"/>
        <v>0</v>
      </c>
      <c r="L19" s="45">
        <f t="shared" si="4"/>
        <v>0</v>
      </c>
      <c r="M19" s="45">
        <f t="shared" si="5"/>
        <v>0</v>
      </c>
      <c r="N19" s="45">
        <f t="shared" si="6"/>
        <v>0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43">
        <f t="shared" si="7"/>
        <v>0</v>
      </c>
    </row>
    <row r="20" spans="6:45" x14ac:dyDescent="0.15">
      <c r="F20" s="67" t="s">
        <v>930</v>
      </c>
      <c r="G20" s="211" t="s">
        <v>39</v>
      </c>
      <c r="H20" s="142" t="s">
        <v>40</v>
      </c>
      <c r="I20" s="45">
        <f t="shared" si="1"/>
        <v>0</v>
      </c>
      <c r="J20" s="45">
        <f t="shared" si="2"/>
        <v>0</v>
      </c>
      <c r="K20" s="45">
        <f t="shared" si="3"/>
        <v>0</v>
      </c>
      <c r="L20" s="45">
        <f t="shared" si="4"/>
        <v>0</v>
      </c>
      <c r="M20" s="45">
        <f t="shared" si="5"/>
        <v>0</v>
      </c>
      <c r="N20" s="45">
        <f t="shared" si="6"/>
        <v>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143">
        <f t="shared" si="7"/>
        <v>0</v>
      </c>
    </row>
    <row r="21" spans="6:45" x14ac:dyDescent="0.15">
      <c r="F21" s="67" t="s">
        <v>931</v>
      </c>
      <c r="G21" s="211" t="s">
        <v>41</v>
      </c>
      <c r="H21" s="144" t="s">
        <v>42</v>
      </c>
      <c r="I21" s="45">
        <f t="shared" si="1"/>
        <v>0</v>
      </c>
      <c r="J21" s="45">
        <f t="shared" si="2"/>
        <v>0</v>
      </c>
      <c r="K21" s="45">
        <f t="shared" si="3"/>
        <v>0</v>
      </c>
      <c r="L21" s="45">
        <f t="shared" si="4"/>
        <v>0</v>
      </c>
      <c r="M21" s="45">
        <f t="shared" si="5"/>
        <v>0</v>
      </c>
      <c r="N21" s="45">
        <f t="shared" si="6"/>
        <v>0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143">
        <f t="shared" si="7"/>
        <v>0</v>
      </c>
    </row>
    <row r="22" spans="6:45" x14ac:dyDescent="0.15">
      <c r="F22" s="67" t="s">
        <v>931</v>
      </c>
      <c r="G22" s="211" t="s">
        <v>43</v>
      </c>
      <c r="H22" s="144" t="s">
        <v>44</v>
      </c>
      <c r="I22" s="45">
        <f t="shared" si="1"/>
        <v>0</v>
      </c>
      <c r="J22" s="45">
        <f t="shared" si="2"/>
        <v>0</v>
      </c>
      <c r="K22" s="45">
        <f t="shared" si="3"/>
        <v>0</v>
      </c>
      <c r="L22" s="45">
        <f t="shared" si="4"/>
        <v>0</v>
      </c>
      <c r="M22" s="45">
        <f t="shared" si="5"/>
        <v>0</v>
      </c>
      <c r="N22" s="45">
        <f t="shared" si="6"/>
        <v>0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143">
        <f t="shared" si="7"/>
        <v>0</v>
      </c>
    </row>
    <row r="23" spans="6:45" ht="21" x14ac:dyDescent="0.15">
      <c r="F23" s="67" t="s">
        <v>931</v>
      </c>
      <c r="G23" s="211" t="s">
        <v>45</v>
      </c>
      <c r="H23" s="142" t="s">
        <v>46</v>
      </c>
      <c r="I23" s="45">
        <f t="shared" si="1"/>
        <v>0</v>
      </c>
      <c r="J23" s="45">
        <f t="shared" si="2"/>
        <v>0</v>
      </c>
      <c r="K23" s="45">
        <f t="shared" si="3"/>
        <v>0</v>
      </c>
      <c r="L23" s="45">
        <f t="shared" si="4"/>
        <v>0</v>
      </c>
      <c r="M23" s="45">
        <f t="shared" si="5"/>
        <v>0</v>
      </c>
      <c r="N23" s="45">
        <f t="shared" si="6"/>
        <v>0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143">
        <f t="shared" si="7"/>
        <v>0</v>
      </c>
    </row>
    <row r="24" spans="6:45" x14ac:dyDescent="0.15">
      <c r="F24" s="67" t="s">
        <v>928</v>
      </c>
      <c r="G24" s="211" t="s">
        <v>47</v>
      </c>
      <c r="H24" s="144" t="s">
        <v>48</v>
      </c>
      <c r="I24" s="45">
        <f t="shared" si="1"/>
        <v>0</v>
      </c>
      <c r="J24" s="45">
        <f t="shared" si="2"/>
        <v>0</v>
      </c>
      <c r="K24" s="45">
        <f t="shared" si="3"/>
        <v>0</v>
      </c>
      <c r="L24" s="45">
        <f t="shared" si="4"/>
        <v>0</v>
      </c>
      <c r="M24" s="45">
        <f t="shared" si="5"/>
        <v>0</v>
      </c>
      <c r="N24" s="45">
        <f t="shared" si="6"/>
        <v>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143">
        <f t="shared" si="7"/>
        <v>0</v>
      </c>
    </row>
    <row r="25" spans="6:45" x14ac:dyDescent="0.15">
      <c r="F25" s="67" t="s">
        <v>930</v>
      </c>
      <c r="G25" s="211" t="s">
        <v>49</v>
      </c>
      <c r="H25" s="144" t="s">
        <v>50</v>
      </c>
      <c r="I25" s="45">
        <f t="shared" si="1"/>
        <v>0</v>
      </c>
      <c r="J25" s="45">
        <f t="shared" si="2"/>
        <v>0</v>
      </c>
      <c r="K25" s="45">
        <f t="shared" si="3"/>
        <v>0</v>
      </c>
      <c r="L25" s="45">
        <f t="shared" si="4"/>
        <v>0</v>
      </c>
      <c r="M25" s="45">
        <f t="shared" si="5"/>
        <v>0</v>
      </c>
      <c r="N25" s="45">
        <f t="shared" si="6"/>
        <v>0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143">
        <f t="shared" si="7"/>
        <v>0</v>
      </c>
    </row>
    <row r="26" spans="6:45" x14ac:dyDescent="0.15">
      <c r="F26" s="67" t="s">
        <v>930</v>
      </c>
      <c r="G26" s="211" t="s">
        <v>51</v>
      </c>
      <c r="H26" s="142" t="s">
        <v>52</v>
      </c>
      <c r="I26" s="45">
        <f t="shared" si="1"/>
        <v>0</v>
      </c>
      <c r="J26" s="45">
        <f t="shared" si="2"/>
        <v>0</v>
      </c>
      <c r="K26" s="45">
        <f t="shared" si="3"/>
        <v>0</v>
      </c>
      <c r="L26" s="45">
        <f t="shared" si="4"/>
        <v>0</v>
      </c>
      <c r="M26" s="45">
        <f t="shared" si="5"/>
        <v>0</v>
      </c>
      <c r="N26" s="45">
        <f t="shared" si="6"/>
        <v>0</v>
      </c>
      <c r="O26" s="46">
        <f t="shared" ref="O26:AR26" si="9">SUM(O27:O30)</f>
        <v>0</v>
      </c>
      <c r="P26" s="46">
        <f t="shared" si="9"/>
        <v>0</v>
      </c>
      <c r="Q26" s="46">
        <f t="shared" si="9"/>
        <v>0</v>
      </c>
      <c r="R26" s="46">
        <f t="shared" si="9"/>
        <v>0</v>
      </c>
      <c r="S26" s="46">
        <f t="shared" si="9"/>
        <v>0</v>
      </c>
      <c r="T26" s="46">
        <f t="shared" si="9"/>
        <v>0</v>
      </c>
      <c r="U26" s="46">
        <f t="shared" si="9"/>
        <v>0</v>
      </c>
      <c r="V26" s="46">
        <f t="shared" si="9"/>
        <v>0</v>
      </c>
      <c r="W26" s="46">
        <f t="shared" si="9"/>
        <v>0</v>
      </c>
      <c r="X26" s="46">
        <f t="shared" si="9"/>
        <v>0</v>
      </c>
      <c r="Y26" s="46">
        <f t="shared" si="9"/>
        <v>0</v>
      </c>
      <c r="Z26" s="46">
        <f t="shared" si="9"/>
        <v>0</v>
      </c>
      <c r="AA26" s="46">
        <f t="shared" si="9"/>
        <v>0</v>
      </c>
      <c r="AB26" s="46">
        <f t="shared" si="9"/>
        <v>0</v>
      </c>
      <c r="AC26" s="46">
        <f t="shared" si="9"/>
        <v>0</v>
      </c>
      <c r="AD26" s="46">
        <f t="shared" si="9"/>
        <v>0</v>
      </c>
      <c r="AE26" s="46">
        <f t="shared" si="9"/>
        <v>0</v>
      </c>
      <c r="AF26" s="46">
        <f t="shared" si="9"/>
        <v>0</v>
      </c>
      <c r="AG26" s="46">
        <f t="shared" si="9"/>
        <v>0</v>
      </c>
      <c r="AH26" s="46">
        <f t="shared" si="9"/>
        <v>0</v>
      </c>
      <c r="AI26" s="46">
        <f t="shared" si="9"/>
        <v>0</v>
      </c>
      <c r="AJ26" s="46">
        <f t="shared" si="9"/>
        <v>0</v>
      </c>
      <c r="AK26" s="46">
        <f t="shared" si="9"/>
        <v>0</v>
      </c>
      <c r="AL26" s="46">
        <f t="shared" si="9"/>
        <v>0</v>
      </c>
      <c r="AM26" s="46">
        <f t="shared" si="9"/>
        <v>0</v>
      </c>
      <c r="AN26" s="46">
        <f t="shared" si="9"/>
        <v>0</v>
      </c>
      <c r="AO26" s="46">
        <f t="shared" si="9"/>
        <v>0</v>
      </c>
      <c r="AP26" s="46">
        <f t="shared" si="9"/>
        <v>0</v>
      </c>
      <c r="AQ26" s="46">
        <f t="shared" si="9"/>
        <v>0</v>
      </c>
      <c r="AR26" s="46">
        <f t="shared" si="9"/>
        <v>0</v>
      </c>
      <c r="AS26" s="143">
        <f t="shared" si="7"/>
        <v>0</v>
      </c>
    </row>
    <row r="27" spans="6:45" ht="21" x14ac:dyDescent="0.15">
      <c r="F27" s="67" t="s">
        <v>930</v>
      </c>
      <c r="G27" s="212" t="s">
        <v>865</v>
      </c>
      <c r="H27" s="144" t="s">
        <v>53</v>
      </c>
      <c r="I27" s="45">
        <f t="shared" si="1"/>
        <v>0</v>
      </c>
      <c r="J27" s="45">
        <f t="shared" si="2"/>
        <v>0</v>
      </c>
      <c r="K27" s="45">
        <f t="shared" si="3"/>
        <v>0</v>
      </c>
      <c r="L27" s="45">
        <f t="shared" si="4"/>
        <v>0</v>
      </c>
      <c r="M27" s="45">
        <f t="shared" si="5"/>
        <v>0</v>
      </c>
      <c r="N27" s="45">
        <f t="shared" si="6"/>
        <v>0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143">
        <f t="shared" si="7"/>
        <v>0</v>
      </c>
    </row>
    <row r="28" spans="6:45" x14ac:dyDescent="0.15">
      <c r="F28" s="67" t="s">
        <v>930</v>
      </c>
      <c r="G28" s="212" t="s">
        <v>54</v>
      </c>
      <c r="H28" s="144" t="s">
        <v>55</v>
      </c>
      <c r="I28" s="45">
        <f t="shared" si="1"/>
        <v>0</v>
      </c>
      <c r="J28" s="45">
        <f t="shared" si="2"/>
        <v>0</v>
      </c>
      <c r="K28" s="45">
        <f t="shared" si="3"/>
        <v>0</v>
      </c>
      <c r="L28" s="45">
        <f t="shared" si="4"/>
        <v>0</v>
      </c>
      <c r="M28" s="45">
        <f t="shared" si="5"/>
        <v>0</v>
      </c>
      <c r="N28" s="45">
        <f t="shared" si="6"/>
        <v>0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143">
        <f t="shared" si="7"/>
        <v>0</v>
      </c>
    </row>
    <row r="29" spans="6:45" x14ac:dyDescent="0.15">
      <c r="F29" s="67" t="s">
        <v>930</v>
      </c>
      <c r="G29" s="212" t="s">
        <v>56</v>
      </c>
      <c r="H29" s="142" t="s">
        <v>57</v>
      </c>
      <c r="I29" s="45">
        <f t="shared" si="1"/>
        <v>0</v>
      </c>
      <c r="J29" s="45">
        <f t="shared" si="2"/>
        <v>0</v>
      </c>
      <c r="K29" s="45">
        <f t="shared" si="3"/>
        <v>0</v>
      </c>
      <c r="L29" s="45">
        <f t="shared" si="4"/>
        <v>0</v>
      </c>
      <c r="M29" s="45">
        <f t="shared" si="5"/>
        <v>0</v>
      </c>
      <c r="N29" s="45">
        <f t="shared" si="6"/>
        <v>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143">
        <f t="shared" si="7"/>
        <v>0</v>
      </c>
    </row>
    <row r="30" spans="6:45" ht="21" x14ac:dyDescent="0.15">
      <c r="F30" s="67" t="s">
        <v>930</v>
      </c>
      <c r="G30" s="212" t="s">
        <v>58</v>
      </c>
      <c r="H30" s="144" t="s">
        <v>59</v>
      </c>
      <c r="I30" s="45">
        <f t="shared" si="1"/>
        <v>0</v>
      </c>
      <c r="J30" s="45">
        <f t="shared" si="2"/>
        <v>0</v>
      </c>
      <c r="K30" s="45">
        <f t="shared" si="3"/>
        <v>0</v>
      </c>
      <c r="L30" s="45">
        <f t="shared" si="4"/>
        <v>0</v>
      </c>
      <c r="M30" s="45">
        <f t="shared" si="5"/>
        <v>0</v>
      </c>
      <c r="N30" s="45">
        <f t="shared" si="6"/>
        <v>0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143">
        <f t="shared" si="7"/>
        <v>0</v>
      </c>
    </row>
    <row r="31" spans="6:45" x14ac:dyDescent="0.15">
      <c r="F31" s="67" t="s">
        <v>930</v>
      </c>
      <c r="G31" s="211" t="s">
        <v>60</v>
      </c>
      <c r="H31" s="144" t="s">
        <v>61</v>
      </c>
      <c r="I31" s="45">
        <f t="shared" si="1"/>
        <v>0</v>
      </c>
      <c r="J31" s="45">
        <f t="shared" si="2"/>
        <v>0</v>
      </c>
      <c r="K31" s="45">
        <f t="shared" si="3"/>
        <v>0</v>
      </c>
      <c r="L31" s="45">
        <f t="shared" si="4"/>
        <v>0</v>
      </c>
      <c r="M31" s="45">
        <f t="shared" si="5"/>
        <v>0</v>
      </c>
      <c r="N31" s="45">
        <f t="shared" si="6"/>
        <v>0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143">
        <f t="shared" si="7"/>
        <v>0</v>
      </c>
    </row>
    <row r="32" spans="6:45" x14ac:dyDescent="0.15">
      <c r="F32" s="67" t="s">
        <v>929</v>
      </c>
      <c r="G32" s="211" t="s">
        <v>62</v>
      </c>
      <c r="H32" s="142" t="s">
        <v>63</v>
      </c>
      <c r="I32" s="45">
        <f t="shared" si="1"/>
        <v>0</v>
      </c>
      <c r="J32" s="45">
        <f t="shared" si="2"/>
        <v>0</v>
      </c>
      <c r="K32" s="45">
        <f t="shared" si="3"/>
        <v>0</v>
      </c>
      <c r="L32" s="45">
        <f t="shared" si="4"/>
        <v>0</v>
      </c>
      <c r="M32" s="45">
        <f t="shared" si="5"/>
        <v>0</v>
      </c>
      <c r="N32" s="45">
        <f t="shared" si="6"/>
        <v>0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143">
        <f t="shared" si="7"/>
        <v>0</v>
      </c>
    </row>
    <row r="33" spans="6:45" x14ac:dyDescent="0.15">
      <c r="F33" s="67" t="s">
        <v>928</v>
      </c>
      <c r="G33" s="211" t="s">
        <v>64</v>
      </c>
      <c r="H33" s="144" t="s">
        <v>65</v>
      </c>
      <c r="I33" s="45">
        <f t="shared" si="1"/>
        <v>0</v>
      </c>
      <c r="J33" s="45">
        <f t="shared" si="2"/>
        <v>0</v>
      </c>
      <c r="K33" s="45">
        <f t="shared" si="3"/>
        <v>0</v>
      </c>
      <c r="L33" s="45">
        <f t="shared" si="4"/>
        <v>0</v>
      </c>
      <c r="M33" s="45">
        <f t="shared" si="5"/>
        <v>0</v>
      </c>
      <c r="N33" s="45">
        <f t="shared" si="6"/>
        <v>0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143">
        <f t="shared" si="7"/>
        <v>0</v>
      </c>
    </row>
    <row r="34" spans="6:45" x14ac:dyDescent="0.15">
      <c r="F34" s="67" t="s">
        <v>929</v>
      </c>
      <c r="G34" s="211" t="s">
        <v>66</v>
      </c>
      <c r="H34" s="144" t="s">
        <v>67</v>
      </c>
      <c r="I34" s="45">
        <f t="shared" si="1"/>
        <v>0</v>
      </c>
      <c r="J34" s="45">
        <f t="shared" si="2"/>
        <v>0</v>
      </c>
      <c r="K34" s="45">
        <f t="shared" si="3"/>
        <v>0</v>
      </c>
      <c r="L34" s="45">
        <f t="shared" si="4"/>
        <v>0</v>
      </c>
      <c r="M34" s="45">
        <f t="shared" si="5"/>
        <v>0</v>
      </c>
      <c r="N34" s="45">
        <f t="shared" si="6"/>
        <v>0</v>
      </c>
      <c r="O34" s="46">
        <f t="shared" ref="O34:AR34" si="10">SUM(O35:O38)</f>
        <v>0</v>
      </c>
      <c r="P34" s="46">
        <f t="shared" si="10"/>
        <v>0</v>
      </c>
      <c r="Q34" s="46">
        <f t="shared" si="10"/>
        <v>0</v>
      </c>
      <c r="R34" s="46">
        <f t="shared" si="10"/>
        <v>0</v>
      </c>
      <c r="S34" s="46">
        <f t="shared" si="10"/>
        <v>0</v>
      </c>
      <c r="T34" s="46">
        <f t="shared" si="10"/>
        <v>0</v>
      </c>
      <c r="U34" s="46">
        <f t="shared" si="10"/>
        <v>0</v>
      </c>
      <c r="V34" s="46">
        <f t="shared" si="10"/>
        <v>0</v>
      </c>
      <c r="W34" s="46">
        <f t="shared" si="10"/>
        <v>0</v>
      </c>
      <c r="X34" s="46">
        <f t="shared" si="10"/>
        <v>0</v>
      </c>
      <c r="Y34" s="46">
        <f t="shared" si="10"/>
        <v>0</v>
      </c>
      <c r="Z34" s="46">
        <f t="shared" si="10"/>
        <v>0</v>
      </c>
      <c r="AA34" s="46">
        <f t="shared" si="10"/>
        <v>0</v>
      </c>
      <c r="AB34" s="46">
        <f t="shared" si="10"/>
        <v>0</v>
      </c>
      <c r="AC34" s="46">
        <f t="shared" si="10"/>
        <v>0</v>
      </c>
      <c r="AD34" s="46">
        <f t="shared" si="10"/>
        <v>0</v>
      </c>
      <c r="AE34" s="46">
        <f t="shared" si="10"/>
        <v>0</v>
      </c>
      <c r="AF34" s="46">
        <f t="shared" si="10"/>
        <v>0</v>
      </c>
      <c r="AG34" s="46">
        <f t="shared" si="10"/>
        <v>0</v>
      </c>
      <c r="AH34" s="46">
        <f t="shared" si="10"/>
        <v>0</v>
      </c>
      <c r="AI34" s="46">
        <f t="shared" si="10"/>
        <v>0</v>
      </c>
      <c r="AJ34" s="46">
        <f t="shared" si="10"/>
        <v>0</v>
      </c>
      <c r="AK34" s="46">
        <f t="shared" si="10"/>
        <v>0</v>
      </c>
      <c r="AL34" s="46">
        <f t="shared" si="10"/>
        <v>0</v>
      </c>
      <c r="AM34" s="46">
        <f t="shared" si="10"/>
        <v>0</v>
      </c>
      <c r="AN34" s="46">
        <f t="shared" si="10"/>
        <v>0</v>
      </c>
      <c r="AO34" s="46">
        <f t="shared" si="10"/>
        <v>0</v>
      </c>
      <c r="AP34" s="46">
        <f t="shared" si="10"/>
        <v>0</v>
      </c>
      <c r="AQ34" s="46">
        <f t="shared" si="10"/>
        <v>0</v>
      </c>
      <c r="AR34" s="46">
        <f t="shared" si="10"/>
        <v>0</v>
      </c>
      <c r="AS34" s="143">
        <f t="shared" si="7"/>
        <v>0</v>
      </c>
    </row>
    <row r="35" spans="6:45" ht="21" x14ac:dyDescent="0.15">
      <c r="F35" s="67" t="s">
        <v>929</v>
      </c>
      <c r="G35" s="212" t="s">
        <v>68</v>
      </c>
      <c r="H35" s="142" t="s">
        <v>69</v>
      </c>
      <c r="I35" s="45">
        <f t="shared" si="1"/>
        <v>0</v>
      </c>
      <c r="J35" s="45">
        <f t="shared" si="2"/>
        <v>0</v>
      </c>
      <c r="K35" s="45">
        <f t="shared" si="3"/>
        <v>0</v>
      </c>
      <c r="L35" s="45">
        <f t="shared" si="4"/>
        <v>0</v>
      </c>
      <c r="M35" s="45">
        <f t="shared" si="5"/>
        <v>0</v>
      </c>
      <c r="N35" s="45">
        <f t="shared" si="6"/>
        <v>0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143">
        <f t="shared" si="7"/>
        <v>0</v>
      </c>
    </row>
    <row r="36" spans="6:45" x14ac:dyDescent="0.15">
      <c r="F36" s="67" t="s">
        <v>929</v>
      </c>
      <c r="G36" s="212" t="s">
        <v>70</v>
      </c>
      <c r="H36" s="144" t="s">
        <v>71</v>
      </c>
      <c r="I36" s="45">
        <f t="shared" si="1"/>
        <v>0</v>
      </c>
      <c r="J36" s="45">
        <f t="shared" si="2"/>
        <v>0</v>
      </c>
      <c r="K36" s="45">
        <f t="shared" si="3"/>
        <v>0</v>
      </c>
      <c r="L36" s="45">
        <f t="shared" si="4"/>
        <v>0</v>
      </c>
      <c r="M36" s="45">
        <f t="shared" si="5"/>
        <v>0</v>
      </c>
      <c r="N36" s="45">
        <f t="shared" si="6"/>
        <v>0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143">
        <f t="shared" si="7"/>
        <v>0</v>
      </c>
    </row>
    <row r="37" spans="6:45" x14ac:dyDescent="0.15">
      <c r="F37" s="67" t="s">
        <v>929</v>
      </c>
      <c r="G37" s="212" t="s">
        <v>72</v>
      </c>
      <c r="H37" s="144" t="s">
        <v>73</v>
      </c>
      <c r="I37" s="45">
        <f t="shared" si="1"/>
        <v>0</v>
      </c>
      <c r="J37" s="45">
        <f t="shared" si="2"/>
        <v>0</v>
      </c>
      <c r="K37" s="45">
        <f t="shared" si="3"/>
        <v>0</v>
      </c>
      <c r="L37" s="45">
        <f t="shared" si="4"/>
        <v>0</v>
      </c>
      <c r="M37" s="45">
        <f t="shared" si="5"/>
        <v>0</v>
      </c>
      <c r="N37" s="45">
        <f t="shared" si="6"/>
        <v>0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143">
        <f t="shared" si="7"/>
        <v>0</v>
      </c>
    </row>
    <row r="38" spans="6:45" ht="21" x14ac:dyDescent="0.15">
      <c r="F38" s="67" t="s">
        <v>929</v>
      </c>
      <c r="G38" s="212" t="s">
        <v>74</v>
      </c>
      <c r="H38" s="142" t="s">
        <v>75</v>
      </c>
      <c r="I38" s="45">
        <f t="shared" si="1"/>
        <v>0</v>
      </c>
      <c r="J38" s="45">
        <f t="shared" si="2"/>
        <v>0</v>
      </c>
      <c r="K38" s="45">
        <f t="shared" si="3"/>
        <v>0</v>
      </c>
      <c r="L38" s="45">
        <f t="shared" si="4"/>
        <v>0</v>
      </c>
      <c r="M38" s="45">
        <f t="shared" si="5"/>
        <v>0</v>
      </c>
      <c r="N38" s="45">
        <f t="shared" si="6"/>
        <v>0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143">
        <f t="shared" si="7"/>
        <v>0</v>
      </c>
    </row>
    <row r="39" spans="6:45" x14ac:dyDescent="0.15">
      <c r="F39" s="67" t="s">
        <v>928</v>
      </c>
      <c r="G39" s="211" t="s">
        <v>76</v>
      </c>
      <c r="H39" s="144" t="s">
        <v>77</v>
      </c>
      <c r="I39" s="45">
        <f t="shared" si="1"/>
        <v>0</v>
      </c>
      <c r="J39" s="45">
        <f t="shared" si="2"/>
        <v>0</v>
      </c>
      <c r="K39" s="45">
        <f t="shared" si="3"/>
        <v>0</v>
      </c>
      <c r="L39" s="45">
        <f t="shared" si="4"/>
        <v>0</v>
      </c>
      <c r="M39" s="45">
        <f t="shared" si="5"/>
        <v>0</v>
      </c>
      <c r="N39" s="45">
        <f t="shared" si="6"/>
        <v>0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143">
        <f t="shared" si="7"/>
        <v>0</v>
      </c>
    </row>
    <row r="40" spans="6:45" x14ac:dyDescent="0.15">
      <c r="F40" s="67" t="s">
        <v>930</v>
      </c>
      <c r="G40" s="211" t="s">
        <v>78</v>
      </c>
      <c r="H40" s="144" t="s">
        <v>79</v>
      </c>
      <c r="I40" s="45">
        <f t="shared" si="1"/>
        <v>0</v>
      </c>
      <c r="J40" s="45">
        <f t="shared" si="2"/>
        <v>0</v>
      </c>
      <c r="K40" s="45">
        <f t="shared" si="3"/>
        <v>0</v>
      </c>
      <c r="L40" s="45">
        <f t="shared" si="4"/>
        <v>0</v>
      </c>
      <c r="M40" s="45">
        <f t="shared" si="5"/>
        <v>0</v>
      </c>
      <c r="N40" s="45">
        <f t="shared" si="6"/>
        <v>0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143">
        <f t="shared" si="7"/>
        <v>0</v>
      </c>
    </row>
    <row r="41" spans="6:45" x14ac:dyDescent="0.15">
      <c r="F41" s="67" t="s">
        <v>928</v>
      </c>
      <c r="G41" s="211" t="s">
        <v>80</v>
      </c>
      <c r="H41" s="142" t="s">
        <v>81</v>
      </c>
      <c r="I41" s="45">
        <f t="shared" si="1"/>
        <v>0</v>
      </c>
      <c r="J41" s="45">
        <f t="shared" si="2"/>
        <v>0</v>
      </c>
      <c r="K41" s="45">
        <f t="shared" si="3"/>
        <v>0</v>
      </c>
      <c r="L41" s="45">
        <f t="shared" si="4"/>
        <v>0</v>
      </c>
      <c r="M41" s="45">
        <f t="shared" si="5"/>
        <v>0</v>
      </c>
      <c r="N41" s="45">
        <f t="shared" si="6"/>
        <v>0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143">
        <f t="shared" si="7"/>
        <v>0</v>
      </c>
    </row>
    <row r="42" spans="6:45" x14ac:dyDescent="0.15">
      <c r="F42" s="67" t="s">
        <v>928</v>
      </c>
      <c r="G42" s="211" t="s">
        <v>82</v>
      </c>
      <c r="H42" s="144" t="s">
        <v>83</v>
      </c>
      <c r="I42" s="45">
        <f t="shared" si="1"/>
        <v>0</v>
      </c>
      <c r="J42" s="45">
        <f t="shared" si="2"/>
        <v>0</v>
      </c>
      <c r="K42" s="45">
        <f t="shared" si="3"/>
        <v>0</v>
      </c>
      <c r="L42" s="45">
        <f t="shared" si="4"/>
        <v>0</v>
      </c>
      <c r="M42" s="45">
        <f t="shared" si="5"/>
        <v>0</v>
      </c>
      <c r="N42" s="45">
        <f t="shared" si="6"/>
        <v>0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143">
        <f t="shared" si="7"/>
        <v>0</v>
      </c>
    </row>
    <row r="43" spans="6:45" x14ac:dyDescent="0.15">
      <c r="F43" s="67" t="s">
        <v>928</v>
      </c>
      <c r="G43" s="211" t="s">
        <v>84</v>
      </c>
      <c r="H43" s="144" t="s">
        <v>85</v>
      </c>
      <c r="I43" s="45">
        <f t="shared" si="1"/>
        <v>0</v>
      </c>
      <c r="J43" s="45">
        <f t="shared" si="2"/>
        <v>0</v>
      </c>
      <c r="K43" s="45">
        <f t="shared" si="3"/>
        <v>0</v>
      </c>
      <c r="L43" s="45">
        <f t="shared" si="4"/>
        <v>0</v>
      </c>
      <c r="M43" s="45">
        <f t="shared" si="5"/>
        <v>0</v>
      </c>
      <c r="N43" s="45">
        <f t="shared" si="6"/>
        <v>0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143">
        <f t="shared" si="7"/>
        <v>0</v>
      </c>
    </row>
    <row r="44" spans="6:45" x14ac:dyDescent="0.15">
      <c r="F44" s="67" t="s">
        <v>928</v>
      </c>
      <c r="G44" s="211" t="s">
        <v>86</v>
      </c>
      <c r="H44" s="142" t="s">
        <v>87</v>
      </c>
      <c r="I44" s="45">
        <f t="shared" si="1"/>
        <v>0</v>
      </c>
      <c r="J44" s="45">
        <f t="shared" si="2"/>
        <v>0</v>
      </c>
      <c r="K44" s="45">
        <f t="shared" si="3"/>
        <v>0</v>
      </c>
      <c r="L44" s="45">
        <f t="shared" si="4"/>
        <v>0</v>
      </c>
      <c r="M44" s="45">
        <f t="shared" si="5"/>
        <v>0</v>
      </c>
      <c r="N44" s="45">
        <f t="shared" si="6"/>
        <v>0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143">
        <f t="shared" si="7"/>
        <v>0</v>
      </c>
    </row>
    <row r="45" spans="6:45" x14ac:dyDescent="0.15">
      <c r="F45" s="67" t="s">
        <v>930</v>
      </c>
      <c r="G45" s="211" t="s">
        <v>88</v>
      </c>
      <c r="H45" s="144" t="s">
        <v>89</v>
      </c>
      <c r="I45" s="45">
        <f t="shared" si="1"/>
        <v>0</v>
      </c>
      <c r="J45" s="45">
        <f t="shared" si="2"/>
        <v>0</v>
      </c>
      <c r="K45" s="45">
        <f t="shared" si="3"/>
        <v>0</v>
      </c>
      <c r="L45" s="45">
        <f t="shared" si="4"/>
        <v>0</v>
      </c>
      <c r="M45" s="45">
        <f t="shared" si="5"/>
        <v>0</v>
      </c>
      <c r="N45" s="45">
        <f t="shared" si="6"/>
        <v>0</v>
      </c>
      <c r="O45" s="46">
        <f t="shared" ref="O45:AR45" si="11">SUM(O46:O51)</f>
        <v>0</v>
      </c>
      <c r="P45" s="46">
        <f t="shared" si="11"/>
        <v>0</v>
      </c>
      <c r="Q45" s="46">
        <f t="shared" si="11"/>
        <v>0</v>
      </c>
      <c r="R45" s="46">
        <f t="shared" si="11"/>
        <v>0</v>
      </c>
      <c r="S45" s="46">
        <f t="shared" si="11"/>
        <v>0</v>
      </c>
      <c r="T45" s="46">
        <f t="shared" si="11"/>
        <v>0</v>
      </c>
      <c r="U45" s="46">
        <f t="shared" si="11"/>
        <v>0</v>
      </c>
      <c r="V45" s="46">
        <f t="shared" si="11"/>
        <v>0</v>
      </c>
      <c r="W45" s="46">
        <f t="shared" si="11"/>
        <v>0</v>
      </c>
      <c r="X45" s="46">
        <f t="shared" si="11"/>
        <v>0</v>
      </c>
      <c r="Y45" s="46">
        <f t="shared" si="11"/>
        <v>0</v>
      </c>
      <c r="Z45" s="46">
        <f t="shared" si="11"/>
        <v>0</v>
      </c>
      <c r="AA45" s="46">
        <f t="shared" si="11"/>
        <v>0</v>
      </c>
      <c r="AB45" s="46">
        <f t="shared" si="11"/>
        <v>0</v>
      </c>
      <c r="AC45" s="46">
        <f t="shared" si="11"/>
        <v>0</v>
      </c>
      <c r="AD45" s="46">
        <f t="shared" si="11"/>
        <v>0</v>
      </c>
      <c r="AE45" s="46">
        <f t="shared" si="11"/>
        <v>0</v>
      </c>
      <c r="AF45" s="46">
        <f t="shared" si="11"/>
        <v>0</v>
      </c>
      <c r="AG45" s="46">
        <f t="shared" si="11"/>
        <v>0</v>
      </c>
      <c r="AH45" s="46">
        <f t="shared" si="11"/>
        <v>0</v>
      </c>
      <c r="AI45" s="46">
        <f t="shared" si="11"/>
        <v>0</v>
      </c>
      <c r="AJ45" s="46">
        <f t="shared" si="11"/>
        <v>0</v>
      </c>
      <c r="AK45" s="46">
        <f t="shared" si="11"/>
        <v>0</v>
      </c>
      <c r="AL45" s="46">
        <f t="shared" si="11"/>
        <v>0</v>
      </c>
      <c r="AM45" s="46">
        <f t="shared" si="11"/>
        <v>0</v>
      </c>
      <c r="AN45" s="46">
        <f t="shared" si="11"/>
        <v>0</v>
      </c>
      <c r="AO45" s="46">
        <f t="shared" si="11"/>
        <v>0</v>
      </c>
      <c r="AP45" s="46">
        <f t="shared" si="11"/>
        <v>0</v>
      </c>
      <c r="AQ45" s="46">
        <f t="shared" si="11"/>
        <v>0</v>
      </c>
      <c r="AR45" s="46">
        <f t="shared" si="11"/>
        <v>0</v>
      </c>
      <c r="AS45" s="143">
        <f t="shared" si="7"/>
        <v>0</v>
      </c>
    </row>
    <row r="46" spans="6:45" ht="21" x14ac:dyDescent="0.15">
      <c r="F46" s="67" t="s">
        <v>930</v>
      </c>
      <c r="G46" s="212" t="s">
        <v>90</v>
      </c>
      <c r="H46" s="144" t="s">
        <v>91</v>
      </c>
      <c r="I46" s="45">
        <f t="shared" si="1"/>
        <v>0</v>
      </c>
      <c r="J46" s="45">
        <f t="shared" si="2"/>
        <v>0</v>
      </c>
      <c r="K46" s="45">
        <f t="shared" si="3"/>
        <v>0</v>
      </c>
      <c r="L46" s="45">
        <f t="shared" si="4"/>
        <v>0</v>
      </c>
      <c r="M46" s="45">
        <f t="shared" si="5"/>
        <v>0</v>
      </c>
      <c r="N46" s="45">
        <f t="shared" si="6"/>
        <v>0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143">
        <f t="shared" si="7"/>
        <v>0</v>
      </c>
    </row>
    <row r="47" spans="6:45" x14ac:dyDescent="0.15">
      <c r="F47" s="67" t="s">
        <v>930</v>
      </c>
      <c r="G47" s="212" t="s">
        <v>92</v>
      </c>
      <c r="H47" s="142" t="s">
        <v>93</v>
      </c>
      <c r="I47" s="45">
        <f t="shared" si="1"/>
        <v>0</v>
      </c>
      <c r="J47" s="45">
        <f t="shared" si="2"/>
        <v>0</v>
      </c>
      <c r="K47" s="45">
        <f t="shared" si="3"/>
        <v>0</v>
      </c>
      <c r="L47" s="45">
        <f t="shared" si="4"/>
        <v>0</v>
      </c>
      <c r="M47" s="45">
        <f t="shared" si="5"/>
        <v>0</v>
      </c>
      <c r="N47" s="45">
        <f t="shared" si="6"/>
        <v>0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143">
        <f t="shared" si="7"/>
        <v>0</v>
      </c>
    </row>
    <row r="48" spans="6:45" x14ac:dyDescent="0.15">
      <c r="F48" s="67" t="s">
        <v>930</v>
      </c>
      <c r="G48" s="212" t="s">
        <v>94</v>
      </c>
      <c r="H48" s="144" t="s">
        <v>95</v>
      </c>
      <c r="I48" s="45">
        <f t="shared" si="1"/>
        <v>0</v>
      </c>
      <c r="J48" s="45">
        <f t="shared" si="2"/>
        <v>0</v>
      </c>
      <c r="K48" s="45">
        <f t="shared" si="3"/>
        <v>0</v>
      </c>
      <c r="L48" s="45">
        <f t="shared" si="4"/>
        <v>0</v>
      </c>
      <c r="M48" s="45">
        <f t="shared" si="5"/>
        <v>0</v>
      </c>
      <c r="N48" s="45">
        <f t="shared" si="6"/>
        <v>0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143">
        <f t="shared" si="7"/>
        <v>0</v>
      </c>
    </row>
    <row r="49" spans="6:45" x14ac:dyDescent="0.15">
      <c r="F49" s="67" t="s">
        <v>930</v>
      </c>
      <c r="G49" s="212" t="s">
        <v>96</v>
      </c>
      <c r="H49" s="144" t="s">
        <v>97</v>
      </c>
      <c r="I49" s="45">
        <f t="shared" si="1"/>
        <v>0</v>
      </c>
      <c r="J49" s="45">
        <f t="shared" si="2"/>
        <v>0</v>
      </c>
      <c r="K49" s="45">
        <f t="shared" si="3"/>
        <v>0</v>
      </c>
      <c r="L49" s="45">
        <f t="shared" si="4"/>
        <v>0</v>
      </c>
      <c r="M49" s="45">
        <f t="shared" si="5"/>
        <v>0</v>
      </c>
      <c r="N49" s="45">
        <f t="shared" si="6"/>
        <v>0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143">
        <f t="shared" si="7"/>
        <v>0</v>
      </c>
    </row>
    <row r="50" spans="6:45" x14ac:dyDescent="0.15">
      <c r="F50" s="67" t="s">
        <v>930</v>
      </c>
      <c r="G50" s="212" t="s">
        <v>98</v>
      </c>
      <c r="H50" s="142" t="s">
        <v>99</v>
      </c>
      <c r="I50" s="45">
        <f t="shared" si="1"/>
        <v>0</v>
      </c>
      <c r="J50" s="45">
        <f t="shared" si="2"/>
        <v>0</v>
      </c>
      <c r="K50" s="45">
        <f t="shared" si="3"/>
        <v>0</v>
      </c>
      <c r="L50" s="45">
        <f t="shared" si="4"/>
        <v>0</v>
      </c>
      <c r="M50" s="45">
        <f t="shared" si="5"/>
        <v>0</v>
      </c>
      <c r="N50" s="45">
        <f t="shared" si="6"/>
        <v>0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143">
        <f t="shared" si="7"/>
        <v>0</v>
      </c>
    </row>
    <row r="51" spans="6:45" x14ac:dyDescent="0.15">
      <c r="F51" s="67" t="s">
        <v>930</v>
      </c>
      <c r="G51" s="212" t="s">
        <v>100</v>
      </c>
      <c r="H51" s="144" t="s">
        <v>101</v>
      </c>
      <c r="I51" s="45">
        <f t="shared" si="1"/>
        <v>0</v>
      </c>
      <c r="J51" s="45">
        <f t="shared" si="2"/>
        <v>0</v>
      </c>
      <c r="K51" s="45">
        <f t="shared" si="3"/>
        <v>0</v>
      </c>
      <c r="L51" s="45">
        <f t="shared" si="4"/>
        <v>0</v>
      </c>
      <c r="M51" s="45">
        <f t="shared" si="5"/>
        <v>0</v>
      </c>
      <c r="N51" s="45">
        <f t="shared" si="6"/>
        <v>0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143">
        <f t="shared" si="7"/>
        <v>0</v>
      </c>
    </row>
    <row r="52" spans="6:45" x14ac:dyDescent="0.15">
      <c r="F52" s="67" t="s">
        <v>928</v>
      </c>
      <c r="G52" s="211" t="s">
        <v>102</v>
      </c>
      <c r="H52" s="144" t="s">
        <v>638</v>
      </c>
      <c r="I52" s="45">
        <f t="shared" si="1"/>
        <v>0</v>
      </c>
      <c r="J52" s="45">
        <f t="shared" si="2"/>
        <v>0</v>
      </c>
      <c r="K52" s="45">
        <f t="shared" si="3"/>
        <v>0</v>
      </c>
      <c r="L52" s="45">
        <f t="shared" si="4"/>
        <v>0</v>
      </c>
      <c r="M52" s="45">
        <f t="shared" si="5"/>
        <v>0</v>
      </c>
      <c r="N52" s="45">
        <f t="shared" si="6"/>
        <v>0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143">
        <f t="shared" si="7"/>
        <v>0</v>
      </c>
    </row>
    <row r="53" spans="6:45" x14ac:dyDescent="0.15">
      <c r="F53" s="67" t="s">
        <v>930</v>
      </c>
      <c r="G53" s="211" t="s">
        <v>103</v>
      </c>
      <c r="H53" s="142" t="s">
        <v>104</v>
      </c>
      <c r="I53" s="45">
        <f t="shared" si="1"/>
        <v>0</v>
      </c>
      <c r="J53" s="45">
        <f t="shared" si="2"/>
        <v>0</v>
      </c>
      <c r="K53" s="45">
        <f t="shared" si="3"/>
        <v>0</v>
      </c>
      <c r="L53" s="45">
        <f t="shared" si="4"/>
        <v>0</v>
      </c>
      <c r="M53" s="45">
        <f t="shared" si="5"/>
        <v>0</v>
      </c>
      <c r="N53" s="45">
        <f t="shared" si="6"/>
        <v>0</v>
      </c>
      <c r="O53" s="46">
        <f t="shared" ref="O53:AR53" si="12">SUM(O54:O55)</f>
        <v>0</v>
      </c>
      <c r="P53" s="46">
        <f t="shared" si="12"/>
        <v>0</v>
      </c>
      <c r="Q53" s="46">
        <f t="shared" si="12"/>
        <v>0</v>
      </c>
      <c r="R53" s="46">
        <f t="shared" si="12"/>
        <v>0</v>
      </c>
      <c r="S53" s="46">
        <f t="shared" si="12"/>
        <v>0</v>
      </c>
      <c r="T53" s="46">
        <f t="shared" si="12"/>
        <v>0</v>
      </c>
      <c r="U53" s="46">
        <f t="shared" si="12"/>
        <v>0</v>
      </c>
      <c r="V53" s="46">
        <f t="shared" si="12"/>
        <v>0</v>
      </c>
      <c r="W53" s="46">
        <f t="shared" si="12"/>
        <v>0</v>
      </c>
      <c r="X53" s="46">
        <f t="shared" si="12"/>
        <v>0</v>
      </c>
      <c r="Y53" s="46">
        <f t="shared" si="12"/>
        <v>0</v>
      </c>
      <c r="Z53" s="46">
        <f t="shared" si="12"/>
        <v>0</v>
      </c>
      <c r="AA53" s="46">
        <f t="shared" si="12"/>
        <v>0</v>
      </c>
      <c r="AB53" s="46">
        <f t="shared" si="12"/>
        <v>0</v>
      </c>
      <c r="AC53" s="46">
        <f t="shared" si="12"/>
        <v>0</v>
      </c>
      <c r="AD53" s="46">
        <f t="shared" si="12"/>
        <v>0</v>
      </c>
      <c r="AE53" s="46">
        <f t="shared" si="12"/>
        <v>0</v>
      </c>
      <c r="AF53" s="46">
        <f t="shared" si="12"/>
        <v>0</v>
      </c>
      <c r="AG53" s="46">
        <f t="shared" si="12"/>
        <v>0</v>
      </c>
      <c r="AH53" s="46">
        <f t="shared" si="12"/>
        <v>0</v>
      </c>
      <c r="AI53" s="46">
        <f t="shared" si="12"/>
        <v>0</v>
      </c>
      <c r="AJ53" s="46">
        <f t="shared" si="12"/>
        <v>0</v>
      </c>
      <c r="AK53" s="46">
        <f t="shared" si="12"/>
        <v>0</v>
      </c>
      <c r="AL53" s="46">
        <f t="shared" si="12"/>
        <v>0</v>
      </c>
      <c r="AM53" s="46">
        <f t="shared" si="12"/>
        <v>0</v>
      </c>
      <c r="AN53" s="46">
        <f t="shared" si="12"/>
        <v>0</v>
      </c>
      <c r="AO53" s="46">
        <f t="shared" si="12"/>
        <v>0</v>
      </c>
      <c r="AP53" s="46">
        <f t="shared" si="12"/>
        <v>0</v>
      </c>
      <c r="AQ53" s="46">
        <f t="shared" si="12"/>
        <v>0</v>
      </c>
      <c r="AR53" s="46">
        <f t="shared" si="12"/>
        <v>0</v>
      </c>
      <c r="AS53" s="143">
        <f t="shared" si="7"/>
        <v>0</v>
      </c>
    </row>
    <row r="54" spans="6:45" ht="21" x14ac:dyDescent="0.15">
      <c r="F54" s="67" t="s">
        <v>930</v>
      </c>
      <c r="G54" s="212" t="s">
        <v>866</v>
      </c>
      <c r="H54" s="144" t="s">
        <v>105</v>
      </c>
      <c r="I54" s="45">
        <f t="shared" si="1"/>
        <v>0</v>
      </c>
      <c r="J54" s="45">
        <f t="shared" si="2"/>
        <v>0</v>
      </c>
      <c r="K54" s="45">
        <f t="shared" si="3"/>
        <v>0</v>
      </c>
      <c r="L54" s="45">
        <f t="shared" si="4"/>
        <v>0</v>
      </c>
      <c r="M54" s="45">
        <f t="shared" si="5"/>
        <v>0</v>
      </c>
      <c r="N54" s="45">
        <f t="shared" si="6"/>
        <v>0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143">
        <f t="shared" si="7"/>
        <v>0</v>
      </c>
    </row>
    <row r="55" spans="6:45" ht="21" x14ac:dyDescent="0.15">
      <c r="F55" s="67" t="s">
        <v>930</v>
      </c>
      <c r="G55" s="212" t="s">
        <v>106</v>
      </c>
      <c r="H55" s="144" t="s">
        <v>107</v>
      </c>
      <c r="I55" s="45">
        <f t="shared" si="1"/>
        <v>0</v>
      </c>
      <c r="J55" s="45">
        <f t="shared" si="2"/>
        <v>0</v>
      </c>
      <c r="K55" s="45">
        <f t="shared" si="3"/>
        <v>0</v>
      </c>
      <c r="L55" s="45">
        <f t="shared" si="4"/>
        <v>0</v>
      </c>
      <c r="M55" s="45">
        <f t="shared" si="5"/>
        <v>0</v>
      </c>
      <c r="N55" s="45">
        <f t="shared" si="6"/>
        <v>0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143">
        <f t="shared" si="7"/>
        <v>0</v>
      </c>
    </row>
    <row r="56" spans="6:45" x14ac:dyDescent="0.15">
      <c r="F56" s="67" t="s">
        <v>928</v>
      </c>
      <c r="G56" s="211" t="s">
        <v>108</v>
      </c>
      <c r="H56" s="142" t="s">
        <v>109</v>
      </c>
      <c r="I56" s="45">
        <f t="shared" si="1"/>
        <v>0</v>
      </c>
      <c r="J56" s="45">
        <f t="shared" si="2"/>
        <v>0</v>
      </c>
      <c r="K56" s="45">
        <f t="shared" si="3"/>
        <v>0</v>
      </c>
      <c r="L56" s="45">
        <f t="shared" si="4"/>
        <v>0</v>
      </c>
      <c r="M56" s="45">
        <f t="shared" si="5"/>
        <v>0</v>
      </c>
      <c r="N56" s="45">
        <f t="shared" si="6"/>
        <v>0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143">
        <f t="shared" si="7"/>
        <v>0</v>
      </c>
    </row>
    <row r="57" spans="6:45" x14ac:dyDescent="0.15">
      <c r="F57" s="67" t="s">
        <v>928</v>
      </c>
      <c r="G57" s="211" t="s">
        <v>110</v>
      </c>
      <c r="H57" s="144" t="s">
        <v>111</v>
      </c>
      <c r="I57" s="45">
        <f t="shared" si="1"/>
        <v>0</v>
      </c>
      <c r="J57" s="45">
        <f t="shared" si="2"/>
        <v>0</v>
      </c>
      <c r="K57" s="45">
        <f t="shared" si="3"/>
        <v>0</v>
      </c>
      <c r="L57" s="45">
        <f t="shared" si="4"/>
        <v>0</v>
      </c>
      <c r="M57" s="45">
        <f t="shared" si="5"/>
        <v>0</v>
      </c>
      <c r="N57" s="45">
        <f t="shared" si="6"/>
        <v>0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143">
        <f t="shared" si="7"/>
        <v>0</v>
      </c>
    </row>
    <row r="58" spans="6:45" x14ac:dyDescent="0.15">
      <c r="F58" s="67" t="s">
        <v>928</v>
      </c>
      <c r="G58" s="211" t="s">
        <v>112</v>
      </c>
      <c r="H58" s="144" t="s">
        <v>113</v>
      </c>
      <c r="I58" s="45">
        <f t="shared" si="1"/>
        <v>0</v>
      </c>
      <c r="J58" s="45">
        <f t="shared" si="2"/>
        <v>0</v>
      </c>
      <c r="K58" s="45">
        <f t="shared" si="3"/>
        <v>0</v>
      </c>
      <c r="L58" s="45">
        <f t="shared" si="4"/>
        <v>0</v>
      </c>
      <c r="M58" s="45">
        <f t="shared" si="5"/>
        <v>0</v>
      </c>
      <c r="N58" s="45">
        <f t="shared" si="6"/>
        <v>0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143">
        <f t="shared" si="7"/>
        <v>0</v>
      </c>
    </row>
    <row r="59" spans="6:45" x14ac:dyDescent="0.15">
      <c r="F59" s="67" t="s">
        <v>931</v>
      </c>
      <c r="G59" s="211" t="s">
        <v>114</v>
      </c>
      <c r="H59" s="142" t="s">
        <v>115</v>
      </c>
      <c r="I59" s="45">
        <f t="shared" si="1"/>
        <v>0</v>
      </c>
      <c r="J59" s="45">
        <f t="shared" si="2"/>
        <v>0</v>
      </c>
      <c r="K59" s="45">
        <f t="shared" si="3"/>
        <v>0</v>
      </c>
      <c r="L59" s="45">
        <f t="shared" si="4"/>
        <v>0</v>
      </c>
      <c r="M59" s="45">
        <f t="shared" si="5"/>
        <v>0</v>
      </c>
      <c r="N59" s="45">
        <f t="shared" si="6"/>
        <v>0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143">
        <f t="shared" si="7"/>
        <v>0</v>
      </c>
    </row>
    <row r="60" spans="6:45" x14ac:dyDescent="0.15">
      <c r="F60" s="67" t="s">
        <v>931</v>
      </c>
      <c r="G60" s="211" t="s">
        <v>116</v>
      </c>
      <c r="H60" s="144" t="s">
        <v>117</v>
      </c>
      <c r="I60" s="45">
        <f t="shared" si="1"/>
        <v>0</v>
      </c>
      <c r="J60" s="45">
        <f t="shared" si="2"/>
        <v>0</v>
      </c>
      <c r="K60" s="45">
        <f t="shared" si="3"/>
        <v>0</v>
      </c>
      <c r="L60" s="45">
        <f t="shared" si="4"/>
        <v>0</v>
      </c>
      <c r="M60" s="45">
        <f t="shared" si="5"/>
        <v>0</v>
      </c>
      <c r="N60" s="45">
        <f t="shared" si="6"/>
        <v>0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143">
        <f t="shared" si="7"/>
        <v>0</v>
      </c>
    </row>
    <row r="61" spans="6:45" x14ac:dyDescent="0.15">
      <c r="F61" s="67" t="s">
        <v>928</v>
      </c>
      <c r="G61" s="211" t="s">
        <v>118</v>
      </c>
      <c r="H61" s="144" t="s">
        <v>119</v>
      </c>
      <c r="I61" s="45">
        <f t="shared" si="1"/>
        <v>0</v>
      </c>
      <c r="J61" s="45">
        <f t="shared" si="2"/>
        <v>0</v>
      </c>
      <c r="K61" s="45">
        <f t="shared" si="3"/>
        <v>0</v>
      </c>
      <c r="L61" s="45">
        <f t="shared" si="4"/>
        <v>0</v>
      </c>
      <c r="M61" s="45">
        <f t="shared" si="5"/>
        <v>0</v>
      </c>
      <c r="N61" s="45">
        <f t="shared" si="6"/>
        <v>0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143">
        <f t="shared" si="7"/>
        <v>0</v>
      </c>
    </row>
    <row r="62" spans="6:45" x14ac:dyDescent="0.15">
      <c r="F62" s="67" t="s">
        <v>928</v>
      </c>
      <c r="G62" s="211" t="s">
        <v>120</v>
      </c>
      <c r="H62" s="142" t="s">
        <v>121</v>
      </c>
      <c r="I62" s="45">
        <f t="shared" si="1"/>
        <v>0</v>
      </c>
      <c r="J62" s="45">
        <f t="shared" si="2"/>
        <v>0</v>
      </c>
      <c r="K62" s="45">
        <f t="shared" si="3"/>
        <v>0</v>
      </c>
      <c r="L62" s="45">
        <f t="shared" si="4"/>
        <v>0</v>
      </c>
      <c r="M62" s="45">
        <f t="shared" si="5"/>
        <v>0</v>
      </c>
      <c r="N62" s="45">
        <f t="shared" si="6"/>
        <v>0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143">
        <f t="shared" si="7"/>
        <v>0</v>
      </c>
    </row>
    <row r="63" spans="6:45" x14ac:dyDescent="0.15">
      <c r="F63" s="67" t="s">
        <v>928</v>
      </c>
      <c r="G63" s="211" t="s">
        <v>122</v>
      </c>
      <c r="H63" s="144" t="s">
        <v>123</v>
      </c>
      <c r="I63" s="45">
        <f t="shared" si="1"/>
        <v>0</v>
      </c>
      <c r="J63" s="45">
        <f t="shared" si="2"/>
        <v>0</v>
      </c>
      <c r="K63" s="45">
        <f t="shared" si="3"/>
        <v>0</v>
      </c>
      <c r="L63" s="45">
        <f t="shared" si="4"/>
        <v>0</v>
      </c>
      <c r="M63" s="45">
        <f t="shared" si="5"/>
        <v>0</v>
      </c>
      <c r="N63" s="45">
        <f t="shared" si="6"/>
        <v>0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143">
        <f t="shared" si="7"/>
        <v>0</v>
      </c>
    </row>
    <row r="64" spans="6:45" x14ac:dyDescent="0.15">
      <c r="F64" s="67" t="s">
        <v>930</v>
      </c>
      <c r="G64" s="211" t="s">
        <v>124</v>
      </c>
      <c r="H64" s="144" t="s">
        <v>125</v>
      </c>
      <c r="I64" s="45">
        <f t="shared" si="1"/>
        <v>0</v>
      </c>
      <c r="J64" s="45">
        <f t="shared" si="2"/>
        <v>0</v>
      </c>
      <c r="K64" s="45">
        <f t="shared" si="3"/>
        <v>0</v>
      </c>
      <c r="L64" s="45">
        <f t="shared" si="4"/>
        <v>0</v>
      </c>
      <c r="M64" s="45">
        <f t="shared" si="5"/>
        <v>0</v>
      </c>
      <c r="N64" s="45">
        <f t="shared" si="6"/>
        <v>0</v>
      </c>
      <c r="O64" s="46">
        <f t="shared" ref="O64:AR64" si="13">SUM(O65:O67)</f>
        <v>0</v>
      </c>
      <c r="P64" s="46">
        <f t="shared" si="13"/>
        <v>0</v>
      </c>
      <c r="Q64" s="46">
        <f t="shared" si="13"/>
        <v>0</v>
      </c>
      <c r="R64" s="46">
        <f t="shared" si="13"/>
        <v>0</v>
      </c>
      <c r="S64" s="46">
        <f t="shared" si="13"/>
        <v>0</v>
      </c>
      <c r="T64" s="46">
        <f t="shared" si="13"/>
        <v>0</v>
      </c>
      <c r="U64" s="46">
        <f t="shared" si="13"/>
        <v>0</v>
      </c>
      <c r="V64" s="46">
        <f t="shared" si="13"/>
        <v>0</v>
      </c>
      <c r="W64" s="46">
        <f t="shared" si="13"/>
        <v>0</v>
      </c>
      <c r="X64" s="46">
        <f t="shared" si="13"/>
        <v>0</v>
      </c>
      <c r="Y64" s="46">
        <f t="shared" si="13"/>
        <v>0</v>
      </c>
      <c r="Z64" s="46">
        <f t="shared" si="13"/>
        <v>0</v>
      </c>
      <c r="AA64" s="46">
        <f t="shared" si="13"/>
        <v>0</v>
      </c>
      <c r="AB64" s="46">
        <f t="shared" si="13"/>
        <v>0</v>
      </c>
      <c r="AC64" s="46">
        <f t="shared" si="13"/>
        <v>0</v>
      </c>
      <c r="AD64" s="46">
        <f t="shared" si="13"/>
        <v>0</v>
      </c>
      <c r="AE64" s="46">
        <f t="shared" si="13"/>
        <v>0</v>
      </c>
      <c r="AF64" s="46">
        <f t="shared" si="13"/>
        <v>0</v>
      </c>
      <c r="AG64" s="46">
        <f t="shared" si="13"/>
        <v>0</v>
      </c>
      <c r="AH64" s="46">
        <f t="shared" si="13"/>
        <v>0</v>
      </c>
      <c r="AI64" s="46">
        <f t="shared" si="13"/>
        <v>0</v>
      </c>
      <c r="AJ64" s="46">
        <f t="shared" si="13"/>
        <v>0</v>
      </c>
      <c r="AK64" s="46">
        <f t="shared" si="13"/>
        <v>0</v>
      </c>
      <c r="AL64" s="46">
        <f t="shared" si="13"/>
        <v>0</v>
      </c>
      <c r="AM64" s="46">
        <f t="shared" si="13"/>
        <v>0</v>
      </c>
      <c r="AN64" s="46">
        <f t="shared" si="13"/>
        <v>0</v>
      </c>
      <c r="AO64" s="46">
        <f t="shared" si="13"/>
        <v>0</v>
      </c>
      <c r="AP64" s="46">
        <f t="shared" si="13"/>
        <v>0</v>
      </c>
      <c r="AQ64" s="46">
        <f t="shared" si="13"/>
        <v>0</v>
      </c>
      <c r="AR64" s="46">
        <f t="shared" si="13"/>
        <v>0</v>
      </c>
      <c r="AS64" s="143">
        <f t="shared" si="7"/>
        <v>0</v>
      </c>
    </row>
    <row r="65" spans="6:45" ht="21" x14ac:dyDescent="0.15">
      <c r="F65" s="67" t="s">
        <v>930</v>
      </c>
      <c r="G65" s="212" t="s">
        <v>867</v>
      </c>
      <c r="H65" s="142" t="s">
        <v>126</v>
      </c>
      <c r="I65" s="45">
        <f t="shared" si="1"/>
        <v>0</v>
      </c>
      <c r="J65" s="45">
        <f t="shared" si="2"/>
        <v>0</v>
      </c>
      <c r="K65" s="45">
        <f t="shared" si="3"/>
        <v>0</v>
      </c>
      <c r="L65" s="45">
        <f t="shared" si="4"/>
        <v>0</v>
      </c>
      <c r="M65" s="45">
        <f t="shared" si="5"/>
        <v>0</v>
      </c>
      <c r="N65" s="45">
        <f t="shared" si="6"/>
        <v>0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143">
        <f t="shared" si="7"/>
        <v>0</v>
      </c>
    </row>
    <row r="66" spans="6:45" x14ac:dyDescent="0.15">
      <c r="F66" s="67" t="s">
        <v>930</v>
      </c>
      <c r="G66" s="212" t="s">
        <v>127</v>
      </c>
      <c r="H66" s="144" t="s">
        <v>128</v>
      </c>
      <c r="I66" s="45">
        <f t="shared" si="1"/>
        <v>0</v>
      </c>
      <c r="J66" s="45">
        <f t="shared" si="2"/>
        <v>0</v>
      </c>
      <c r="K66" s="45">
        <f t="shared" si="3"/>
        <v>0</v>
      </c>
      <c r="L66" s="45">
        <f t="shared" si="4"/>
        <v>0</v>
      </c>
      <c r="M66" s="45">
        <f t="shared" si="5"/>
        <v>0</v>
      </c>
      <c r="N66" s="45">
        <f t="shared" si="6"/>
        <v>0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143">
        <f t="shared" si="7"/>
        <v>0</v>
      </c>
    </row>
    <row r="67" spans="6:45" x14ac:dyDescent="0.15">
      <c r="F67" s="67" t="s">
        <v>930</v>
      </c>
      <c r="G67" s="212" t="s">
        <v>129</v>
      </c>
      <c r="H67" s="144" t="s">
        <v>130</v>
      </c>
      <c r="I67" s="45">
        <f t="shared" si="1"/>
        <v>0</v>
      </c>
      <c r="J67" s="45">
        <f t="shared" si="2"/>
        <v>0</v>
      </c>
      <c r="K67" s="45">
        <f t="shared" si="3"/>
        <v>0</v>
      </c>
      <c r="L67" s="45">
        <f t="shared" si="4"/>
        <v>0</v>
      </c>
      <c r="M67" s="45">
        <f t="shared" si="5"/>
        <v>0</v>
      </c>
      <c r="N67" s="45">
        <f t="shared" si="6"/>
        <v>0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143">
        <f t="shared" si="7"/>
        <v>0</v>
      </c>
    </row>
    <row r="68" spans="6:45" x14ac:dyDescent="0.15">
      <c r="F68" s="67" t="s">
        <v>928</v>
      </c>
      <c r="G68" s="211" t="s">
        <v>131</v>
      </c>
      <c r="H68" s="142" t="s">
        <v>132</v>
      </c>
      <c r="I68" s="45">
        <f t="shared" si="1"/>
        <v>0</v>
      </c>
      <c r="J68" s="45">
        <f t="shared" si="2"/>
        <v>0</v>
      </c>
      <c r="K68" s="45">
        <f t="shared" si="3"/>
        <v>0</v>
      </c>
      <c r="L68" s="45">
        <f t="shared" si="4"/>
        <v>0</v>
      </c>
      <c r="M68" s="45">
        <f t="shared" si="5"/>
        <v>0</v>
      </c>
      <c r="N68" s="45">
        <f t="shared" si="6"/>
        <v>0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143">
        <f t="shared" si="7"/>
        <v>0</v>
      </c>
    </row>
    <row r="69" spans="6:45" x14ac:dyDescent="0.15">
      <c r="F69" s="67" t="s">
        <v>928</v>
      </c>
      <c r="G69" s="211" t="s">
        <v>133</v>
      </c>
      <c r="H69" s="144" t="s">
        <v>134</v>
      </c>
      <c r="I69" s="45">
        <f t="shared" si="1"/>
        <v>0</v>
      </c>
      <c r="J69" s="45">
        <f t="shared" si="2"/>
        <v>0</v>
      </c>
      <c r="K69" s="45">
        <f t="shared" si="3"/>
        <v>0</v>
      </c>
      <c r="L69" s="45">
        <f t="shared" si="4"/>
        <v>0</v>
      </c>
      <c r="M69" s="45">
        <f t="shared" si="5"/>
        <v>0</v>
      </c>
      <c r="N69" s="45">
        <f t="shared" si="6"/>
        <v>0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143">
        <f t="shared" si="7"/>
        <v>0</v>
      </c>
    </row>
    <row r="70" spans="6:45" x14ac:dyDescent="0.15">
      <c r="F70" s="67" t="s">
        <v>930</v>
      </c>
      <c r="G70" s="211" t="s">
        <v>135</v>
      </c>
      <c r="H70" s="144" t="s">
        <v>136</v>
      </c>
      <c r="I70" s="45">
        <f t="shared" si="1"/>
        <v>0</v>
      </c>
      <c r="J70" s="45">
        <f t="shared" si="2"/>
        <v>0</v>
      </c>
      <c r="K70" s="45">
        <f t="shared" si="3"/>
        <v>0</v>
      </c>
      <c r="L70" s="45">
        <f t="shared" si="4"/>
        <v>0</v>
      </c>
      <c r="M70" s="45">
        <f t="shared" si="5"/>
        <v>0</v>
      </c>
      <c r="N70" s="45">
        <f t="shared" si="6"/>
        <v>0</v>
      </c>
      <c r="O70" s="46">
        <f t="shared" ref="O70:AR70" si="14">SUM(O71:O72)</f>
        <v>0</v>
      </c>
      <c r="P70" s="46">
        <f t="shared" si="14"/>
        <v>0</v>
      </c>
      <c r="Q70" s="46">
        <f t="shared" si="14"/>
        <v>0</v>
      </c>
      <c r="R70" s="46">
        <f t="shared" si="14"/>
        <v>0</v>
      </c>
      <c r="S70" s="46">
        <f t="shared" si="14"/>
        <v>0</v>
      </c>
      <c r="T70" s="46">
        <f t="shared" si="14"/>
        <v>0</v>
      </c>
      <c r="U70" s="46">
        <f t="shared" si="14"/>
        <v>0</v>
      </c>
      <c r="V70" s="46">
        <f t="shared" si="14"/>
        <v>0</v>
      </c>
      <c r="W70" s="46">
        <f t="shared" si="14"/>
        <v>0</v>
      </c>
      <c r="X70" s="46">
        <f t="shared" si="14"/>
        <v>0</v>
      </c>
      <c r="Y70" s="46">
        <f t="shared" si="14"/>
        <v>0</v>
      </c>
      <c r="Z70" s="46">
        <f t="shared" si="14"/>
        <v>0</v>
      </c>
      <c r="AA70" s="46">
        <f t="shared" si="14"/>
        <v>0</v>
      </c>
      <c r="AB70" s="46">
        <f t="shared" si="14"/>
        <v>0</v>
      </c>
      <c r="AC70" s="46">
        <f t="shared" si="14"/>
        <v>0</v>
      </c>
      <c r="AD70" s="46">
        <f t="shared" si="14"/>
        <v>0</v>
      </c>
      <c r="AE70" s="46">
        <f t="shared" si="14"/>
        <v>0</v>
      </c>
      <c r="AF70" s="46">
        <f t="shared" si="14"/>
        <v>0</v>
      </c>
      <c r="AG70" s="46">
        <f t="shared" si="14"/>
        <v>0</v>
      </c>
      <c r="AH70" s="46">
        <f t="shared" si="14"/>
        <v>0</v>
      </c>
      <c r="AI70" s="46">
        <f t="shared" si="14"/>
        <v>0</v>
      </c>
      <c r="AJ70" s="46">
        <f t="shared" si="14"/>
        <v>0</v>
      </c>
      <c r="AK70" s="46">
        <f t="shared" si="14"/>
        <v>0</v>
      </c>
      <c r="AL70" s="46">
        <f t="shared" si="14"/>
        <v>0</v>
      </c>
      <c r="AM70" s="46">
        <f t="shared" si="14"/>
        <v>0</v>
      </c>
      <c r="AN70" s="46">
        <f t="shared" si="14"/>
        <v>0</v>
      </c>
      <c r="AO70" s="46">
        <f t="shared" si="14"/>
        <v>0</v>
      </c>
      <c r="AP70" s="46">
        <f t="shared" si="14"/>
        <v>0</v>
      </c>
      <c r="AQ70" s="46">
        <f t="shared" si="14"/>
        <v>0</v>
      </c>
      <c r="AR70" s="46">
        <f t="shared" si="14"/>
        <v>0</v>
      </c>
      <c r="AS70" s="143">
        <f t="shared" si="7"/>
        <v>0</v>
      </c>
    </row>
    <row r="71" spans="6:45" ht="21" x14ac:dyDescent="0.15">
      <c r="F71" s="67" t="s">
        <v>930</v>
      </c>
      <c r="G71" s="212" t="s">
        <v>868</v>
      </c>
      <c r="H71" s="142" t="s">
        <v>137</v>
      </c>
      <c r="I71" s="45">
        <f t="shared" si="1"/>
        <v>0</v>
      </c>
      <c r="J71" s="45">
        <f t="shared" si="2"/>
        <v>0</v>
      </c>
      <c r="K71" s="45">
        <f t="shared" si="3"/>
        <v>0</v>
      </c>
      <c r="L71" s="45">
        <f t="shared" si="4"/>
        <v>0</v>
      </c>
      <c r="M71" s="45">
        <f t="shared" si="5"/>
        <v>0</v>
      </c>
      <c r="N71" s="45">
        <f t="shared" si="6"/>
        <v>0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143">
        <f t="shared" si="7"/>
        <v>0</v>
      </c>
    </row>
    <row r="72" spans="6:45" x14ac:dyDescent="0.15">
      <c r="F72" s="67" t="s">
        <v>930</v>
      </c>
      <c r="G72" s="212" t="s">
        <v>138</v>
      </c>
      <c r="H72" s="144" t="s">
        <v>139</v>
      </c>
      <c r="I72" s="45">
        <f t="shared" si="1"/>
        <v>0</v>
      </c>
      <c r="J72" s="45">
        <f t="shared" si="2"/>
        <v>0</v>
      </c>
      <c r="K72" s="45">
        <f t="shared" si="3"/>
        <v>0</v>
      </c>
      <c r="L72" s="45">
        <f t="shared" si="4"/>
        <v>0</v>
      </c>
      <c r="M72" s="45">
        <f t="shared" si="5"/>
        <v>0</v>
      </c>
      <c r="N72" s="45">
        <f t="shared" si="6"/>
        <v>0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143">
        <f t="shared" si="7"/>
        <v>0</v>
      </c>
    </row>
    <row r="73" spans="6:45" x14ac:dyDescent="0.15">
      <c r="F73" s="67" t="s">
        <v>928</v>
      </c>
      <c r="G73" s="211" t="s">
        <v>140</v>
      </c>
      <c r="H73" s="144" t="s">
        <v>141</v>
      </c>
      <c r="I73" s="45">
        <f t="shared" si="1"/>
        <v>0</v>
      </c>
      <c r="J73" s="45">
        <f t="shared" si="2"/>
        <v>0</v>
      </c>
      <c r="K73" s="45">
        <f t="shared" si="3"/>
        <v>0</v>
      </c>
      <c r="L73" s="45">
        <f t="shared" si="4"/>
        <v>0</v>
      </c>
      <c r="M73" s="45">
        <f t="shared" si="5"/>
        <v>0</v>
      </c>
      <c r="N73" s="45">
        <f t="shared" si="6"/>
        <v>0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143">
        <f t="shared" si="7"/>
        <v>0</v>
      </c>
    </row>
    <row r="74" spans="6:45" x14ac:dyDescent="0.15">
      <c r="F74" s="67" t="s">
        <v>928</v>
      </c>
      <c r="G74" s="211" t="s">
        <v>142</v>
      </c>
      <c r="H74" s="142" t="s">
        <v>143</v>
      </c>
      <c r="I74" s="45">
        <f t="shared" si="1"/>
        <v>0</v>
      </c>
      <c r="J74" s="45">
        <f t="shared" si="2"/>
        <v>0</v>
      </c>
      <c r="K74" s="45">
        <f t="shared" si="3"/>
        <v>0</v>
      </c>
      <c r="L74" s="45">
        <f t="shared" si="4"/>
        <v>0</v>
      </c>
      <c r="M74" s="45">
        <f t="shared" si="5"/>
        <v>0</v>
      </c>
      <c r="N74" s="45">
        <f t="shared" si="6"/>
        <v>0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143">
        <f t="shared" si="7"/>
        <v>0</v>
      </c>
    </row>
    <row r="75" spans="6:45" x14ac:dyDescent="0.15">
      <c r="F75" s="67" t="s">
        <v>930</v>
      </c>
      <c r="G75" s="211" t="s">
        <v>144</v>
      </c>
      <c r="H75" s="144" t="s">
        <v>145</v>
      </c>
      <c r="I75" s="45">
        <f t="shared" si="1"/>
        <v>0</v>
      </c>
      <c r="J75" s="45">
        <f t="shared" si="2"/>
        <v>0</v>
      </c>
      <c r="K75" s="45">
        <f t="shared" si="3"/>
        <v>0</v>
      </c>
      <c r="L75" s="45">
        <f t="shared" si="4"/>
        <v>0</v>
      </c>
      <c r="M75" s="45">
        <f t="shared" si="5"/>
        <v>0</v>
      </c>
      <c r="N75" s="45">
        <f t="shared" si="6"/>
        <v>0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143">
        <f t="shared" si="7"/>
        <v>0</v>
      </c>
    </row>
    <row r="76" spans="6:45" ht="21" x14ac:dyDescent="0.15">
      <c r="F76" s="67" t="s">
        <v>928</v>
      </c>
      <c r="G76" s="211" t="s">
        <v>146</v>
      </c>
      <c r="H76" s="144" t="s">
        <v>147</v>
      </c>
      <c r="I76" s="45">
        <f t="shared" ref="I76:I140" si="15">SUM(J76:L76)</f>
        <v>0</v>
      </c>
      <c r="J76" s="45">
        <f t="shared" ref="J76:J140" si="16">O76+T76+Y76+AD76+AI76+AN76</f>
        <v>0</v>
      </c>
      <c r="K76" s="45">
        <f t="shared" ref="K76:K140" si="17">P76+U76+Z76+AE76+AJ76+AO76</f>
        <v>0</v>
      </c>
      <c r="L76" s="45">
        <f t="shared" ref="L76:L140" si="18">Q76+V76+AA76+AF76+AK76+AP76</f>
        <v>0</v>
      </c>
      <c r="M76" s="45">
        <f t="shared" ref="M76:M140" si="19">R76+W76+AB76+AG76+AL76+AQ76</f>
        <v>0</v>
      </c>
      <c r="N76" s="45">
        <f t="shared" ref="N76:N140" si="20">S76+X76+AC76+AH76+AM76+AR76</f>
        <v>0</v>
      </c>
      <c r="O76" s="48">
        <f t="shared" ref="O76:AR76" si="21">SUM(O77:O80)</f>
        <v>0</v>
      </c>
      <c r="P76" s="48">
        <f t="shared" si="21"/>
        <v>0</v>
      </c>
      <c r="Q76" s="48">
        <f t="shared" si="21"/>
        <v>0</v>
      </c>
      <c r="R76" s="48">
        <f t="shared" si="21"/>
        <v>0</v>
      </c>
      <c r="S76" s="48">
        <f t="shared" si="21"/>
        <v>0</v>
      </c>
      <c r="T76" s="48">
        <f t="shared" si="21"/>
        <v>0</v>
      </c>
      <c r="U76" s="48">
        <f t="shared" si="21"/>
        <v>0</v>
      </c>
      <c r="V76" s="48">
        <f t="shared" si="21"/>
        <v>0</v>
      </c>
      <c r="W76" s="48">
        <f t="shared" si="21"/>
        <v>0</v>
      </c>
      <c r="X76" s="48">
        <f t="shared" si="21"/>
        <v>0</v>
      </c>
      <c r="Y76" s="48">
        <f t="shared" si="21"/>
        <v>0</v>
      </c>
      <c r="Z76" s="48">
        <f t="shared" si="21"/>
        <v>0</v>
      </c>
      <c r="AA76" s="48">
        <f t="shared" si="21"/>
        <v>0</v>
      </c>
      <c r="AB76" s="48">
        <f t="shared" si="21"/>
        <v>0</v>
      </c>
      <c r="AC76" s="48">
        <f t="shared" si="21"/>
        <v>0</v>
      </c>
      <c r="AD76" s="48">
        <f t="shared" si="21"/>
        <v>0</v>
      </c>
      <c r="AE76" s="48">
        <f t="shared" si="21"/>
        <v>0</v>
      </c>
      <c r="AF76" s="48">
        <f t="shared" si="21"/>
        <v>0</v>
      </c>
      <c r="AG76" s="48">
        <f t="shared" si="21"/>
        <v>0</v>
      </c>
      <c r="AH76" s="48">
        <f t="shared" si="21"/>
        <v>0</v>
      </c>
      <c r="AI76" s="48">
        <f t="shared" si="21"/>
        <v>0</v>
      </c>
      <c r="AJ76" s="48">
        <f t="shared" si="21"/>
        <v>0</v>
      </c>
      <c r="AK76" s="48">
        <f t="shared" si="21"/>
        <v>0</v>
      </c>
      <c r="AL76" s="48">
        <f t="shared" si="21"/>
        <v>0</v>
      </c>
      <c r="AM76" s="48">
        <f t="shared" si="21"/>
        <v>0</v>
      </c>
      <c r="AN76" s="48">
        <f t="shared" si="21"/>
        <v>0</v>
      </c>
      <c r="AO76" s="48">
        <f t="shared" si="21"/>
        <v>0</v>
      </c>
      <c r="AP76" s="48">
        <f t="shared" si="21"/>
        <v>0</v>
      </c>
      <c r="AQ76" s="48">
        <f t="shared" si="21"/>
        <v>0</v>
      </c>
      <c r="AR76" s="48">
        <f t="shared" si="21"/>
        <v>0</v>
      </c>
      <c r="AS76" s="143">
        <f t="shared" ref="AS76:AS140" si="22">SUM(I76:AR76)</f>
        <v>0</v>
      </c>
    </row>
    <row r="77" spans="6:45" ht="21" x14ac:dyDescent="0.15">
      <c r="F77" s="67" t="s">
        <v>928</v>
      </c>
      <c r="G77" s="212" t="s">
        <v>148</v>
      </c>
      <c r="H77" s="142" t="s">
        <v>149</v>
      </c>
      <c r="I77" s="45">
        <f t="shared" si="15"/>
        <v>0</v>
      </c>
      <c r="J77" s="45">
        <f t="shared" si="16"/>
        <v>0</v>
      </c>
      <c r="K77" s="45">
        <f t="shared" si="17"/>
        <v>0</v>
      </c>
      <c r="L77" s="45">
        <f t="shared" si="18"/>
        <v>0</v>
      </c>
      <c r="M77" s="45">
        <f t="shared" si="19"/>
        <v>0</v>
      </c>
      <c r="N77" s="45">
        <f t="shared" si="20"/>
        <v>0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143">
        <f t="shared" si="22"/>
        <v>0</v>
      </c>
    </row>
    <row r="78" spans="6:45" x14ac:dyDescent="0.15">
      <c r="F78" s="67" t="s">
        <v>928</v>
      </c>
      <c r="G78" s="212" t="s">
        <v>150</v>
      </c>
      <c r="H78" s="144" t="s">
        <v>151</v>
      </c>
      <c r="I78" s="45">
        <f t="shared" si="15"/>
        <v>0</v>
      </c>
      <c r="J78" s="45">
        <f t="shared" si="16"/>
        <v>0</v>
      </c>
      <c r="K78" s="45">
        <f t="shared" si="17"/>
        <v>0</v>
      </c>
      <c r="L78" s="45">
        <f t="shared" si="18"/>
        <v>0</v>
      </c>
      <c r="M78" s="45">
        <f t="shared" si="19"/>
        <v>0</v>
      </c>
      <c r="N78" s="45">
        <f t="shared" si="20"/>
        <v>0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143">
        <f t="shared" si="22"/>
        <v>0</v>
      </c>
    </row>
    <row r="79" spans="6:45" x14ac:dyDescent="0.15">
      <c r="F79" s="67" t="s">
        <v>928</v>
      </c>
      <c r="G79" s="212" t="s">
        <v>152</v>
      </c>
      <c r="H79" s="144" t="s">
        <v>153</v>
      </c>
      <c r="I79" s="45">
        <f t="shared" si="15"/>
        <v>0</v>
      </c>
      <c r="J79" s="45">
        <f t="shared" si="16"/>
        <v>0</v>
      </c>
      <c r="K79" s="45">
        <f t="shared" si="17"/>
        <v>0</v>
      </c>
      <c r="L79" s="45">
        <f t="shared" si="18"/>
        <v>0</v>
      </c>
      <c r="M79" s="45">
        <f t="shared" si="19"/>
        <v>0</v>
      </c>
      <c r="N79" s="45">
        <f t="shared" si="20"/>
        <v>0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143">
        <f t="shared" si="22"/>
        <v>0</v>
      </c>
    </row>
    <row r="80" spans="6:45" x14ac:dyDescent="0.15">
      <c r="F80" s="67" t="s">
        <v>928</v>
      </c>
      <c r="G80" s="212" t="s">
        <v>154</v>
      </c>
      <c r="H80" s="142" t="s">
        <v>155</v>
      </c>
      <c r="I80" s="45">
        <f t="shared" si="15"/>
        <v>0</v>
      </c>
      <c r="J80" s="45">
        <f t="shared" si="16"/>
        <v>0</v>
      </c>
      <c r="K80" s="45">
        <f t="shared" si="17"/>
        <v>0</v>
      </c>
      <c r="L80" s="45">
        <f t="shared" si="18"/>
        <v>0</v>
      </c>
      <c r="M80" s="45">
        <f t="shared" si="19"/>
        <v>0</v>
      </c>
      <c r="N80" s="45">
        <f t="shared" si="20"/>
        <v>0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143">
        <f t="shared" si="22"/>
        <v>0</v>
      </c>
    </row>
    <row r="81" spans="6:45" x14ac:dyDescent="0.15">
      <c r="F81" s="67" t="s">
        <v>932</v>
      </c>
      <c r="G81" s="211" t="s">
        <v>156</v>
      </c>
      <c r="H81" s="144" t="s">
        <v>157</v>
      </c>
      <c r="I81" s="45">
        <f t="shared" si="15"/>
        <v>0</v>
      </c>
      <c r="J81" s="45">
        <f t="shared" si="16"/>
        <v>0</v>
      </c>
      <c r="K81" s="45">
        <f t="shared" si="17"/>
        <v>0</v>
      </c>
      <c r="L81" s="45">
        <f t="shared" si="18"/>
        <v>0</v>
      </c>
      <c r="M81" s="45">
        <f t="shared" si="19"/>
        <v>0</v>
      </c>
      <c r="N81" s="45">
        <f t="shared" si="20"/>
        <v>0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143">
        <f t="shared" si="22"/>
        <v>0</v>
      </c>
    </row>
    <row r="82" spans="6:45" x14ac:dyDescent="0.15">
      <c r="F82" s="67" t="s">
        <v>928</v>
      </c>
      <c r="G82" s="211" t="s">
        <v>158</v>
      </c>
      <c r="H82" s="144" t="s">
        <v>159</v>
      </c>
      <c r="I82" s="45">
        <f t="shared" si="15"/>
        <v>0</v>
      </c>
      <c r="J82" s="45">
        <f t="shared" si="16"/>
        <v>0</v>
      </c>
      <c r="K82" s="45">
        <f t="shared" si="17"/>
        <v>0</v>
      </c>
      <c r="L82" s="45">
        <f t="shared" si="18"/>
        <v>0</v>
      </c>
      <c r="M82" s="45">
        <f t="shared" si="19"/>
        <v>0</v>
      </c>
      <c r="N82" s="45">
        <f t="shared" si="20"/>
        <v>0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143">
        <f t="shared" si="22"/>
        <v>0</v>
      </c>
    </row>
    <row r="83" spans="6:45" x14ac:dyDescent="0.15">
      <c r="F83" s="67" t="s">
        <v>929</v>
      </c>
      <c r="G83" s="211" t="s">
        <v>160</v>
      </c>
      <c r="H83" s="142" t="s">
        <v>161</v>
      </c>
      <c r="I83" s="45">
        <f t="shared" si="15"/>
        <v>0</v>
      </c>
      <c r="J83" s="45">
        <f t="shared" si="16"/>
        <v>0</v>
      </c>
      <c r="K83" s="45">
        <f t="shared" si="17"/>
        <v>0</v>
      </c>
      <c r="L83" s="45">
        <f t="shared" si="18"/>
        <v>0</v>
      </c>
      <c r="M83" s="45">
        <f t="shared" si="19"/>
        <v>0</v>
      </c>
      <c r="N83" s="45">
        <f t="shared" si="20"/>
        <v>0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143">
        <f t="shared" si="22"/>
        <v>0</v>
      </c>
    </row>
    <row r="84" spans="6:45" x14ac:dyDescent="0.15">
      <c r="F84" s="67" t="s">
        <v>928</v>
      </c>
      <c r="G84" s="211" t="s">
        <v>162</v>
      </c>
      <c r="H84" s="144" t="s">
        <v>163</v>
      </c>
      <c r="I84" s="45">
        <f t="shared" si="15"/>
        <v>0</v>
      </c>
      <c r="J84" s="45">
        <f t="shared" si="16"/>
        <v>0</v>
      </c>
      <c r="K84" s="45">
        <f t="shared" si="17"/>
        <v>0</v>
      </c>
      <c r="L84" s="45">
        <f t="shared" si="18"/>
        <v>0</v>
      </c>
      <c r="M84" s="45">
        <f t="shared" si="19"/>
        <v>0</v>
      </c>
      <c r="N84" s="45">
        <f t="shared" si="20"/>
        <v>0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143">
        <f t="shared" si="22"/>
        <v>0</v>
      </c>
    </row>
    <row r="85" spans="6:45" x14ac:dyDescent="0.15">
      <c r="F85" s="67" t="s">
        <v>930</v>
      </c>
      <c r="G85" s="211" t="s">
        <v>164</v>
      </c>
      <c r="H85" s="144" t="s">
        <v>165</v>
      </c>
      <c r="I85" s="45">
        <f t="shared" si="15"/>
        <v>0</v>
      </c>
      <c r="J85" s="45">
        <f t="shared" si="16"/>
        <v>0</v>
      </c>
      <c r="K85" s="45">
        <f t="shared" si="17"/>
        <v>0</v>
      </c>
      <c r="L85" s="45">
        <f t="shared" si="18"/>
        <v>0</v>
      </c>
      <c r="M85" s="45">
        <f t="shared" si="19"/>
        <v>0</v>
      </c>
      <c r="N85" s="45">
        <f t="shared" si="20"/>
        <v>0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143">
        <f t="shared" si="22"/>
        <v>0</v>
      </c>
    </row>
    <row r="86" spans="6:45" x14ac:dyDescent="0.15">
      <c r="F86" s="67" t="s">
        <v>931</v>
      </c>
      <c r="G86" s="211" t="s">
        <v>166</v>
      </c>
      <c r="H86" s="142" t="s">
        <v>167</v>
      </c>
      <c r="I86" s="45">
        <f t="shared" si="15"/>
        <v>0</v>
      </c>
      <c r="J86" s="45">
        <f t="shared" si="16"/>
        <v>0</v>
      </c>
      <c r="K86" s="45">
        <f t="shared" si="17"/>
        <v>0</v>
      </c>
      <c r="L86" s="45">
        <f t="shared" si="18"/>
        <v>0</v>
      </c>
      <c r="M86" s="45">
        <f t="shared" si="19"/>
        <v>0</v>
      </c>
      <c r="N86" s="45">
        <f t="shared" si="20"/>
        <v>0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143">
        <f t="shared" si="22"/>
        <v>0</v>
      </c>
    </row>
    <row r="87" spans="6:45" x14ac:dyDescent="0.15">
      <c r="F87" s="67" t="s">
        <v>930</v>
      </c>
      <c r="G87" s="211" t="s">
        <v>168</v>
      </c>
      <c r="H87" s="144" t="s">
        <v>169</v>
      </c>
      <c r="I87" s="45">
        <f t="shared" si="15"/>
        <v>0</v>
      </c>
      <c r="J87" s="45">
        <f t="shared" si="16"/>
        <v>0</v>
      </c>
      <c r="K87" s="45">
        <f t="shared" si="17"/>
        <v>0</v>
      </c>
      <c r="L87" s="45">
        <f t="shared" si="18"/>
        <v>0</v>
      </c>
      <c r="M87" s="45">
        <f t="shared" si="19"/>
        <v>0</v>
      </c>
      <c r="N87" s="45">
        <f t="shared" si="20"/>
        <v>0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143">
        <f t="shared" si="22"/>
        <v>0</v>
      </c>
    </row>
    <row r="88" spans="6:45" x14ac:dyDescent="0.15">
      <c r="F88" s="67" t="s">
        <v>930</v>
      </c>
      <c r="G88" s="211" t="s">
        <v>170</v>
      </c>
      <c r="H88" s="144" t="s">
        <v>171</v>
      </c>
      <c r="I88" s="45">
        <f t="shared" si="15"/>
        <v>0</v>
      </c>
      <c r="J88" s="45">
        <f t="shared" si="16"/>
        <v>0</v>
      </c>
      <c r="K88" s="45">
        <f t="shared" si="17"/>
        <v>0</v>
      </c>
      <c r="L88" s="45">
        <f t="shared" si="18"/>
        <v>0</v>
      </c>
      <c r="M88" s="45">
        <f t="shared" si="19"/>
        <v>0</v>
      </c>
      <c r="N88" s="45">
        <f t="shared" si="20"/>
        <v>0</v>
      </c>
      <c r="O88" s="46">
        <f t="shared" ref="O88:AR88" si="23">SUM(O89:O90)</f>
        <v>0</v>
      </c>
      <c r="P88" s="46">
        <f t="shared" si="23"/>
        <v>0</v>
      </c>
      <c r="Q88" s="46">
        <f t="shared" si="23"/>
        <v>0</v>
      </c>
      <c r="R88" s="46">
        <f t="shared" si="23"/>
        <v>0</v>
      </c>
      <c r="S88" s="46">
        <f t="shared" si="23"/>
        <v>0</v>
      </c>
      <c r="T88" s="46">
        <f t="shared" si="23"/>
        <v>0</v>
      </c>
      <c r="U88" s="46">
        <f t="shared" si="23"/>
        <v>0</v>
      </c>
      <c r="V88" s="46">
        <f t="shared" si="23"/>
        <v>0</v>
      </c>
      <c r="W88" s="46">
        <f t="shared" si="23"/>
        <v>0</v>
      </c>
      <c r="X88" s="46">
        <f t="shared" si="23"/>
        <v>0</v>
      </c>
      <c r="Y88" s="46">
        <f t="shared" si="23"/>
        <v>0</v>
      </c>
      <c r="Z88" s="46">
        <f t="shared" si="23"/>
        <v>0</v>
      </c>
      <c r="AA88" s="46">
        <f t="shared" si="23"/>
        <v>0</v>
      </c>
      <c r="AB88" s="46">
        <f t="shared" si="23"/>
        <v>0</v>
      </c>
      <c r="AC88" s="46">
        <f t="shared" si="23"/>
        <v>0</v>
      </c>
      <c r="AD88" s="46">
        <f t="shared" si="23"/>
        <v>0</v>
      </c>
      <c r="AE88" s="46">
        <f t="shared" si="23"/>
        <v>0</v>
      </c>
      <c r="AF88" s="46">
        <f t="shared" si="23"/>
        <v>0</v>
      </c>
      <c r="AG88" s="46">
        <f t="shared" si="23"/>
        <v>0</v>
      </c>
      <c r="AH88" s="46">
        <f t="shared" si="23"/>
        <v>0</v>
      </c>
      <c r="AI88" s="46">
        <f t="shared" si="23"/>
        <v>0</v>
      </c>
      <c r="AJ88" s="46">
        <f t="shared" si="23"/>
        <v>0</v>
      </c>
      <c r="AK88" s="46">
        <f t="shared" si="23"/>
        <v>0</v>
      </c>
      <c r="AL88" s="46">
        <f t="shared" si="23"/>
        <v>0</v>
      </c>
      <c r="AM88" s="46">
        <f t="shared" si="23"/>
        <v>0</v>
      </c>
      <c r="AN88" s="46">
        <f t="shared" si="23"/>
        <v>0</v>
      </c>
      <c r="AO88" s="46">
        <f t="shared" si="23"/>
        <v>0</v>
      </c>
      <c r="AP88" s="46">
        <f t="shared" si="23"/>
        <v>0</v>
      </c>
      <c r="AQ88" s="46">
        <f t="shared" si="23"/>
        <v>0</v>
      </c>
      <c r="AR88" s="46">
        <f t="shared" si="23"/>
        <v>0</v>
      </c>
      <c r="AS88" s="143">
        <f t="shared" si="22"/>
        <v>0</v>
      </c>
    </row>
    <row r="89" spans="6:45" ht="21" x14ac:dyDescent="0.15">
      <c r="F89" s="67" t="s">
        <v>930</v>
      </c>
      <c r="G89" s="212" t="s">
        <v>172</v>
      </c>
      <c r="H89" s="142" t="s">
        <v>173</v>
      </c>
      <c r="I89" s="45">
        <f t="shared" si="15"/>
        <v>0</v>
      </c>
      <c r="J89" s="45">
        <f t="shared" si="16"/>
        <v>0</v>
      </c>
      <c r="K89" s="45">
        <f t="shared" si="17"/>
        <v>0</v>
      </c>
      <c r="L89" s="45">
        <f t="shared" si="18"/>
        <v>0</v>
      </c>
      <c r="M89" s="45">
        <f t="shared" si="19"/>
        <v>0</v>
      </c>
      <c r="N89" s="45">
        <f t="shared" si="20"/>
        <v>0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143">
        <f t="shared" si="22"/>
        <v>0</v>
      </c>
    </row>
    <row r="90" spans="6:45" ht="21" x14ac:dyDescent="0.15">
      <c r="F90" s="67" t="s">
        <v>930</v>
      </c>
      <c r="G90" s="212" t="s">
        <v>174</v>
      </c>
      <c r="H90" s="144" t="s">
        <v>175</v>
      </c>
      <c r="I90" s="45">
        <f t="shared" si="15"/>
        <v>0</v>
      </c>
      <c r="J90" s="45">
        <f t="shared" si="16"/>
        <v>0</v>
      </c>
      <c r="K90" s="45">
        <f t="shared" si="17"/>
        <v>0</v>
      </c>
      <c r="L90" s="45">
        <f t="shared" si="18"/>
        <v>0</v>
      </c>
      <c r="M90" s="45">
        <f t="shared" si="19"/>
        <v>0</v>
      </c>
      <c r="N90" s="45">
        <f t="shared" si="20"/>
        <v>0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143">
        <f t="shared" si="22"/>
        <v>0</v>
      </c>
    </row>
    <row r="91" spans="6:45" x14ac:dyDescent="0.15">
      <c r="F91" s="67" t="s">
        <v>931</v>
      </c>
      <c r="G91" s="211" t="s">
        <v>176</v>
      </c>
      <c r="H91" s="144" t="s">
        <v>177</v>
      </c>
      <c r="I91" s="45">
        <f t="shared" si="15"/>
        <v>0</v>
      </c>
      <c r="J91" s="45">
        <f t="shared" si="16"/>
        <v>0</v>
      </c>
      <c r="K91" s="45">
        <f t="shared" si="17"/>
        <v>0</v>
      </c>
      <c r="L91" s="45">
        <f t="shared" si="18"/>
        <v>0</v>
      </c>
      <c r="M91" s="45">
        <f t="shared" si="19"/>
        <v>0</v>
      </c>
      <c r="N91" s="45">
        <f t="shared" si="20"/>
        <v>0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143">
        <f t="shared" si="22"/>
        <v>0</v>
      </c>
    </row>
    <row r="92" spans="6:45" x14ac:dyDescent="0.15">
      <c r="F92" s="67" t="s">
        <v>928</v>
      </c>
      <c r="G92" s="211" t="s">
        <v>178</v>
      </c>
      <c r="H92" s="142" t="s">
        <v>179</v>
      </c>
      <c r="I92" s="45">
        <f t="shared" si="15"/>
        <v>0</v>
      </c>
      <c r="J92" s="45">
        <f t="shared" si="16"/>
        <v>0</v>
      </c>
      <c r="K92" s="45">
        <f t="shared" si="17"/>
        <v>0</v>
      </c>
      <c r="L92" s="45">
        <f t="shared" si="18"/>
        <v>0</v>
      </c>
      <c r="M92" s="45">
        <f t="shared" si="19"/>
        <v>0</v>
      </c>
      <c r="N92" s="45">
        <f t="shared" si="20"/>
        <v>0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143">
        <f t="shared" si="22"/>
        <v>0</v>
      </c>
    </row>
    <row r="93" spans="6:45" x14ac:dyDescent="0.15">
      <c r="F93" s="67" t="s">
        <v>928</v>
      </c>
      <c r="G93" s="211" t="s">
        <v>180</v>
      </c>
      <c r="H93" s="144" t="s">
        <v>181</v>
      </c>
      <c r="I93" s="45">
        <f t="shared" si="15"/>
        <v>0</v>
      </c>
      <c r="J93" s="45">
        <f t="shared" si="16"/>
        <v>0</v>
      </c>
      <c r="K93" s="45">
        <f t="shared" si="17"/>
        <v>0</v>
      </c>
      <c r="L93" s="45">
        <f t="shared" si="18"/>
        <v>0</v>
      </c>
      <c r="M93" s="45">
        <f t="shared" si="19"/>
        <v>0</v>
      </c>
      <c r="N93" s="45">
        <f t="shared" si="20"/>
        <v>0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143">
        <f t="shared" si="22"/>
        <v>0</v>
      </c>
    </row>
    <row r="94" spans="6:45" x14ac:dyDescent="0.15">
      <c r="F94" s="67" t="s">
        <v>928</v>
      </c>
      <c r="G94" s="211" t="s">
        <v>182</v>
      </c>
      <c r="H94" s="144" t="s">
        <v>183</v>
      </c>
      <c r="I94" s="45">
        <f t="shared" si="15"/>
        <v>0</v>
      </c>
      <c r="J94" s="45">
        <f t="shared" si="16"/>
        <v>0</v>
      </c>
      <c r="K94" s="45">
        <f t="shared" si="17"/>
        <v>0</v>
      </c>
      <c r="L94" s="45">
        <f t="shared" si="18"/>
        <v>0</v>
      </c>
      <c r="M94" s="45">
        <f t="shared" si="19"/>
        <v>0</v>
      </c>
      <c r="N94" s="45">
        <f t="shared" si="20"/>
        <v>0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143">
        <f t="shared" si="22"/>
        <v>0</v>
      </c>
    </row>
    <row r="95" spans="6:45" x14ac:dyDescent="0.15">
      <c r="F95" s="67" t="s">
        <v>930</v>
      </c>
      <c r="G95" s="211" t="s">
        <v>184</v>
      </c>
      <c r="H95" s="142" t="s">
        <v>185</v>
      </c>
      <c r="I95" s="45">
        <f t="shared" si="15"/>
        <v>0</v>
      </c>
      <c r="J95" s="45">
        <f t="shared" si="16"/>
        <v>0</v>
      </c>
      <c r="K95" s="45">
        <f t="shared" si="17"/>
        <v>0</v>
      </c>
      <c r="L95" s="45">
        <f t="shared" si="18"/>
        <v>0</v>
      </c>
      <c r="M95" s="45">
        <f t="shared" si="19"/>
        <v>0</v>
      </c>
      <c r="N95" s="45">
        <f t="shared" si="20"/>
        <v>0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143">
        <f t="shared" si="22"/>
        <v>0</v>
      </c>
    </row>
    <row r="96" spans="6:45" x14ac:dyDescent="0.15">
      <c r="F96" s="67" t="s">
        <v>928</v>
      </c>
      <c r="G96" s="211" t="s">
        <v>186</v>
      </c>
      <c r="H96" s="144" t="s">
        <v>187</v>
      </c>
      <c r="I96" s="45">
        <f t="shared" si="15"/>
        <v>0</v>
      </c>
      <c r="J96" s="45">
        <f t="shared" si="16"/>
        <v>0</v>
      </c>
      <c r="K96" s="45">
        <f t="shared" si="17"/>
        <v>0</v>
      </c>
      <c r="L96" s="45">
        <f t="shared" si="18"/>
        <v>0</v>
      </c>
      <c r="M96" s="45">
        <f t="shared" si="19"/>
        <v>0</v>
      </c>
      <c r="N96" s="45">
        <f t="shared" si="20"/>
        <v>0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143">
        <f t="shared" si="22"/>
        <v>0</v>
      </c>
    </row>
    <row r="97" spans="6:45" x14ac:dyDescent="0.15">
      <c r="F97" s="67" t="s">
        <v>928</v>
      </c>
      <c r="G97" s="211" t="s">
        <v>188</v>
      </c>
      <c r="H97" s="144" t="s">
        <v>189</v>
      </c>
      <c r="I97" s="45">
        <f t="shared" si="15"/>
        <v>0</v>
      </c>
      <c r="J97" s="45">
        <f t="shared" si="16"/>
        <v>0</v>
      </c>
      <c r="K97" s="45">
        <f t="shared" si="17"/>
        <v>0</v>
      </c>
      <c r="L97" s="45">
        <f t="shared" si="18"/>
        <v>0</v>
      </c>
      <c r="M97" s="45">
        <f t="shared" si="19"/>
        <v>0</v>
      </c>
      <c r="N97" s="45">
        <f t="shared" si="20"/>
        <v>0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143">
        <f t="shared" si="22"/>
        <v>0</v>
      </c>
    </row>
    <row r="98" spans="6:45" x14ac:dyDescent="0.15">
      <c r="F98" s="67" t="s">
        <v>928</v>
      </c>
      <c r="G98" s="211" t="s">
        <v>190</v>
      </c>
      <c r="H98" s="142" t="s">
        <v>191</v>
      </c>
      <c r="I98" s="45">
        <f t="shared" si="15"/>
        <v>0</v>
      </c>
      <c r="J98" s="45">
        <f t="shared" si="16"/>
        <v>0</v>
      </c>
      <c r="K98" s="45">
        <f t="shared" si="17"/>
        <v>0</v>
      </c>
      <c r="L98" s="45">
        <f t="shared" si="18"/>
        <v>0</v>
      </c>
      <c r="M98" s="45">
        <f t="shared" si="19"/>
        <v>0</v>
      </c>
      <c r="N98" s="45">
        <f t="shared" si="20"/>
        <v>0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143">
        <f t="shared" si="22"/>
        <v>0</v>
      </c>
    </row>
    <row r="99" spans="6:45" x14ac:dyDescent="0.15">
      <c r="F99" s="67" t="s">
        <v>928</v>
      </c>
      <c r="G99" s="211" t="s">
        <v>192</v>
      </c>
      <c r="H99" s="144" t="s">
        <v>193</v>
      </c>
      <c r="I99" s="45">
        <f t="shared" si="15"/>
        <v>0</v>
      </c>
      <c r="J99" s="45">
        <f t="shared" si="16"/>
        <v>0</v>
      </c>
      <c r="K99" s="45">
        <f t="shared" si="17"/>
        <v>0</v>
      </c>
      <c r="L99" s="45">
        <f t="shared" si="18"/>
        <v>0</v>
      </c>
      <c r="M99" s="45">
        <f t="shared" si="19"/>
        <v>0</v>
      </c>
      <c r="N99" s="45">
        <f t="shared" si="20"/>
        <v>0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143">
        <f t="shared" si="22"/>
        <v>0</v>
      </c>
    </row>
    <row r="100" spans="6:45" x14ac:dyDescent="0.15">
      <c r="F100" s="67" t="s">
        <v>928</v>
      </c>
      <c r="G100" s="211" t="s">
        <v>194</v>
      </c>
      <c r="H100" s="144" t="s">
        <v>195</v>
      </c>
      <c r="I100" s="45">
        <f t="shared" si="15"/>
        <v>0</v>
      </c>
      <c r="J100" s="45">
        <f t="shared" si="16"/>
        <v>0</v>
      </c>
      <c r="K100" s="45">
        <f t="shared" si="17"/>
        <v>0</v>
      </c>
      <c r="L100" s="45">
        <f t="shared" si="18"/>
        <v>0</v>
      </c>
      <c r="M100" s="45">
        <f t="shared" si="19"/>
        <v>0</v>
      </c>
      <c r="N100" s="45">
        <f t="shared" si="20"/>
        <v>0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143">
        <f t="shared" si="22"/>
        <v>0</v>
      </c>
    </row>
    <row r="101" spans="6:45" x14ac:dyDescent="0.15">
      <c r="F101" s="67" t="s">
        <v>932</v>
      </c>
      <c r="G101" s="211" t="s">
        <v>196</v>
      </c>
      <c r="H101" s="142" t="s">
        <v>197</v>
      </c>
      <c r="I101" s="45">
        <f t="shared" si="15"/>
        <v>0</v>
      </c>
      <c r="J101" s="45">
        <f t="shared" si="16"/>
        <v>0</v>
      </c>
      <c r="K101" s="45">
        <f t="shared" si="17"/>
        <v>0</v>
      </c>
      <c r="L101" s="45">
        <f t="shared" si="18"/>
        <v>0</v>
      </c>
      <c r="M101" s="45">
        <f t="shared" si="19"/>
        <v>0</v>
      </c>
      <c r="N101" s="45">
        <f t="shared" si="20"/>
        <v>0</v>
      </c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143">
        <f t="shared" si="22"/>
        <v>0</v>
      </c>
    </row>
    <row r="102" spans="6:45" x14ac:dyDescent="0.15">
      <c r="F102" s="67" t="s">
        <v>929</v>
      </c>
      <c r="G102" s="211" t="s">
        <v>198</v>
      </c>
      <c r="H102" s="144" t="s">
        <v>199</v>
      </c>
      <c r="I102" s="45">
        <f t="shared" si="15"/>
        <v>0</v>
      </c>
      <c r="J102" s="45">
        <f t="shared" si="16"/>
        <v>0</v>
      </c>
      <c r="K102" s="45">
        <f t="shared" si="17"/>
        <v>0</v>
      </c>
      <c r="L102" s="45">
        <f t="shared" si="18"/>
        <v>0</v>
      </c>
      <c r="M102" s="45">
        <f t="shared" si="19"/>
        <v>0</v>
      </c>
      <c r="N102" s="45">
        <f t="shared" si="20"/>
        <v>0</v>
      </c>
      <c r="O102" s="46">
        <f t="shared" ref="O102:AR102" si="24">SUM(O103:O104)</f>
        <v>0</v>
      </c>
      <c r="P102" s="46">
        <f t="shared" si="24"/>
        <v>0</v>
      </c>
      <c r="Q102" s="46">
        <f t="shared" si="24"/>
        <v>0</v>
      </c>
      <c r="R102" s="46">
        <f t="shared" si="24"/>
        <v>0</v>
      </c>
      <c r="S102" s="46">
        <f t="shared" si="24"/>
        <v>0</v>
      </c>
      <c r="T102" s="46">
        <f t="shared" si="24"/>
        <v>0</v>
      </c>
      <c r="U102" s="46">
        <f t="shared" si="24"/>
        <v>0</v>
      </c>
      <c r="V102" s="46">
        <f t="shared" si="24"/>
        <v>0</v>
      </c>
      <c r="W102" s="46">
        <f t="shared" si="24"/>
        <v>0</v>
      </c>
      <c r="X102" s="46">
        <f t="shared" si="24"/>
        <v>0</v>
      </c>
      <c r="Y102" s="46">
        <f t="shared" si="24"/>
        <v>0</v>
      </c>
      <c r="Z102" s="46">
        <f t="shared" si="24"/>
        <v>0</v>
      </c>
      <c r="AA102" s="46">
        <f t="shared" si="24"/>
        <v>0</v>
      </c>
      <c r="AB102" s="46">
        <f t="shared" si="24"/>
        <v>0</v>
      </c>
      <c r="AC102" s="46">
        <f t="shared" si="24"/>
        <v>0</v>
      </c>
      <c r="AD102" s="46">
        <f t="shared" si="24"/>
        <v>0</v>
      </c>
      <c r="AE102" s="46">
        <f t="shared" si="24"/>
        <v>0</v>
      </c>
      <c r="AF102" s="46">
        <f t="shared" si="24"/>
        <v>0</v>
      </c>
      <c r="AG102" s="46">
        <f t="shared" si="24"/>
        <v>0</v>
      </c>
      <c r="AH102" s="46">
        <f t="shared" si="24"/>
        <v>0</v>
      </c>
      <c r="AI102" s="46">
        <f t="shared" si="24"/>
        <v>0</v>
      </c>
      <c r="AJ102" s="46">
        <f t="shared" si="24"/>
        <v>0</v>
      </c>
      <c r="AK102" s="46">
        <f t="shared" si="24"/>
        <v>0</v>
      </c>
      <c r="AL102" s="46">
        <f t="shared" si="24"/>
        <v>0</v>
      </c>
      <c r="AM102" s="46">
        <f t="shared" si="24"/>
        <v>0</v>
      </c>
      <c r="AN102" s="46">
        <f t="shared" si="24"/>
        <v>0</v>
      </c>
      <c r="AO102" s="46">
        <f t="shared" si="24"/>
        <v>0</v>
      </c>
      <c r="AP102" s="46">
        <f t="shared" si="24"/>
        <v>0</v>
      </c>
      <c r="AQ102" s="46">
        <f t="shared" si="24"/>
        <v>0</v>
      </c>
      <c r="AR102" s="46">
        <f t="shared" si="24"/>
        <v>0</v>
      </c>
      <c r="AS102" s="143">
        <f t="shared" si="22"/>
        <v>0</v>
      </c>
    </row>
    <row r="103" spans="6:45" ht="21" x14ac:dyDescent="0.15">
      <c r="F103" s="67" t="s">
        <v>929</v>
      </c>
      <c r="G103" s="212" t="s">
        <v>869</v>
      </c>
      <c r="H103" s="144" t="s">
        <v>200</v>
      </c>
      <c r="I103" s="45">
        <f t="shared" si="15"/>
        <v>0</v>
      </c>
      <c r="J103" s="45">
        <f t="shared" si="16"/>
        <v>0</v>
      </c>
      <c r="K103" s="45">
        <f t="shared" si="17"/>
        <v>0</v>
      </c>
      <c r="L103" s="45">
        <f t="shared" si="18"/>
        <v>0</v>
      </c>
      <c r="M103" s="45">
        <f t="shared" si="19"/>
        <v>0</v>
      </c>
      <c r="N103" s="45">
        <f t="shared" si="20"/>
        <v>0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143">
        <f t="shared" si="22"/>
        <v>0</v>
      </c>
    </row>
    <row r="104" spans="6:45" x14ac:dyDescent="0.15">
      <c r="F104" s="67" t="s">
        <v>929</v>
      </c>
      <c r="G104" s="212" t="s">
        <v>863</v>
      </c>
      <c r="H104" s="142" t="s">
        <v>201</v>
      </c>
      <c r="I104" s="45">
        <f t="shared" si="15"/>
        <v>0</v>
      </c>
      <c r="J104" s="45">
        <f t="shared" si="16"/>
        <v>0</v>
      </c>
      <c r="K104" s="45">
        <f t="shared" si="17"/>
        <v>0</v>
      </c>
      <c r="L104" s="45">
        <f t="shared" si="18"/>
        <v>0</v>
      </c>
      <c r="M104" s="45">
        <f t="shared" si="19"/>
        <v>0</v>
      </c>
      <c r="N104" s="45">
        <f t="shared" si="20"/>
        <v>0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143">
        <f t="shared" si="22"/>
        <v>0</v>
      </c>
    </row>
    <row r="105" spans="6:45" x14ac:dyDescent="0.15">
      <c r="F105" s="67" t="s">
        <v>928</v>
      </c>
      <c r="G105" s="211" t="s">
        <v>202</v>
      </c>
      <c r="H105" s="144" t="s">
        <v>203</v>
      </c>
      <c r="I105" s="45">
        <f t="shared" si="15"/>
        <v>0</v>
      </c>
      <c r="J105" s="45">
        <f t="shared" si="16"/>
        <v>0</v>
      </c>
      <c r="K105" s="45">
        <f t="shared" si="17"/>
        <v>0</v>
      </c>
      <c r="L105" s="45">
        <f t="shared" si="18"/>
        <v>0</v>
      </c>
      <c r="M105" s="45">
        <f t="shared" si="19"/>
        <v>0</v>
      </c>
      <c r="N105" s="45">
        <f t="shared" si="20"/>
        <v>0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143">
        <f t="shared" si="22"/>
        <v>0</v>
      </c>
    </row>
    <row r="106" spans="6:45" x14ac:dyDescent="0.15">
      <c r="F106" s="67" t="s">
        <v>928</v>
      </c>
      <c r="G106" s="211" t="s">
        <v>204</v>
      </c>
      <c r="H106" s="144" t="s">
        <v>205</v>
      </c>
      <c r="I106" s="45">
        <f t="shared" si="15"/>
        <v>0</v>
      </c>
      <c r="J106" s="45">
        <f t="shared" si="16"/>
        <v>0</v>
      </c>
      <c r="K106" s="45">
        <f t="shared" si="17"/>
        <v>0</v>
      </c>
      <c r="L106" s="45">
        <f t="shared" si="18"/>
        <v>0</v>
      </c>
      <c r="M106" s="45">
        <f t="shared" si="19"/>
        <v>0</v>
      </c>
      <c r="N106" s="45">
        <f t="shared" si="20"/>
        <v>0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143">
        <f t="shared" si="22"/>
        <v>0</v>
      </c>
    </row>
    <row r="107" spans="6:45" x14ac:dyDescent="0.15">
      <c r="F107" s="67" t="s">
        <v>928</v>
      </c>
      <c r="G107" s="211" t="s">
        <v>206</v>
      </c>
      <c r="H107" s="142" t="s">
        <v>207</v>
      </c>
      <c r="I107" s="45">
        <f t="shared" si="15"/>
        <v>0</v>
      </c>
      <c r="J107" s="45">
        <f t="shared" si="16"/>
        <v>0</v>
      </c>
      <c r="K107" s="45">
        <f t="shared" si="17"/>
        <v>0</v>
      </c>
      <c r="L107" s="45">
        <f t="shared" si="18"/>
        <v>0</v>
      </c>
      <c r="M107" s="45">
        <f t="shared" si="19"/>
        <v>0</v>
      </c>
      <c r="N107" s="45">
        <f t="shared" si="20"/>
        <v>0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143">
        <f t="shared" si="22"/>
        <v>0</v>
      </c>
    </row>
    <row r="108" spans="6:45" x14ac:dyDescent="0.15">
      <c r="F108" s="67" t="s">
        <v>928</v>
      </c>
      <c r="G108" s="211" t="s">
        <v>208</v>
      </c>
      <c r="H108" s="144" t="s">
        <v>209</v>
      </c>
      <c r="I108" s="45">
        <f t="shared" si="15"/>
        <v>0</v>
      </c>
      <c r="J108" s="45">
        <f t="shared" si="16"/>
        <v>0</v>
      </c>
      <c r="K108" s="45">
        <f t="shared" si="17"/>
        <v>0</v>
      </c>
      <c r="L108" s="45">
        <f t="shared" si="18"/>
        <v>0</v>
      </c>
      <c r="M108" s="45">
        <f t="shared" si="19"/>
        <v>0</v>
      </c>
      <c r="N108" s="45">
        <f t="shared" si="20"/>
        <v>0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143">
        <f t="shared" si="22"/>
        <v>0</v>
      </c>
    </row>
    <row r="109" spans="6:45" x14ac:dyDescent="0.15">
      <c r="F109" s="67" t="s">
        <v>931</v>
      </c>
      <c r="G109" s="211" t="s">
        <v>210</v>
      </c>
      <c r="H109" s="144" t="s">
        <v>211</v>
      </c>
      <c r="I109" s="45">
        <f t="shared" si="15"/>
        <v>0</v>
      </c>
      <c r="J109" s="45">
        <f t="shared" si="16"/>
        <v>0</v>
      </c>
      <c r="K109" s="45">
        <f t="shared" si="17"/>
        <v>0</v>
      </c>
      <c r="L109" s="45">
        <f t="shared" si="18"/>
        <v>0</v>
      </c>
      <c r="M109" s="45">
        <f t="shared" si="19"/>
        <v>0</v>
      </c>
      <c r="N109" s="45">
        <f t="shared" si="20"/>
        <v>0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143">
        <f t="shared" si="22"/>
        <v>0</v>
      </c>
    </row>
    <row r="110" spans="6:45" x14ac:dyDescent="0.15">
      <c r="F110" s="67" t="s">
        <v>928</v>
      </c>
      <c r="G110" s="211" t="s">
        <v>212</v>
      </c>
      <c r="H110" s="142" t="s">
        <v>213</v>
      </c>
      <c r="I110" s="45">
        <f t="shared" si="15"/>
        <v>0</v>
      </c>
      <c r="J110" s="45">
        <f t="shared" si="16"/>
        <v>0</v>
      </c>
      <c r="K110" s="45">
        <f t="shared" si="17"/>
        <v>0</v>
      </c>
      <c r="L110" s="45">
        <f t="shared" si="18"/>
        <v>0</v>
      </c>
      <c r="M110" s="45">
        <f t="shared" si="19"/>
        <v>0</v>
      </c>
      <c r="N110" s="45">
        <f t="shared" si="20"/>
        <v>0</v>
      </c>
      <c r="O110" s="48">
        <f t="shared" ref="O110:AR110" si="25">SUM(O111:O117)</f>
        <v>0</v>
      </c>
      <c r="P110" s="48">
        <f t="shared" si="25"/>
        <v>0</v>
      </c>
      <c r="Q110" s="48">
        <f t="shared" si="25"/>
        <v>0</v>
      </c>
      <c r="R110" s="48">
        <f t="shared" si="25"/>
        <v>0</v>
      </c>
      <c r="S110" s="48">
        <f t="shared" si="25"/>
        <v>0</v>
      </c>
      <c r="T110" s="48">
        <f t="shared" si="25"/>
        <v>0</v>
      </c>
      <c r="U110" s="48">
        <f t="shared" si="25"/>
        <v>0</v>
      </c>
      <c r="V110" s="48">
        <f t="shared" si="25"/>
        <v>0</v>
      </c>
      <c r="W110" s="48">
        <f t="shared" si="25"/>
        <v>0</v>
      </c>
      <c r="X110" s="48">
        <f t="shared" si="25"/>
        <v>0</v>
      </c>
      <c r="Y110" s="48">
        <f t="shared" si="25"/>
        <v>0</v>
      </c>
      <c r="Z110" s="48">
        <f t="shared" si="25"/>
        <v>0</v>
      </c>
      <c r="AA110" s="48">
        <f t="shared" si="25"/>
        <v>0</v>
      </c>
      <c r="AB110" s="48">
        <f t="shared" si="25"/>
        <v>0</v>
      </c>
      <c r="AC110" s="48">
        <f t="shared" si="25"/>
        <v>0</v>
      </c>
      <c r="AD110" s="48">
        <f t="shared" si="25"/>
        <v>0</v>
      </c>
      <c r="AE110" s="48">
        <f t="shared" si="25"/>
        <v>0</v>
      </c>
      <c r="AF110" s="48">
        <f t="shared" si="25"/>
        <v>0</v>
      </c>
      <c r="AG110" s="48">
        <f t="shared" si="25"/>
        <v>0</v>
      </c>
      <c r="AH110" s="48">
        <f t="shared" si="25"/>
        <v>0</v>
      </c>
      <c r="AI110" s="48">
        <f t="shared" si="25"/>
        <v>0</v>
      </c>
      <c r="AJ110" s="48">
        <f t="shared" si="25"/>
        <v>0</v>
      </c>
      <c r="AK110" s="48">
        <f t="shared" si="25"/>
        <v>0</v>
      </c>
      <c r="AL110" s="48">
        <f t="shared" si="25"/>
        <v>0</v>
      </c>
      <c r="AM110" s="48">
        <f t="shared" si="25"/>
        <v>0</v>
      </c>
      <c r="AN110" s="48">
        <f t="shared" si="25"/>
        <v>0</v>
      </c>
      <c r="AO110" s="48">
        <f t="shared" si="25"/>
        <v>0</v>
      </c>
      <c r="AP110" s="48">
        <f t="shared" si="25"/>
        <v>0</v>
      </c>
      <c r="AQ110" s="48">
        <f t="shared" si="25"/>
        <v>0</v>
      </c>
      <c r="AR110" s="48">
        <f t="shared" si="25"/>
        <v>0</v>
      </c>
      <c r="AS110" s="143">
        <f t="shared" si="22"/>
        <v>0</v>
      </c>
    </row>
    <row r="111" spans="6:45" ht="21" x14ac:dyDescent="0.15">
      <c r="F111" s="67" t="s">
        <v>928</v>
      </c>
      <c r="G111" s="212" t="s">
        <v>214</v>
      </c>
      <c r="H111" s="144" t="s">
        <v>215</v>
      </c>
      <c r="I111" s="45">
        <f t="shared" si="15"/>
        <v>0</v>
      </c>
      <c r="J111" s="45">
        <f t="shared" si="16"/>
        <v>0</v>
      </c>
      <c r="K111" s="45">
        <f t="shared" si="17"/>
        <v>0</v>
      </c>
      <c r="L111" s="45">
        <f t="shared" si="18"/>
        <v>0</v>
      </c>
      <c r="M111" s="45">
        <f t="shared" si="19"/>
        <v>0</v>
      </c>
      <c r="N111" s="45">
        <f t="shared" si="20"/>
        <v>0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143">
        <f t="shared" si="22"/>
        <v>0</v>
      </c>
    </row>
    <row r="112" spans="6:45" x14ac:dyDescent="0.15">
      <c r="F112" s="67" t="s">
        <v>928</v>
      </c>
      <c r="G112" s="212" t="s">
        <v>216</v>
      </c>
      <c r="H112" s="144" t="s">
        <v>217</v>
      </c>
      <c r="I112" s="45">
        <f t="shared" si="15"/>
        <v>0</v>
      </c>
      <c r="J112" s="45">
        <f t="shared" si="16"/>
        <v>0</v>
      </c>
      <c r="K112" s="45">
        <f t="shared" si="17"/>
        <v>0</v>
      </c>
      <c r="L112" s="45">
        <f t="shared" si="18"/>
        <v>0</v>
      </c>
      <c r="M112" s="45">
        <f t="shared" si="19"/>
        <v>0</v>
      </c>
      <c r="N112" s="45">
        <f t="shared" si="20"/>
        <v>0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143">
        <f t="shared" si="22"/>
        <v>0</v>
      </c>
    </row>
    <row r="113" spans="6:45" x14ac:dyDescent="0.15">
      <c r="F113" s="67" t="s">
        <v>928</v>
      </c>
      <c r="G113" s="212" t="s">
        <v>218</v>
      </c>
      <c r="H113" s="142" t="s">
        <v>219</v>
      </c>
      <c r="I113" s="45">
        <f t="shared" si="15"/>
        <v>0</v>
      </c>
      <c r="J113" s="45">
        <f t="shared" si="16"/>
        <v>0</v>
      </c>
      <c r="K113" s="45">
        <f t="shared" si="17"/>
        <v>0</v>
      </c>
      <c r="L113" s="45">
        <f t="shared" si="18"/>
        <v>0</v>
      </c>
      <c r="M113" s="45">
        <f t="shared" si="19"/>
        <v>0</v>
      </c>
      <c r="N113" s="45">
        <f t="shared" si="20"/>
        <v>0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143">
        <f t="shared" si="22"/>
        <v>0</v>
      </c>
    </row>
    <row r="114" spans="6:45" x14ac:dyDescent="0.15">
      <c r="F114" s="67" t="s">
        <v>928</v>
      </c>
      <c r="G114" s="212" t="s">
        <v>220</v>
      </c>
      <c r="H114" s="144" t="s">
        <v>221</v>
      </c>
      <c r="I114" s="45">
        <f t="shared" si="15"/>
        <v>0</v>
      </c>
      <c r="J114" s="45">
        <f t="shared" si="16"/>
        <v>0</v>
      </c>
      <c r="K114" s="45">
        <f t="shared" si="17"/>
        <v>0</v>
      </c>
      <c r="L114" s="45">
        <f t="shared" si="18"/>
        <v>0</v>
      </c>
      <c r="M114" s="45">
        <f t="shared" si="19"/>
        <v>0</v>
      </c>
      <c r="N114" s="45">
        <f t="shared" si="20"/>
        <v>0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143">
        <f t="shared" si="22"/>
        <v>0</v>
      </c>
    </row>
    <row r="115" spans="6:45" x14ac:dyDescent="0.15">
      <c r="F115" s="67" t="s">
        <v>928</v>
      </c>
      <c r="G115" s="212" t="s">
        <v>222</v>
      </c>
      <c r="H115" s="144" t="s">
        <v>223</v>
      </c>
      <c r="I115" s="45">
        <f t="shared" si="15"/>
        <v>0</v>
      </c>
      <c r="J115" s="45">
        <f t="shared" si="16"/>
        <v>0</v>
      </c>
      <c r="K115" s="45">
        <f t="shared" si="17"/>
        <v>0</v>
      </c>
      <c r="L115" s="45">
        <f t="shared" si="18"/>
        <v>0</v>
      </c>
      <c r="M115" s="45">
        <f t="shared" si="19"/>
        <v>0</v>
      </c>
      <c r="N115" s="45">
        <f t="shared" si="20"/>
        <v>0</v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143">
        <f t="shared" si="22"/>
        <v>0</v>
      </c>
    </row>
    <row r="116" spans="6:45" x14ac:dyDescent="0.15">
      <c r="F116" s="67" t="s">
        <v>928</v>
      </c>
      <c r="G116" s="212" t="s">
        <v>154</v>
      </c>
      <c r="H116" s="142" t="s">
        <v>224</v>
      </c>
      <c r="I116" s="45">
        <f t="shared" si="15"/>
        <v>0</v>
      </c>
      <c r="J116" s="45">
        <f t="shared" si="16"/>
        <v>0</v>
      </c>
      <c r="K116" s="45">
        <f t="shared" si="17"/>
        <v>0</v>
      </c>
      <c r="L116" s="45">
        <f t="shared" si="18"/>
        <v>0</v>
      </c>
      <c r="M116" s="45">
        <f t="shared" si="19"/>
        <v>0</v>
      </c>
      <c r="N116" s="45">
        <f t="shared" si="20"/>
        <v>0</v>
      </c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143">
        <f t="shared" si="22"/>
        <v>0</v>
      </c>
    </row>
    <row r="117" spans="6:45" x14ac:dyDescent="0.15">
      <c r="F117" s="67" t="s">
        <v>928</v>
      </c>
      <c r="G117" s="212" t="s">
        <v>225</v>
      </c>
      <c r="H117" s="144" t="s">
        <v>226</v>
      </c>
      <c r="I117" s="45">
        <f t="shared" si="15"/>
        <v>0</v>
      </c>
      <c r="J117" s="45">
        <f t="shared" si="16"/>
        <v>0</v>
      </c>
      <c r="K117" s="45">
        <f t="shared" si="17"/>
        <v>0</v>
      </c>
      <c r="L117" s="45">
        <f t="shared" si="18"/>
        <v>0</v>
      </c>
      <c r="M117" s="45">
        <f t="shared" si="19"/>
        <v>0</v>
      </c>
      <c r="N117" s="45">
        <f t="shared" si="20"/>
        <v>0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143">
        <f t="shared" si="22"/>
        <v>0</v>
      </c>
    </row>
    <row r="118" spans="6:45" x14ac:dyDescent="0.15">
      <c r="F118" s="67" t="s">
        <v>930</v>
      </c>
      <c r="G118" s="211" t="s">
        <v>227</v>
      </c>
      <c r="H118" s="144" t="s">
        <v>228</v>
      </c>
      <c r="I118" s="45">
        <f t="shared" si="15"/>
        <v>0</v>
      </c>
      <c r="J118" s="45">
        <f t="shared" si="16"/>
        <v>0</v>
      </c>
      <c r="K118" s="45">
        <f t="shared" si="17"/>
        <v>0</v>
      </c>
      <c r="L118" s="45">
        <f t="shared" si="18"/>
        <v>0</v>
      </c>
      <c r="M118" s="45">
        <f t="shared" si="19"/>
        <v>0</v>
      </c>
      <c r="N118" s="45">
        <f t="shared" si="20"/>
        <v>0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143">
        <f t="shared" si="22"/>
        <v>0</v>
      </c>
    </row>
    <row r="119" spans="6:45" x14ac:dyDescent="0.15">
      <c r="F119" s="67" t="s">
        <v>929</v>
      </c>
      <c r="G119" s="211" t="s">
        <v>229</v>
      </c>
      <c r="H119" s="142" t="s">
        <v>230</v>
      </c>
      <c r="I119" s="45">
        <f t="shared" si="15"/>
        <v>0</v>
      </c>
      <c r="J119" s="45">
        <f t="shared" si="16"/>
        <v>0</v>
      </c>
      <c r="K119" s="45">
        <f t="shared" si="17"/>
        <v>0</v>
      </c>
      <c r="L119" s="45">
        <f t="shared" si="18"/>
        <v>0</v>
      </c>
      <c r="M119" s="45">
        <f t="shared" si="19"/>
        <v>0</v>
      </c>
      <c r="N119" s="45">
        <f t="shared" si="20"/>
        <v>0</v>
      </c>
      <c r="O119" s="46">
        <f t="shared" ref="O119:AR119" si="26">SUM(O120:O123)</f>
        <v>0</v>
      </c>
      <c r="P119" s="46">
        <f t="shared" si="26"/>
        <v>0</v>
      </c>
      <c r="Q119" s="46">
        <f t="shared" si="26"/>
        <v>0</v>
      </c>
      <c r="R119" s="46">
        <f t="shared" si="26"/>
        <v>0</v>
      </c>
      <c r="S119" s="46">
        <f t="shared" si="26"/>
        <v>0</v>
      </c>
      <c r="T119" s="46">
        <f t="shared" si="26"/>
        <v>0</v>
      </c>
      <c r="U119" s="46">
        <f t="shared" si="26"/>
        <v>0</v>
      </c>
      <c r="V119" s="46">
        <f t="shared" si="26"/>
        <v>0</v>
      </c>
      <c r="W119" s="46">
        <f t="shared" si="26"/>
        <v>0</v>
      </c>
      <c r="X119" s="46">
        <f t="shared" si="26"/>
        <v>0</v>
      </c>
      <c r="Y119" s="46">
        <f t="shared" si="26"/>
        <v>0</v>
      </c>
      <c r="Z119" s="46">
        <f t="shared" si="26"/>
        <v>0</v>
      </c>
      <c r="AA119" s="46">
        <f t="shared" si="26"/>
        <v>0</v>
      </c>
      <c r="AB119" s="46">
        <f t="shared" si="26"/>
        <v>0</v>
      </c>
      <c r="AC119" s="46">
        <f t="shared" si="26"/>
        <v>0</v>
      </c>
      <c r="AD119" s="46">
        <f t="shared" si="26"/>
        <v>0</v>
      </c>
      <c r="AE119" s="46">
        <f t="shared" si="26"/>
        <v>0</v>
      </c>
      <c r="AF119" s="46">
        <f t="shared" si="26"/>
        <v>0</v>
      </c>
      <c r="AG119" s="46">
        <f t="shared" si="26"/>
        <v>0</v>
      </c>
      <c r="AH119" s="46">
        <f t="shared" si="26"/>
        <v>0</v>
      </c>
      <c r="AI119" s="46">
        <f t="shared" si="26"/>
        <v>0</v>
      </c>
      <c r="AJ119" s="46">
        <f t="shared" si="26"/>
        <v>0</v>
      </c>
      <c r="AK119" s="46">
        <f t="shared" si="26"/>
        <v>0</v>
      </c>
      <c r="AL119" s="46">
        <f t="shared" si="26"/>
        <v>0</v>
      </c>
      <c r="AM119" s="46">
        <f t="shared" si="26"/>
        <v>0</v>
      </c>
      <c r="AN119" s="46">
        <f t="shared" si="26"/>
        <v>0</v>
      </c>
      <c r="AO119" s="46">
        <f t="shared" si="26"/>
        <v>0</v>
      </c>
      <c r="AP119" s="46">
        <f t="shared" si="26"/>
        <v>0</v>
      </c>
      <c r="AQ119" s="46">
        <f t="shared" si="26"/>
        <v>0</v>
      </c>
      <c r="AR119" s="46">
        <f t="shared" si="26"/>
        <v>0</v>
      </c>
      <c r="AS119" s="143">
        <f t="shared" si="22"/>
        <v>0</v>
      </c>
    </row>
    <row r="120" spans="6:45" ht="21" x14ac:dyDescent="0.15">
      <c r="F120" s="67" t="s">
        <v>929</v>
      </c>
      <c r="G120" s="212" t="s">
        <v>870</v>
      </c>
      <c r="H120" s="144" t="s">
        <v>231</v>
      </c>
      <c r="I120" s="45">
        <f t="shared" si="15"/>
        <v>0</v>
      </c>
      <c r="J120" s="45">
        <f t="shared" si="16"/>
        <v>0</v>
      </c>
      <c r="K120" s="45">
        <f t="shared" si="17"/>
        <v>0</v>
      </c>
      <c r="L120" s="45">
        <f t="shared" si="18"/>
        <v>0</v>
      </c>
      <c r="M120" s="45">
        <f t="shared" si="19"/>
        <v>0</v>
      </c>
      <c r="N120" s="45">
        <f t="shared" si="20"/>
        <v>0</v>
      </c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143">
        <f t="shared" si="22"/>
        <v>0</v>
      </c>
    </row>
    <row r="121" spans="6:45" x14ac:dyDescent="0.15">
      <c r="F121" s="67" t="s">
        <v>929</v>
      </c>
      <c r="G121" s="212" t="s">
        <v>232</v>
      </c>
      <c r="H121" s="144" t="s">
        <v>233</v>
      </c>
      <c r="I121" s="45">
        <f t="shared" si="15"/>
        <v>0</v>
      </c>
      <c r="J121" s="45">
        <f t="shared" si="16"/>
        <v>0</v>
      </c>
      <c r="K121" s="45">
        <f t="shared" si="17"/>
        <v>0</v>
      </c>
      <c r="L121" s="45">
        <f t="shared" si="18"/>
        <v>0</v>
      </c>
      <c r="M121" s="45">
        <f t="shared" si="19"/>
        <v>0</v>
      </c>
      <c r="N121" s="45">
        <f t="shared" si="20"/>
        <v>0</v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143">
        <f t="shared" si="22"/>
        <v>0</v>
      </c>
    </row>
    <row r="122" spans="6:45" x14ac:dyDescent="0.15">
      <c r="F122" s="67" t="s">
        <v>929</v>
      </c>
      <c r="G122" s="212" t="s">
        <v>234</v>
      </c>
      <c r="H122" s="142" t="s">
        <v>235</v>
      </c>
      <c r="I122" s="45">
        <f t="shared" si="15"/>
        <v>0</v>
      </c>
      <c r="J122" s="45">
        <f t="shared" si="16"/>
        <v>0</v>
      </c>
      <c r="K122" s="45">
        <f t="shared" si="17"/>
        <v>0</v>
      </c>
      <c r="L122" s="45">
        <f t="shared" si="18"/>
        <v>0</v>
      </c>
      <c r="M122" s="45">
        <f t="shared" si="19"/>
        <v>0</v>
      </c>
      <c r="N122" s="45">
        <f t="shared" si="20"/>
        <v>0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143">
        <f t="shared" si="22"/>
        <v>0</v>
      </c>
    </row>
    <row r="123" spans="6:45" ht="21" x14ac:dyDescent="0.15">
      <c r="F123" s="67" t="s">
        <v>929</v>
      </c>
      <c r="G123" s="212" t="s">
        <v>236</v>
      </c>
      <c r="H123" s="144" t="s">
        <v>237</v>
      </c>
      <c r="I123" s="45">
        <f t="shared" si="15"/>
        <v>0</v>
      </c>
      <c r="J123" s="45">
        <f t="shared" si="16"/>
        <v>0</v>
      </c>
      <c r="K123" s="45">
        <f t="shared" si="17"/>
        <v>0</v>
      </c>
      <c r="L123" s="45">
        <f t="shared" si="18"/>
        <v>0</v>
      </c>
      <c r="M123" s="45">
        <f t="shared" si="19"/>
        <v>0</v>
      </c>
      <c r="N123" s="45">
        <f t="shared" si="20"/>
        <v>0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143">
        <f t="shared" si="22"/>
        <v>0</v>
      </c>
    </row>
    <row r="124" spans="6:45" x14ac:dyDescent="0.15">
      <c r="F124" s="67" t="s">
        <v>928</v>
      </c>
      <c r="G124" s="211" t="s">
        <v>238</v>
      </c>
      <c r="H124" s="144" t="s">
        <v>239</v>
      </c>
      <c r="I124" s="45">
        <f t="shared" si="15"/>
        <v>0</v>
      </c>
      <c r="J124" s="45">
        <f t="shared" si="16"/>
        <v>0</v>
      </c>
      <c r="K124" s="45">
        <f t="shared" si="17"/>
        <v>0</v>
      </c>
      <c r="L124" s="45">
        <f t="shared" si="18"/>
        <v>0</v>
      </c>
      <c r="M124" s="45">
        <f t="shared" si="19"/>
        <v>0</v>
      </c>
      <c r="N124" s="45">
        <f t="shared" si="20"/>
        <v>0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143">
        <f t="shared" si="22"/>
        <v>0</v>
      </c>
    </row>
    <row r="125" spans="6:45" x14ac:dyDescent="0.15">
      <c r="F125" s="67" t="s">
        <v>928</v>
      </c>
      <c r="G125" s="211" t="s">
        <v>240</v>
      </c>
      <c r="H125" s="142" t="s">
        <v>241</v>
      </c>
      <c r="I125" s="45">
        <f t="shared" si="15"/>
        <v>0</v>
      </c>
      <c r="J125" s="45">
        <f t="shared" si="16"/>
        <v>0</v>
      </c>
      <c r="K125" s="45">
        <f t="shared" si="17"/>
        <v>0</v>
      </c>
      <c r="L125" s="45">
        <f t="shared" si="18"/>
        <v>0</v>
      </c>
      <c r="M125" s="45">
        <f t="shared" si="19"/>
        <v>0</v>
      </c>
      <c r="N125" s="45">
        <f t="shared" si="20"/>
        <v>0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143">
        <f t="shared" si="22"/>
        <v>0</v>
      </c>
    </row>
    <row r="126" spans="6:45" x14ac:dyDescent="0.15">
      <c r="F126" s="67" t="s">
        <v>928</v>
      </c>
      <c r="G126" s="211" t="s">
        <v>242</v>
      </c>
      <c r="H126" s="144" t="s">
        <v>243</v>
      </c>
      <c r="I126" s="45">
        <f t="shared" si="15"/>
        <v>0</v>
      </c>
      <c r="J126" s="45">
        <f t="shared" si="16"/>
        <v>0</v>
      </c>
      <c r="K126" s="45">
        <f t="shared" si="17"/>
        <v>0</v>
      </c>
      <c r="L126" s="45">
        <f t="shared" si="18"/>
        <v>0</v>
      </c>
      <c r="M126" s="45">
        <f t="shared" si="19"/>
        <v>0</v>
      </c>
      <c r="N126" s="45">
        <f t="shared" si="20"/>
        <v>0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143">
        <f t="shared" si="22"/>
        <v>0</v>
      </c>
    </row>
    <row r="127" spans="6:45" x14ac:dyDescent="0.15">
      <c r="F127" s="67" t="s">
        <v>928</v>
      </c>
      <c r="G127" s="211" t="s">
        <v>244</v>
      </c>
      <c r="H127" s="144" t="s">
        <v>245</v>
      </c>
      <c r="I127" s="45">
        <f t="shared" si="15"/>
        <v>0</v>
      </c>
      <c r="J127" s="45">
        <f t="shared" si="16"/>
        <v>0</v>
      </c>
      <c r="K127" s="45">
        <f t="shared" si="17"/>
        <v>0</v>
      </c>
      <c r="L127" s="45">
        <f t="shared" si="18"/>
        <v>0</v>
      </c>
      <c r="M127" s="45">
        <f t="shared" si="19"/>
        <v>0</v>
      </c>
      <c r="N127" s="45">
        <f t="shared" si="20"/>
        <v>0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143">
        <f t="shared" si="22"/>
        <v>0</v>
      </c>
    </row>
    <row r="128" spans="6:45" x14ac:dyDescent="0.15">
      <c r="F128" s="67" t="s">
        <v>928</v>
      </c>
      <c r="G128" s="211" t="s">
        <v>246</v>
      </c>
      <c r="H128" s="142" t="s">
        <v>247</v>
      </c>
      <c r="I128" s="45">
        <f t="shared" si="15"/>
        <v>0</v>
      </c>
      <c r="J128" s="45">
        <f t="shared" si="16"/>
        <v>0</v>
      </c>
      <c r="K128" s="45">
        <f t="shared" si="17"/>
        <v>0</v>
      </c>
      <c r="L128" s="45">
        <f t="shared" si="18"/>
        <v>0</v>
      </c>
      <c r="M128" s="45">
        <f t="shared" si="19"/>
        <v>0</v>
      </c>
      <c r="N128" s="45">
        <f t="shared" si="20"/>
        <v>0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143">
        <f t="shared" si="22"/>
        <v>0</v>
      </c>
    </row>
    <row r="129" spans="6:45" x14ac:dyDescent="0.15">
      <c r="F129" s="67" t="s">
        <v>930</v>
      </c>
      <c r="G129" s="211" t="s">
        <v>248</v>
      </c>
      <c r="H129" s="144" t="s">
        <v>249</v>
      </c>
      <c r="I129" s="45">
        <f t="shared" si="15"/>
        <v>0</v>
      </c>
      <c r="J129" s="45">
        <f t="shared" si="16"/>
        <v>0</v>
      </c>
      <c r="K129" s="45">
        <f t="shared" si="17"/>
        <v>0</v>
      </c>
      <c r="L129" s="45">
        <f t="shared" si="18"/>
        <v>0</v>
      </c>
      <c r="M129" s="45">
        <f t="shared" si="19"/>
        <v>0</v>
      </c>
      <c r="N129" s="45">
        <f t="shared" si="20"/>
        <v>0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143">
        <f t="shared" si="22"/>
        <v>0</v>
      </c>
    </row>
    <row r="130" spans="6:45" x14ac:dyDescent="0.15">
      <c r="F130" s="67" t="s">
        <v>928</v>
      </c>
      <c r="G130" s="211" t="s">
        <v>895</v>
      </c>
      <c r="H130" s="144" t="s">
        <v>251</v>
      </c>
      <c r="I130" s="45">
        <f t="shared" ref="I130" si="27">SUM(J130:L130)</f>
        <v>0</v>
      </c>
      <c r="J130" s="45">
        <f t="shared" ref="J130" si="28">O130+T130+Y130+AD130+AI130+AN130</f>
        <v>0</v>
      </c>
      <c r="K130" s="45">
        <f t="shared" ref="K130" si="29">P130+U130+Z130+AE130+AJ130+AO130</f>
        <v>0</v>
      </c>
      <c r="L130" s="45">
        <f t="shared" ref="L130" si="30">Q130+V130+AA130+AF130+AK130+AP130</f>
        <v>0</v>
      </c>
      <c r="M130" s="45">
        <f t="shared" ref="M130" si="31">R130+W130+AB130+AG130+AL130+AQ130</f>
        <v>0</v>
      </c>
      <c r="N130" s="45">
        <f t="shared" ref="N130" si="32">S130+X130+AC130+AH130+AM130+AR130</f>
        <v>0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143">
        <f t="shared" ref="AS130" si="33">SUM(I130:AR130)</f>
        <v>0</v>
      </c>
    </row>
    <row r="131" spans="6:45" x14ac:dyDescent="0.15">
      <c r="F131" s="67" t="s">
        <v>929</v>
      </c>
      <c r="G131" s="211" t="s">
        <v>250</v>
      </c>
      <c r="H131" s="142" t="s">
        <v>253</v>
      </c>
      <c r="I131" s="45">
        <f t="shared" si="15"/>
        <v>0</v>
      </c>
      <c r="J131" s="45">
        <f t="shared" si="16"/>
        <v>0</v>
      </c>
      <c r="K131" s="45">
        <f t="shared" si="17"/>
        <v>0</v>
      </c>
      <c r="L131" s="45">
        <f t="shared" si="18"/>
        <v>0</v>
      </c>
      <c r="M131" s="45">
        <f t="shared" si="19"/>
        <v>0</v>
      </c>
      <c r="N131" s="45">
        <f t="shared" si="20"/>
        <v>0</v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143">
        <f t="shared" si="22"/>
        <v>0</v>
      </c>
    </row>
    <row r="132" spans="6:45" x14ac:dyDescent="0.15">
      <c r="F132" s="67" t="s">
        <v>929</v>
      </c>
      <c r="G132" s="211" t="s">
        <v>252</v>
      </c>
      <c r="H132" s="144" t="s">
        <v>255</v>
      </c>
      <c r="I132" s="45">
        <f t="shared" si="15"/>
        <v>0</v>
      </c>
      <c r="J132" s="45">
        <f t="shared" si="16"/>
        <v>0</v>
      </c>
      <c r="K132" s="45">
        <f t="shared" si="17"/>
        <v>0</v>
      </c>
      <c r="L132" s="45">
        <f t="shared" si="18"/>
        <v>0</v>
      </c>
      <c r="M132" s="45">
        <f t="shared" si="19"/>
        <v>0</v>
      </c>
      <c r="N132" s="45">
        <f t="shared" si="20"/>
        <v>0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143">
        <f t="shared" si="22"/>
        <v>0</v>
      </c>
    </row>
    <row r="133" spans="6:45" x14ac:dyDescent="0.15">
      <c r="F133" s="67" t="s">
        <v>932</v>
      </c>
      <c r="G133" s="211" t="s">
        <v>254</v>
      </c>
      <c r="H133" s="144" t="s">
        <v>257</v>
      </c>
      <c r="I133" s="45">
        <f t="shared" si="15"/>
        <v>0</v>
      </c>
      <c r="J133" s="45">
        <f t="shared" si="16"/>
        <v>0</v>
      </c>
      <c r="K133" s="45">
        <f t="shared" si="17"/>
        <v>0</v>
      </c>
      <c r="L133" s="45">
        <f t="shared" si="18"/>
        <v>0</v>
      </c>
      <c r="M133" s="45">
        <f t="shared" si="19"/>
        <v>0</v>
      </c>
      <c r="N133" s="45">
        <f t="shared" si="20"/>
        <v>0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143">
        <f t="shared" si="22"/>
        <v>0</v>
      </c>
    </row>
    <row r="134" spans="6:45" ht="21" x14ac:dyDescent="0.15">
      <c r="F134" s="67" t="s">
        <v>931</v>
      </c>
      <c r="G134" s="213" t="s">
        <v>256</v>
      </c>
      <c r="H134" s="142" t="s">
        <v>259</v>
      </c>
      <c r="I134" s="45">
        <f t="shared" si="15"/>
        <v>0</v>
      </c>
      <c r="J134" s="45">
        <f t="shared" si="16"/>
        <v>0</v>
      </c>
      <c r="K134" s="45">
        <f t="shared" si="17"/>
        <v>0</v>
      </c>
      <c r="L134" s="45">
        <f t="shared" si="18"/>
        <v>0</v>
      </c>
      <c r="M134" s="45">
        <f t="shared" si="19"/>
        <v>0</v>
      </c>
      <c r="N134" s="45">
        <f t="shared" si="20"/>
        <v>0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143">
        <f t="shared" si="22"/>
        <v>0</v>
      </c>
    </row>
    <row r="135" spans="6:45" x14ac:dyDescent="0.15">
      <c r="F135" s="67" t="s">
        <v>928</v>
      </c>
      <c r="G135" s="213" t="s">
        <v>258</v>
      </c>
      <c r="H135" s="144" t="s">
        <v>261</v>
      </c>
      <c r="I135" s="45">
        <f t="shared" si="15"/>
        <v>0</v>
      </c>
      <c r="J135" s="45">
        <f t="shared" si="16"/>
        <v>0</v>
      </c>
      <c r="K135" s="45">
        <f t="shared" si="17"/>
        <v>0</v>
      </c>
      <c r="L135" s="45">
        <f t="shared" si="18"/>
        <v>0</v>
      </c>
      <c r="M135" s="45">
        <f t="shared" si="19"/>
        <v>0</v>
      </c>
      <c r="N135" s="45">
        <f t="shared" si="20"/>
        <v>0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143">
        <f t="shared" si="22"/>
        <v>0</v>
      </c>
    </row>
    <row r="136" spans="6:45" x14ac:dyDescent="0.15">
      <c r="F136" s="67" t="s">
        <v>928</v>
      </c>
      <c r="G136" s="213" t="s">
        <v>260</v>
      </c>
      <c r="H136" s="144" t="s">
        <v>263</v>
      </c>
      <c r="I136" s="45">
        <f t="shared" si="15"/>
        <v>0</v>
      </c>
      <c r="J136" s="45">
        <f t="shared" si="16"/>
        <v>0</v>
      </c>
      <c r="K136" s="45">
        <f t="shared" si="17"/>
        <v>0</v>
      </c>
      <c r="L136" s="45">
        <f t="shared" si="18"/>
        <v>0</v>
      </c>
      <c r="M136" s="45">
        <f t="shared" si="19"/>
        <v>0</v>
      </c>
      <c r="N136" s="45">
        <f t="shared" si="20"/>
        <v>0</v>
      </c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143">
        <f t="shared" si="22"/>
        <v>0</v>
      </c>
    </row>
    <row r="137" spans="6:45" x14ac:dyDescent="0.15">
      <c r="F137" s="67" t="s">
        <v>931</v>
      </c>
      <c r="G137" s="211" t="s">
        <v>262</v>
      </c>
      <c r="H137" s="142" t="s">
        <v>265</v>
      </c>
      <c r="I137" s="45">
        <f t="shared" si="15"/>
        <v>0</v>
      </c>
      <c r="J137" s="45">
        <f t="shared" si="16"/>
        <v>0</v>
      </c>
      <c r="K137" s="45">
        <f t="shared" si="17"/>
        <v>0</v>
      </c>
      <c r="L137" s="45">
        <f t="shared" si="18"/>
        <v>0</v>
      </c>
      <c r="M137" s="45">
        <f t="shared" si="19"/>
        <v>0</v>
      </c>
      <c r="N137" s="45">
        <f t="shared" si="20"/>
        <v>0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143">
        <f t="shared" si="22"/>
        <v>0</v>
      </c>
    </row>
    <row r="138" spans="6:45" x14ac:dyDescent="0.15">
      <c r="F138" s="67" t="s">
        <v>931</v>
      </c>
      <c r="G138" s="211" t="s">
        <v>264</v>
      </c>
      <c r="H138" s="144" t="s">
        <v>267</v>
      </c>
      <c r="I138" s="45">
        <f t="shared" si="15"/>
        <v>0</v>
      </c>
      <c r="J138" s="45">
        <f t="shared" si="16"/>
        <v>0</v>
      </c>
      <c r="K138" s="45">
        <f t="shared" si="17"/>
        <v>0</v>
      </c>
      <c r="L138" s="45">
        <f t="shared" si="18"/>
        <v>0</v>
      </c>
      <c r="M138" s="45">
        <f t="shared" si="19"/>
        <v>0</v>
      </c>
      <c r="N138" s="45">
        <f t="shared" si="20"/>
        <v>0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143">
        <f t="shared" si="22"/>
        <v>0</v>
      </c>
    </row>
    <row r="139" spans="6:45" x14ac:dyDescent="0.15">
      <c r="F139" s="67" t="s">
        <v>928</v>
      </c>
      <c r="G139" s="211" t="s">
        <v>266</v>
      </c>
      <c r="H139" s="144" t="s">
        <v>269</v>
      </c>
      <c r="I139" s="45">
        <f t="shared" si="15"/>
        <v>0</v>
      </c>
      <c r="J139" s="45">
        <f t="shared" si="16"/>
        <v>0</v>
      </c>
      <c r="K139" s="45">
        <f t="shared" si="17"/>
        <v>0</v>
      </c>
      <c r="L139" s="45">
        <f t="shared" si="18"/>
        <v>0</v>
      </c>
      <c r="M139" s="45">
        <f t="shared" si="19"/>
        <v>0</v>
      </c>
      <c r="N139" s="45">
        <f t="shared" si="20"/>
        <v>0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143">
        <f t="shared" si="22"/>
        <v>0</v>
      </c>
    </row>
    <row r="140" spans="6:45" x14ac:dyDescent="0.15">
      <c r="F140" s="67" t="s">
        <v>928</v>
      </c>
      <c r="G140" s="211" t="s">
        <v>268</v>
      </c>
      <c r="H140" s="142" t="s">
        <v>271</v>
      </c>
      <c r="I140" s="45">
        <f t="shared" si="15"/>
        <v>0</v>
      </c>
      <c r="J140" s="45">
        <f t="shared" si="16"/>
        <v>0</v>
      </c>
      <c r="K140" s="45">
        <f t="shared" si="17"/>
        <v>0</v>
      </c>
      <c r="L140" s="45">
        <f t="shared" si="18"/>
        <v>0</v>
      </c>
      <c r="M140" s="45">
        <f t="shared" si="19"/>
        <v>0</v>
      </c>
      <c r="N140" s="45">
        <f t="shared" si="20"/>
        <v>0</v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143">
        <f t="shared" si="22"/>
        <v>0</v>
      </c>
    </row>
    <row r="141" spans="6:45" x14ac:dyDescent="0.15">
      <c r="F141" s="67" t="s">
        <v>928</v>
      </c>
      <c r="G141" s="211" t="s">
        <v>270</v>
      </c>
      <c r="H141" s="144" t="s">
        <v>273</v>
      </c>
      <c r="I141" s="45">
        <f t="shared" ref="I141:I204" si="34">SUM(J141:L141)</f>
        <v>0</v>
      </c>
      <c r="J141" s="45">
        <f t="shared" ref="J141:J204" si="35">O141+T141+Y141+AD141+AI141+AN141</f>
        <v>0</v>
      </c>
      <c r="K141" s="45">
        <f t="shared" ref="K141:K204" si="36">P141+U141+Z141+AE141+AJ141+AO141</f>
        <v>0</v>
      </c>
      <c r="L141" s="45">
        <f t="shared" ref="L141:L204" si="37">Q141+V141+AA141+AF141+AK141+AP141</f>
        <v>0</v>
      </c>
      <c r="M141" s="45">
        <f t="shared" ref="M141:M204" si="38">R141+W141+AB141+AG141+AL141+AQ141</f>
        <v>0</v>
      </c>
      <c r="N141" s="45">
        <f t="shared" ref="N141:N204" si="39">S141+X141+AC141+AH141+AM141+AR141</f>
        <v>0</v>
      </c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143">
        <f t="shared" ref="AS141:AS204" si="40">SUM(I141:AR141)</f>
        <v>0</v>
      </c>
    </row>
    <row r="142" spans="6:45" x14ac:dyDescent="0.15">
      <c r="F142" s="67" t="s">
        <v>928</v>
      </c>
      <c r="G142" s="211" t="s">
        <v>272</v>
      </c>
      <c r="H142" s="144" t="s">
        <v>275</v>
      </c>
      <c r="I142" s="45">
        <f t="shared" si="34"/>
        <v>0</v>
      </c>
      <c r="J142" s="45">
        <f t="shared" si="35"/>
        <v>0</v>
      </c>
      <c r="K142" s="45">
        <f t="shared" si="36"/>
        <v>0</v>
      </c>
      <c r="L142" s="45">
        <f t="shared" si="37"/>
        <v>0</v>
      </c>
      <c r="M142" s="45">
        <f t="shared" si="38"/>
        <v>0</v>
      </c>
      <c r="N142" s="45">
        <f t="shared" si="39"/>
        <v>0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143">
        <f t="shared" si="40"/>
        <v>0</v>
      </c>
    </row>
    <row r="143" spans="6:45" x14ac:dyDescent="0.15">
      <c r="F143" s="67" t="s">
        <v>930</v>
      </c>
      <c r="G143" s="211" t="s">
        <v>274</v>
      </c>
      <c r="H143" s="142" t="s">
        <v>277</v>
      </c>
      <c r="I143" s="45">
        <f t="shared" si="34"/>
        <v>0</v>
      </c>
      <c r="J143" s="45">
        <f t="shared" si="35"/>
        <v>0</v>
      </c>
      <c r="K143" s="45">
        <f t="shared" si="36"/>
        <v>0</v>
      </c>
      <c r="L143" s="45">
        <f t="shared" si="37"/>
        <v>0</v>
      </c>
      <c r="M143" s="45">
        <f t="shared" si="38"/>
        <v>0</v>
      </c>
      <c r="N143" s="45">
        <f t="shared" si="39"/>
        <v>0</v>
      </c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143">
        <f t="shared" si="40"/>
        <v>0</v>
      </c>
    </row>
    <row r="144" spans="6:45" x14ac:dyDescent="0.15">
      <c r="F144" s="67" t="s">
        <v>928</v>
      </c>
      <c r="G144" s="211" t="s">
        <v>276</v>
      </c>
      <c r="H144" s="144" t="s">
        <v>279</v>
      </c>
      <c r="I144" s="45">
        <f t="shared" si="34"/>
        <v>0</v>
      </c>
      <c r="J144" s="45">
        <f t="shared" si="35"/>
        <v>0</v>
      </c>
      <c r="K144" s="45">
        <f t="shared" si="36"/>
        <v>0</v>
      </c>
      <c r="L144" s="45">
        <f t="shared" si="37"/>
        <v>0</v>
      </c>
      <c r="M144" s="45">
        <f t="shared" si="38"/>
        <v>0</v>
      </c>
      <c r="N144" s="45">
        <f t="shared" si="39"/>
        <v>0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143">
        <f t="shared" si="40"/>
        <v>0</v>
      </c>
    </row>
    <row r="145" spans="6:45" x14ac:dyDescent="0.15">
      <c r="F145" s="67" t="s">
        <v>928</v>
      </c>
      <c r="G145" s="211" t="s">
        <v>278</v>
      </c>
      <c r="H145" s="144" t="s">
        <v>281</v>
      </c>
      <c r="I145" s="45">
        <f t="shared" si="34"/>
        <v>0</v>
      </c>
      <c r="J145" s="45">
        <f t="shared" si="35"/>
        <v>0</v>
      </c>
      <c r="K145" s="45">
        <f t="shared" si="36"/>
        <v>0</v>
      </c>
      <c r="L145" s="45">
        <f t="shared" si="37"/>
        <v>0</v>
      </c>
      <c r="M145" s="45">
        <f t="shared" si="38"/>
        <v>0</v>
      </c>
      <c r="N145" s="45">
        <f t="shared" si="39"/>
        <v>0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143">
        <f t="shared" si="40"/>
        <v>0</v>
      </c>
    </row>
    <row r="146" spans="6:45" x14ac:dyDescent="0.15">
      <c r="F146" s="67" t="s">
        <v>930</v>
      </c>
      <c r="G146" s="211" t="s">
        <v>280</v>
      </c>
      <c r="H146" s="142" t="s">
        <v>283</v>
      </c>
      <c r="I146" s="45">
        <f t="shared" si="34"/>
        <v>0</v>
      </c>
      <c r="J146" s="45">
        <f t="shared" si="35"/>
        <v>0</v>
      </c>
      <c r="K146" s="45">
        <f t="shared" si="36"/>
        <v>0</v>
      </c>
      <c r="L146" s="45">
        <f t="shared" si="37"/>
        <v>0</v>
      </c>
      <c r="M146" s="45">
        <f t="shared" si="38"/>
        <v>0</v>
      </c>
      <c r="N146" s="45">
        <f t="shared" si="39"/>
        <v>0</v>
      </c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143">
        <f t="shared" si="40"/>
        <v>0</v>
      </c>
    </row>
    <row r="147" spans="6:45" x14ac:dyDescent="0.15">
      <c r="F147" s="67" t="s">
        <v>928</v>
      </c>
      <c r="G147" s="211" t="s">
        <v>282</v>
      </c>
      <c r="H147" s="144" t="s">
        <v>285</v>
      </c>
      <c r="I147" s="45">
        <f t="shared" si="34"/>
        <v>0</v>
      </c>
      <c r="J147" s="45">
        <f t="shared" si="35"/>
        <v>0</v>
      </c>
      <c r="K147" s="45">
        <f t="shared" si="36"/>
        <v>0</v>
      </c>
      <c r="L147" s="45">
        <f t="shared" si="37"/>
        <v>0</v>
      </c>
      <c r="M147" s="45">
        <f t="shared" si="38"/>
        <v>0</v>
      </c>
      <c r="N147" s="45">
        <f t="shared" si="39"/>
        <v>0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143">
        <f t="shared" si="40"/>
        <v>0</v>
      </c>
    </row>
    <row r="148" spans="6:45" x14ac:dyDescent="0.15">
      <c r="F148" s="67" t="s">
        <v>928</v>
      </c>
      <c r="G148" s="211" t="s">
        <v>284</v>
      </c>
      <c r="H148" s="144" t="s">
        <v>287</v>
      </c>
      <c r="I148" s="45">
        <f t="shared" si="34"/>
        <v>0</v>
      </c>
      <c r="J148" s="45">
        <f t="shared" si="35"/>
        <v>0</v>
      </c>
      <c r="K148" s="45">
        <f t="shared" si="36"/>
        <v>0</v>
      </c>
      <c r="L148" s="45">
        <f t="shared" si="37"/>
        <v>0</v>
      </c>
      <c r="M148" s="45">
        <f t="shared" si="38"/>
        <v>0</v>
      </c>
      <c r="N148" s="45">
        <f t="shared" si="39"/>
        <v>0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143">
        <f t="shared" si="40"/>
        <v>0</v>
      </c>
    </row>
    <row r="149" spans="6:45" x14ac:dyDescent="0.15">
      <c r="F149" s="67" t="s">
        <v>928</v>
      </c>
      <c r="G149" s="211" t="s">
        <v>286</v>
      </c>
      <c r="H149" s="142" t="s">
        <v>289</v>
      </c>
      <c r="I149" s="45">
        <f t="shared" si="34"/>
        <v>0</v>
      </c>
      <c r="J149" s="45">
        <f t="shared" si="35"/>
        <v>0</v>
      </c>
      <c r="K149" s="45">
        <f t="shared" si="36"/>
        <v>0</v>
      </c>
      <c r="L149" s="45">
        <f t="shared" si="37"/>
        <v>0</v>
      </c>
      <c r="M149" s="45">
        <f t="shared" si="38"/>
        <v>0</v>
      </c>
      <c r="N149" s="45">
        <f t="shared" si="39"/>
        <v>0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143">
        <f t="shared" si="40"/>
        <v>0</v>
      </c>
    </row>
    <row r="150" spans="6:45" x14ac:dyDescent="0.15">
      <c r="F150" s="67" t="s">
        <v>930</v>
      </c>
      <c r="G150" s="211" t="s">
        <v>288</v>
      </c>
      <c r="H150" s="144" t="s">
        <v>291</v>
      </c>
      <c r="I150" s="45">
        <f t="shared" si="34"/>
        <v>0</v>
      </c>
      <c r="J150" s="45">
        <f t="shared" si="35"/>
        <v>0</v>
      </c>
      <c r="K150" s="45">
        <f t="shared" si="36"/>
        <v>0</v>
      </c>
      <c r="L150" s="45">
        <f t="shared" si="37"/>
        <v>0</v>
      </c>
      <c r="M150" s="45">
        <f t="shared" si="38"/>
        <v>0</v>
      </c>
      <c r="N150" s="45">
        <f t="shared" si="39"/>
        <v>0</v>
      </c>
      <c r="O150" s="48">
        <f t="shared" ref="O150:AR150" si="41">SUM(O151:O152)</f>
        <v>0</v>
      </c>
      <c r="P150" s="48">
        <f t="shared" si="41"/>
        <v>0</v>
      </c>
      <c r="Q150" s="48">
        <f t="shared" si="41"/>
        <v>0</v>
      </c>
      <c r="R150" s="48">
        <f t="shared" si="41"/>
        <v>0</v>
      </c>
      <c r="S150" s="48">
        <f t="shared" si="41"/>
        <v>0</v>
      </c>
      <c r="T150" s="48">
        <f t="shared" si="41"/>
        <v>0</v>
      </c>
      <c r="U150" s="48">
        <f t="shared" si="41"/>
        <v>0</v>
      </c>
      <c r="V150" s="48">
        <f t="shared" si="41"/>
        <v>0</v>
      </c>
      <c r="W150" s="48">
        <f t="shared" si="41"/>
        <v>0</v>
      </c>
      <c r="X150" s="48">
        <f t="shared" si="41"/>
        <v>0</v>
      </c>
      <c r="Y150" s="48">
        <f t="shared" si="41"/>
        <v>0</v>
      </c>
      <c r="Z150" s="48">
        <f t="shared" si="41"/>
        <v>0</v>
      </c>
      <c r="AA150" s="48">
        <f t="shared" si="41"/>
        <v>0</v>
      </c>
      <c r="AB150" s="48">
        <f t="shared" si="41"/>
        <v>0</v>
      </c>
      <c r="AC150" s="48">
        <f t="shared" si="41"/>
        <v>0</v>
      </c>
      <c r="AD150" s="48">
        <f t="shared" si="41"/>
        <v>0</v>
      </c>
      <c r="AE150" s="48">
        <f t="shared" si="41"/>
        <v>0</v>
      </c>
      <c r="AF150" s="48">
        <f t="shared" si="41"/>
        <v>0</v>
      </c>
      <c r="AG150" s="48">
        <f t="shared" si="41"/>
        <v>0</v>
      </c>
      <c r="AH150" s="48">
        <f t="shared" si="41"/>
        <v>0</v>
      </c>
      <c r="AI150" s="48">
        <f t="shared" si="41"/>
        <v>0</v>
      </c>
      <c r="AJ150" s="48">
        <f t="shared" si="41"/>
        <v>0</v>
      </c>
      <c r="AK150" s="48">
        <f t="shared" si="41"/>
        <v>0</v>
      </c>
      <c r="AL150" s="48">
        <f t="shared" si="41"/>
        <v>0</v>
      </c>
      <c r="AM150" s="48">
        <f t="shared" si="41"/>
        <v>0</v>
      </c>
      <c r="AN150" s="48">
        <f t="shared" si="41"/>
        <v>0</v>
      </c>
      <c r="AO150" s="48">
        <f t="shared" si="41"/>
        <v>0</v>
      </c>
      <c r="AP150" s="48">
        <f t="shared" si="41"/>
        <v>0</v>
      </c>
      <c r="AQ150" s="48">
        <f t="shared" si="41"/>
        <v>0</v>
      </c>
      <c r="AR150" s="48">
        <f t="shared" si="41"/>
        <v>0</v>
      </c>
      <c r="AS150" s="143">
        <f t="shared" si="40"/>
        <v>0</v>
      </c>
    </row>
    <row r="151" spans="6:45" ht="21" x14ac:dyDescent="0.15">
      <c r="F151" s="67" t="s">
        <v>930</v>
      </c>
      <c r="G151" s="212" t="s">
        <v>290</v>
      </c>
      <c r="H151" s="144" t="s">
        <v>293</v>
      </c>
      <c r="I151" s="45">
        <f t="shared" si="34"/>
        <v>0</v>
      </c>
      <c r="J151" s="45">
        <f t="shared" si="35"/>
        <v>0</v>
      </c>
      <c r="K151" s="45">
        <f t="shared" si="36"/>
        <v>0</v>
      </c>
      <c r="L151" s="45">
        <f t="shared" si="37"/>
        <v>0</v>
      </c>
      <c r="M151" s="45">
        <f t="shared" si="38"/>
        <v>0</v>
      </c>
      <c r="N151" s="45">
        <f t="shared" si="39"/>
        <v>0</v>
      </c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143">
        <f t="shared" si="40"/>
        <v>0</v>
      </c>
    </row>
    <row r="152" spans="6:45" ht="21" x14ac:dyDescent="0.15">
      <c r="F152" s="67" t="s">
        <v>930</v>
      </c>
      <c r="G152" s="212" t="s">
        <v>292</v>
      </c>
      <c r="H152" s="142" t="s">
        <v>295</v>
      </c>
      <c r="I152" s="45">
        <f t="shared" si="34"/>
        <v>0</v>
      </c>
      <c r="J152" s="45">
        <f t="shared" si="35"/>
        <v>0</v>
      </c>
      <c r="K152" s="45">
        <f t="shared" si="36"/>
        <v>0</v>
      </c>
      <c r="L152" s="45">
        <f t="shared" si="37"/>
        <v>0</v>
      </c>
      <c r="M152" s="45">
        <f t="shared" si="38"/>
        <v>0</v>
      </c>
      <c r="N152" s="45">
        <f t="shared" si="39"/>
        <v>0</v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143">
        <f t="shared" si="40"/>
        <v>0</v>
      </c>
    </row>
    <row r="153" spans="6:45" x14ac:dyDescent="0.15">
      <c r="F153" s="67" t="s">
        <v>928</v>
      </c>
      <c r="G153" s="211" t="s">
        <v>294</v>
      </c>
      <c r="H153" s="144" t="s">
        <v>297</v>
      </c>
      <c r="I153" s="45">
        <f t="shared" si="34"/>
        <v>0</v>
      </c>
      <c r="J153" s="45">
        <f t="shared" si="35"/>
        <v>0</v>
      </c>
      <c r="K153" s="45">
        <f t="shared" si="36"/>
        <v>0</v>
      </c>
      <c r="L153" s="45">
        <f t="shared" si="37"/>
        <v>0</v>
      </c>
      <c r="M153" s="45">
        <f t="shared" si="38"/>
        <v>0</v>
      </c>
      <c r="N153" s="45">
        <f t="shared" si="39"/>
        <v>0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143">
        <f t="shared" si="40"/>
        <v>0</v>
      </c>
    </row>
    <row r="154" spans="6:45" x14ac:dyDescent="0.15">
      <c r="F154" s="67" t="s">
        <v>928</v>
      </c>
      <c r="G154" s="211" t="s">
        <v>296</v>
      </c>
      <c r="H154" s="144" t="s">
        <v>299</v>
      </c>
      <c r="I154" s="45">
        <f t="shared" si="34"/>
        <v>0</v>
      </c>
      <c r="J154" s="45">
        <f t="shared" si="35"/>
        <v>0</v>
      </c>
      <c r="K154" s="45">
        <f t="shared" si="36"/>
        <v>0</v>
      </c>
      <c r="L154" s="45">
        <f t="shared" si="37"/>
        <v>0</v>
      </c>
      <c r="M154" s="45">
        <f t="shared" si="38"/>
        <v>0</v>
      </c>
      <c r="N154" s="45">
        <f t="shared" si="39"/>
        <v>0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143">
        <f t="shared" si="40"/>
        <v>0</v>
      </c>
    </row>
    <row r="155" spans="6:45" x14ac:dyDescent="0.15">
      <c r="F155" s="67" t="s">
        <v>931</v>
      </c>
      <c r="G155" s="211" t="s">
        <v>298</v>
      </c>
      <c r="H155" s="142" t="s">
        <v>301</v>
      </c>
      <c r="I155" s="45">
        <f t="shared" si="34"/>
        <v>0</v>
      </c>
      <c r="J155" s="45">
        <f t="shared" si="35"/>
        <v>0</v>
      </c>
      <c r="K155" s="45">
        <f t="shared" si="36"/>
        <v>0</v>
      </c>
      <c r="L155" s="45">
        <f t="shared" si="37"/>
        <v>0</v>
      </c>
      <c r="M155" s="45">
        <f t="shared" si="38"/>
        <v>0</v>
      </c>
      <c r="N155" s="45">
        <f t="shared" si="39"/>
        <v>0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143">
        <f t="shared" si="40"/>
        <v>0</v>
      </c>
    </row>
    <row r="156" spans="6:45" x14ac:dyDescent="0.15">
      <c r="F156" s="67" t="s">
        <v>928</v>
      </c>
      <c r="G156" s="211" t="s">
        <v>300</v>
      </c>
      <c r="H156" s="144" t="s">
        <v>303</v>
      </c>
      <c r="I156" s="45">
        <f t="shared" si="34"/>
        <v>0</v>
      </c>
      <c r="J156" s="45">
        <f t="shared" si="35"/>
        <v>0</v>
      </c>
      <c r="K156" s="45">
        <f t="shared" si="36"/>
        <v>0</v>
      </c>
      <c r="L156" s="45">
        <f t="shared" si="37"/>
        <v>0</v>
      </c>
      <c r="M156" s="45">
        <f t="shared" si="38"/>
        <v>0</v>
      </c>
      <c r="N156" s="45">
        <f t="shared" si="39"/>
        <v>0</v>
      </c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143">
        <f t="shared" si="40"/>
        <v>0</v>
      </c>
    </row>
    <row r="157" spans="6:45" x14ac:dyDescent="0.15">
      <c r="F157" s="67" t="s">
        <v>928</v>
      </c>
      <c r="G157" s="211" t="s">
        <v>302</v>
      </c>
      <c r="H157" s="144" t="s">
        <v>305</v>
      </c>
      <c r="I157" s="45">
        <f t="shared" si="34"/>
        <v>0</v>
      </c>
      <c r="J157" s="45">
        <f t="shared" si="35"/>
        <v>0</v>
      </c>
      <c r="K157" s="45">
        <f t="shared" si="36"/>
        <v>0</v>
      </c>
      <c r="L157" s="45">
        <f t="shared" si="37"/>
        <v>0</v>
      </c>
      <c r="M157" s="45">
        <f t="shared" si="38"/>
        <v>0</v>
      </c>
      <c r="N157" s="45">
        <f t="shared" si="39"/>
        <v>0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143">
        <f t="shared" si="40"/>
        <v>0</v>
      </c>
    </row>
    <row r="158" spans="6:45" x14ac:dyDescent="0.15">
      <c r="F158" s="67" t="s">
        <v>930</v>
      </c>
      <c r="G158" s="211" t="s">
        <v>304</v>
      </c>
      <c r="H158" s="142" t="s">
        <v>307</v>
      </c>
      <c r="I158" s="45">
        <f t="shared" si="34"/>
        <v>0</v>
      </c>
      <c r="J158" s="45">
        <f t="shared" si="35"/>
        <v>0</v>
      </c>
      <c r="K158" s="45">
        <f t="shared" si="36"/>
        <v>0</v>
      </c>
      <c r="L158" s="45">
        <f t="shared" si="37"/>
        <v>0</v>
      </c>
      <c r="M158" s="45">
        <f t="shared" si="38"/>
        <v>0</v>
      </c>
      <c r="N158" s="45">
        <f t="shared" si="39"/>
        <v>0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143">
        <f t="shared" si="40"/>
        <v>0</v>
      </c>
    </row>
    <row r="159" spans="6:45" x14ac:dyDescent="0.15">
      <c r="F159" s="67" t="s">
        <v>930</v>
      </c>
      <c r="G159" s="211" t="s">
        <v>306</v>
      </c>
      <c r="H159" s="144" t="s">
        <v>309</v>
      </c>
      <c r="I159" s="45">
        <f t="shared" si="34"/>
        <v>0</v>
      </c>
      <c r="J159" s="45">
        <f t="shared" si="35"/>
        <v>0</v>
      </c>
      <c r="K159" s="45">
        <f t="shared" si="36"/>
        <v>0</v>
      </c>
      <c r="L159" s="45">
        <f t="shared" si="37"/>
        <v>0</v>
      </c>
      <c r="M159" s="45">
        <f t="shared" si="38"/>
        <v>0</v>
      </c>
      <c r="N159" s="45">
        <f t="shared" si="39"/>
        <v>0</v>
      </c>
      <c r="O159" s="46">
        <f t="shared" ref="O159:AR159" si="42">SUM(O160:O163)</f>
        <v>0</v>
      </c>
      <c r="P159" s="46">
        <f t="shared" si="42"/>
        <v>0</v>
      </c>
      <c r="Q159" s="46">
        <f t="shared" si="42"/>
        <v>0</v>
      </c>
      <c r="R159" s="46">
        <f t="shared" si="42"/>
        <v>0</v>
      </c>
      <c r="S159" s="46">
        <f t="shared" si="42"/>
        <v>0</v>
      </c>
      <c r="T159" s="46">
        <f t="shared" si="42"/>
        <v>0</v>
      </c>
      <c r="U159" s="46">
        <f t="shared" si="42"/>
        <v>0</v>
      </c>
      <c r="V159" s="46">
        <f t="shared" si="42"/>
        <v>0</v>
      </c>
      <c r="W159" s="46">
        <f t="shared" si="42"/>
        <v>0</v>
      </c>
      <c r="X159" s="46">
        <f t="shared" si="42"/>
        <v>0</v>
      </c>
      <c r="Y159" s="46">
        <f t="shared" si="42"/>
        <v>0</v>
      </c>
      <c r="Z159" s="46">
        <f t="shared" si="42"/>
        <v>0</v>
      </c>
      <c r="AA159" s="46">
        <f t="shared" si="42"/>
        <v>0</v>
      </c>
      <c r="AB159" s="46">
        <f t="shared" si="42"/>
        <v>0</v>
      </c>
      <c r="AC159" s="46">
        <f t="shared" si="42"/>
        <v>0</v>
      </c>
      <c r="AD159" s="46">
        <f t="shared" si="42"/>
        <v>0</v>
      </c>
      <c r="AE159" s="46">
        <f t="shared" si="42"/>
        <v>0</v>
      </c>
      <c r="AF159" s="46">
        <f t="shared" si="42"/>
        <v>0</v>
      </c>
      <c r="AG159" s="46">
        <f t="shared" si="42"/>
        <v>0</v>
      </c>
      <c r="AH159" s="46">
        <f t="shared" si="42"/>
        <v>0</v>
      </c>
      <c r="AI159" s="46">
        <f t="shared" si="42"/>
        <v>0</v>
      </c>
      <c r="AJ159" s="46">
        <f t="shared" si="42"/>
        <v>0</v>
      </c>
      <c r="AK159" s="46">
        <f t="shared" si="42"/>
        <v>0</v>
      </c>
      <c r="AL159" s="46">
        <f t="shared" si="42"/>
        <v>0</v>
      </c>
      <c r="AM159" s="46">
        <f t="shared" si="42"/>
        <v>0</v>
      </c>
      <c r="AN159" s="46">
        <f t="shared" si="42"/>
        <v>0</v>
      </c>
      <c r="AO159" s="46">
        <f t="shared" si="42"/>
        <v>0</v>
      </c>
      <c r="AP159" s="46">
        <f t="shared" si="42"/>
        <v>0</v>
      </c>
      <c r="AQ159" s="46">
        <f t="shared" si="42"/>
        <v>0</v>
      </c>
      <c r="AR159" s="46">
        <f t="shared" si="42"/>
        <v>0</v>
      </c>
      <c r="AS159" s="143">
        <f t="shared" si="40"/>
        <v>0</v>
      </c>
    </row>
    <row r="160" spans="6:45" ht="21" x14ac:dyDescent="0.15">
      <c r="F160" s="67" t="s">
        <v>930</v>
      </c>
      <c r="G160" s="212" t="s">
        <v>308</v>
      </c>
      <c r="H160" s="144" t="s">
        <v>311</v>
      </c>
      <c r="I160" s="45">
        <f t="shared" si="34"/>
        <v>0</v>
      </c>
      <c r="J160" s="45">
        <f t="shared" si="35"/>
        <v>0</v>
      </c>
      <c r="K160" s="45">
        <f t="shared" si="36"/>
        <v>0</v>
      </c>
      <c r="L160" s="45">
        <f t="shared" si="37"/>
        <v>0</v>
      </c>
      <c r="M160" s="45">
        <f t="shared" si="38"/>
        <v>0</v>
      </c>
      <c r="N160" s="45">
        <f t="shared" si="39"/>
        <v>0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143">
        <f t="shared" si="40"/>
        <v>0</v>
      </c>
    </row>
    <row r="161" spans="6:45" x14ac:dyDescent="0.15">
      <c r="F161" s="67" t="s">
        <v>930</v>
      </c>
      <c r="G161" s="212" t="s">
        <v>310</v>
      </c>
      <c r="H161" s="142" t="s">
        <v>313</v>
      </c>
      <c r="I161" s="45">
        <f t="shared" si="34"/>
        <v>0</v>
      </c>
      <c r="J161" s="45">
        <f t="shared" si="35"/>
        <v>0</v>
      </c>
      <c r="K161" s="45">
        <f t="shared" si="36"/>
        <v>0</v>
      </c>
      <c r="L161" s="45">
        <f t="shared" si="37"/>
        <v>0</v>
      </c>
      <c r="M161" s="45">
        <f t="shared" si="38"/>
        <v>0</v>
      </c>
      <c r="N161" s="45">
        <f t="shared" si="39"/>
        <v>0</v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143">
        <f t="shared" si="40"/>
        <v>0</v>
      </c>
    </row>
    <row r="162" spans="6:45" x14ac:dyDescent="0.15">
      <c r="F162" s="67" t="s">
        <v>930</v>
      </c>
      <c r="G162" s="212" t="s">
        <v>312</v>
      </c>
      <c r="H162" s="144" t="s">
        <v>315</v>
      </c>
      <c r="I162" s="45">
        <f t="shared" si="34"/>
        <v>0</v>
      </c>
      <c r="J162" s="45">
        <f t="shared" si="35"/>
        <v>0</v>
      </c>
      <c r="K162" s="45">
        <f t="shared" si="36"/>
        <v>0</v>
      </c>
      <c r="L162" s="45">
        <f t="shared" si="37"/>
        <v>0</v>
      </c>
      <c r="M162" s="45">
        <f t="shared" si="38"/>
        <v>0</v>
      </c>
      <c r="N162" s="45">
        <f t="shared" si="39"/>
        <v>0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143">
        <f t="shared" si="40"/>
        <v>0</v>
      </c>
    </row>
    <row r="163" spans="6:45" x14ac:dyDescent="0.15">
      <c r="F163" s="67" t="s">
        <v>930</v>
      </c>
      <c r="G163" s="212" t="s">
        <v>314</v>
      </c>
      <c r="H163" s="144" t="s">
        <v>317</v>
      </c>
      <c r="I163" s="45">
        <f t="shared" si="34"/>
        <v>0</v>
      </c>
      <c r="J163" s="45">
        <f t="shared" si="35"/>
        <v>0</v>
      </c>
      <c r="K163" s="45">
        <f t="shared" si="36"/>
        <v>0</v>
      </c>
      <c r="L163" s="45">
        <f t="shared" si="37"/>
        <v>0</v>
      </c>
      <c r="M163" s="45">
        <f t="shared" si="38"/>
        <v>0</v>
      </c>
      <c r="N163" s="45">
        <f t="shared" si="39"/>
        <v>0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143">
        <f t="shared" si="40"/>
        <v>0</v>
      </c>
    </row>
    <row r="164" spans="6:45" x14ac:dyDescent="0.15">
      <c r="F164" s="67" t="s">
        <v>929</v>
      </c>
      <c r="G164" s="211" t="s">
        <v>316</v>
      </c>
      <c r="H164" s="142" t="s">
        <v>319</v>
      </c>
      <c r="I164" s="45">
        <f t="shared" si="34"/>
        <v>0</v>
      </c>
      <c r="J164" s="45">
        <f t="shared" si="35"/>
        <v>0</v>
      </c>
      <c r="K164" s="45">
        <f t="shared" si="36"/>
        <v>0</v>
      </c>
      <c r="L164" s="45">
        <f t="shared" si="37"/>
        <v>0</v>
      </c>
      <c r="M164" s="45">
        <f t="shared" si="38"/>
        <v>0</v>
      </c>
      <c r="N164" s="45">
        <f t="shared" si="39"/>
        <v>0</v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143">
        <f t="shared" si="40"/>
        <v>0</v>
      </c>
    </row>
    <row r="165" spans="6:45" x14ac:dyDescent="0.15">
      <c r="F165" s="67" t="s">
        <v>930</v>
      </c>
      <c r="G165" s="211" t="s">
        <v>318</v>
      </c>
      <c r="H165" s="144" t="s">
        <v>321</v>
      </c>
      <c r="I165" s="45">
        <f t="shared" si="34"/>
        <v>0</v>
      </c>
      <c r="J165" s="45">
        <f t="shared" si="35"/>
        <v>0</v>
      </c>
      <c r="K165" s="45">
        <f t="shared" si="36"/>
        <v>0</v>
      </c>
      <c r="L165" s="45">
        <f t="shared" si="37"/>
        <v>0</v>
      </c>
      <c r="M165" s="45">
        <f t="shared" si="38"/>
        <v>0</v>
      </c>
      <c r="N165" s="45">
        <f t="shared" si="39"/>
        <v>0</v>
      </c>
      <c r="O165" s="46">
        <f t="shared" ref="O165:AR165" si="43">SUM(O166:O170)</f>
        <v>0</v>
      </c>
      <c r="P165" s="46">
        <f t="shared" si="43"/>
        <v>0</v>
      </c>
      <c r="Q165" s="46">
        <f t="shared" si="43"/>
        <v>0</v>
      </c>
      <c r="R165" s="46">
        <f t="shared" si="43"/>
        <v>0</v>
      </c>
      <c r="S165" s="46">
        <f t="shared" si="43"/>
        <v>0</v>
      </c>
      <c r="T165" s="46">
        <f t="shared" si="43"/>
        <v>0</v>
      </c>
      <c r="U165" s="46">
        <f t="shared" si="43"/>
        <v>0</v>
      </c>
      <c r="V165" s="46">
        <f t="shared" si="43"/>
        <v>0</v>
      </c>
      <c r="W165" s="46">
        <f t="shared" si="43"/>
        <v>0</v>
      </c>
      <c r="X165" s="46">
        <f t="shared" si="43"/>
        <v>0</v>
      </c>
      <c r="Y165" s="46">
        <f t="shared" si="43"/>
        <v>0</v>
      </c>
      <c r="Z165" s="46">
        <f t="shared" si="43"/>
        <v>0</v>
      </c>
      <c r="AA165" s="46">
        <f t="shared" si="43"/>
        <v>0</v>
      </c>
      <c r="AB165" s="46">
        <f t="shared" si="43"/>
        <v>0</v>
      </c>
      <c r="AC165" s="46">
        <f t="shared" si="43"/>
        <v>0</v>
      </c>
      <c r="AD165" s="46">
        <f t="shared" si="43"/>
        <v>0</v>
      </c>
      <c r="AE165" s="46">
        <f t="shared" si="43"/>
        <v>0</v>
      </c>
      <c r="AF165" s="46">
        <f t="shared" si="43"/>
        <v>0</v>
      </c>
      <c r="AG165" s="46">
        <f t="shared" si="43"/>
        <v>0</v>
      </c>
      <c r="AH165" s="46">
        <f t="shared" si="43"/>
        <v>0</v>
      </c>
      <c r="AI165" s="46">
        <f t="shared" si="43"/>
        <v>0</v>
      </c>
      <c r="AJ165" s="46">
        <f t="shared" si="43"/>
        <v>0</v>
      </c>
      <c r="AK165" s="46">
        <f t="shared" si="43"/>
        <v>0</v>
      </c>
      <c r="AL165" s="46">
        <f t="shared" si="43"/>
        <v>0</v>
      </c>
      <c r="AM165" s="46">
        <f t="shared" si="43"/>
        <v>0</v>
      </c>
      <c r="AN165" s="46">
        <f t="shared" si="43"/>
        <v>0</v>
      </c>
      <c r="AO165" s="46">
        <f t="shared" si="43"/>
        <v>0</v>
      </c>
      <c r="AP165" s="46">
        <f t="shared" si="43"/>
        <v>0</v>
      </c>
      <c r="AQ165" s="46">
        <f t="shared" si="43"/>
        <v>0</v>
      </c>
      <c r="AR165" s="46">
        <f t="shared" si="43"/>
        <v>0</v>
      </c>
      <c r="AS165" s="143">
        <f t="shared" si="40"/>
        <v>0</v>
      </c>
    </row>
    <row r="166" spans="6:45" ht="21" x14ac:dyDescent="0.15">
      <c r="F166" s="67" t="s">
        <v>930</v>
      </c>
      <c r="G166" s="212" t="s">
        <v>320</v>
      </c>
      <c r="H166" s="144" t="s">
        <v>323</v>
      </c>
      <c r="I166" s="45">
        <f t="shared" si="34"/>
        <v>0</v>
      </c>
      <c r="J166" s="45">
        <f t="shared" si="35"/>
        <v>0</v>
      </c>
      <c r="K166" s="45">
        <f t="shared" si="36"/>
        <v>0</v>
      </c>
      <c r="L166" s="45">
        <f t="shared" si="37"/>
        <v>0</v>
      </c>
      <c r="M166" s="45">
        <f t="shared" si="38"/>
        <v>0</v>
      </c>
      <c r="N166" s="45">
        <f t="shared" si="39"/>
        <v>0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143">
        <f t="shared" si="40"/>
        <v>0</v>
      </c>
    </row>
    <row r="167" spans="6:45" x14ac:dyDescent="0.15">
      <c r="F167" s="67" t="s">
        <v>930</v>
      </c>
      <c r="G167" s="212" t="s">
        <v>322</v>
      </c>
      <c r="H167" s="142" t="s">
        <v>325</v>
      </c>
      <c r="I167" s="45">
        <f t="shared" si="34"/>
        <v>0</v>
      </c>
      <c r="J167" s="45">
        <f t="shared" si="35"/>
        <v>0</v>
      </c>
      <c r="K167" s="45">
        <f t="shared" si="36"/>
        <v>0</v>
      </c>
      <c r="L167" s="45">
        <f t="shared" si="37"/>
        <v>0</v>
      </c>
      <c r="M167" s="45">
        <f t="shared" si="38"/>
        <v>0</v>
      </c>
      <c r="N167" s="45">
        <f t="shared" si="39"/>
        <v>0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143">
        <f t="shared" si="40"/>
        <v>0</v>
      </c>
    </row>
    <row r="168" spans="6:45" x14ac:dyDescent="0.15">
      <c r="F168" s="67" t="s">
        <v>930</v>
      </c>
      <c r="G168" s="212" t="s">
        <v>324</v>
      </c>
      <c r="H168" s="144" t="s">
        <v>327</v>
      </c>
      <c r="I168" s="45">
        <f t="shared" si="34"/>
        <v>0</v>
      </c>
      <c r="J168" s="45">
        <f t="shared" si="35"/>
        <v>0</v>
      </c>
      <c r="K168" s="45">
        <f t="shared" si="36"/>
        <v>0</v>
      </c>
      <c r="L168" s="45">
        <f t="shared" si="37"/>
        <v>0</v>
      </c>
      <c r="M168" s="45">
        <f t="shared" si="38"/>
        <v>0</v>
      </c>
      <c r="N168" s="45">
        <f t="shared" si="39"/>
        <v>0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143">
        <f t="shared" si="40"/>
        <v>0</v>
      </c>
    </row>
    <row r="169" spans="6:45" x14ac:dyDescent="0.15">
      <c r="F169" s="67" t="s">
        <v>930</v>
      </c>
      <c r="G169" s="212" t="s">
        <v>326</v>
      </c>
      <c r="H169" s="144" t="s">
        <v>329</v>
      </c>
      <c r="I169" s="45">
        <f t="shared" si="34"/>
        <v>0</v>
      </c>
      <c r="J169" s="45">
        <f t="shared" si="35"/>
        <v>0</v>
      </c>
      <c r="K169" s="45">
        <f t="shared" si="36"/>
        <v>0</v>
      </c>
      <c r="L169" s="45">
        <f t="shared" si="37"/>
        <v>0</v>
      </c>
      <c r="M169" s="45">
        <f t="shared" si="38"/>
        <v>0</v>
      </c>
      <c r="N169" s="45">
        <f t="shared" si="39"/>
        <v>0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143">
        <f t="shared" si="40"/>
        <v>0</v>
      </c>
    </row>
    <row r="170" spans="6:45" ht="21" x14ac:dyDescent="0.15">
      <c r="F170" s="67" t="s">
        <v>930</v>
      </c>
      <c r="G170" s="212" t="s">
        <v>328</v>
      </c>
      <c r="H170" s="142" t="s">
        <v>331</v>
      </c>
      <c r="I170" s="45">
        <f t="shared" si="34"/>
        <v>0</v>
      </c>
      <c r="J170" s="45">
        <f t="shared" si="35"/>
        <v>0</v>
      </c>
      <c r="K170" s="45">
        <f t="shared" si="36"/>
        <v>0</v>
      </c>
      <c r="L170" s="45">
        <f t="shared" si="37"/>
        <v>0</v>
      </c>
      <c r="M170" s="45">
        <f t="shared" si="38"/>
        <v>0</v>
      </c>
      <c r="N170" s="45">
        <f t="shared" si="39"/>
        <v>0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143">
        <f t="shared" si="40"/>
        <v>0</v>
      </c>
    </row>
    <row r="171" spans="6:45" x14ac:dyDescent="0.15">
      <c r="F171" s="67" t="s">
        <v>928</v>
      </c>
      <c r="G171" s="211" t="s">
        <v>330</v>
      </c>
      <c r="H171" s="144" t="s">
        <v>333</v>
      </c>
      <c r="I171" s="45">
        <f t="shared" si="34"/>
        <v>0</v>
      </c>
      <c r="J171" s="45">
        <f t="shared" si="35"/>
        <v>0</v>
      </c>
      <c r="K171" s="45">
        <f t="shared" si="36"/>
        <v>0</v>
      </c>
      <c r="L171" s="45">
        <f t="shared" si="37"/>
        <v>0</v>
      </c>
      <c r="M171" s="45">
        <f t="shared" si="38"/>
        <v>0</v>
      </c>
      <c r="N171" s="45">
        <f t="shared" si="39"/>
        <v>0</v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143">
        <f t="shared" si="40"/>
        <v>0</v>
      </c>
    </row>
    <row r="172" spans="6:45" x14ac:dyDescent="0.15">
      <c r="F172" s="67" t="s">
        <v>928</v>
      </c>
      <c r="G172" s="211" t="s">
        <v>332</v>
      </c>
      <c r="H172" s="144" t="s">
        <v>335</v>
      </c>
      <c r="I172" s="45">
        <f t="shared" si="34"/>
        <v>0</v>
      </c>
      <c r="J172" s="45">
        <f t="shared" si="35"/>
        <v>0</v>
      </c>
      <c r="K172" s="45">
        <f t="shared" si="36"/>
        <v>0</v>
      </c>
      <c r="L172" s="45">
        <f t="shared" si="37"/>
        <v>0</v>
      </c>
      <c r="M172" s="45">
        <f t="shared" si="38"/>
        <v>0</v>
      </c>
      <c r="N172" s="45">
        <f t="shared" si="39"/>
        <v>0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143">
        <f t="shared" si="40"/>
        <v>0</v>
      </c>
    </row>
    <row r="173" spans="6:45" x14ac:dyDescent="0.15">
      <c r="F173" s="67" t="s">
        <v>928</v>
      </c>
      <c r="G173" s="211" t="s">
        <v>334</v>
      </c>
      <c r="H173" s="142" t="s">
        <v>337</v>
      </c>
      <c r="I173" s="45">
        <f t="shared" si="34"/>
        <v>0</v>
      </c>
      <c r="J173" s="45">
        <f t="shared" si="35"/>
        <v>0</v>
      </c>
      <c r="K173" s="45">
        <f t="shared" si="36"/>
        <v>0</v>
      </c>
      <c r="L173" s="45">
        <f t="shared" si="37"/>
        <v>0</v>
      </c>
      <c r="M173" s="45">
        <f t="shared" si="38"/>
        <v>0</v>
      </c>
      <c r="N173" s="45">
        <f t="shared" si="39"/>
        <v>0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143">
        <f t="shared" si="40"/>
        <v>0</v>
      </c>
    </row>
    <row r="174" spans="6:45" x14ac:dyDescent="0.15">
      <c r="F174" s="67" t="s">
        <v>930</v>
      </c>
      <c r="G174" s="211" t="s">
        <v>336</v>
      </c>
      <c r="H174" s="144" t="s">
        <v>339</v>
      </c>
      <c r="I174" s="45">
        <f t="shared" si="34"/>
        <v>0</v>
      </c>
      <c r="J174" s="45">
        <f t="shared" si="35"/>
        <v>0</v>
      </c>
      <c r="K174" s="45">
        <f t="shared" si="36"/>
        <v>0</v>
      </c>
      <c r="L174" s="45">
        <f t="shared" si="37"/>
        <v>0</v>
      </c>
      <c r="M174" s="45">
        <f t="shared" si="38"/>
        <v>0</v>
      </c>
      <c r="N174" s="45">
        <f t="shared" si="39"/>
        <v>0</v>
      </c>
      <c r="O174" s="46">
        <f t="shared" ref="O174:AR174" si="44">SUM(O175:O179)</f>
        <v>0</v>
      </c>
      <c r="P174" s="46">
        <f t="shared" si="44"/>
        <v>0</v>
      </c>
      <c r="Q174" s="46">
        <f t="shared" si="44"/>
        <v>0</v>
      </c>
      <c r="R174" s="46">
        <f t="shared" si="44"/>
        <v>0</v>
      </c>
      <c r="S174" s="46">
        <f t="shared" si="44"/>
        <v>0</v>
      </c>
      <c r="T174" s="46">
        <f t="shared" si="44"/>
        <v>0</v>
      </c>
      <c r="U174" s="46">
        <f t="shared" si="44"/>
        <v>0</v>
      </c>
      <c r="V174" s="46">
        <f t="shared" si="44"/>
        <v>0</v>
      </c>
      <c r="W174" s="46">
        <f t="shared" si="44"/>
        <v>0</v>
      </c>
      <c r="X174" s="46">
        <f t="shared" si="44"/>
        <v>0</v>
      </c>
      <c r="Y174" s="46">
        <f t="shared" si="44"/>
        <v>0</v>
      </c>
      <c r="Z174" s="46">
        <f t="shared" si="44"/>
        <v>0</v>
      </c>
      <c r="AA174" s="46">
        <f t="shared" si="44"/>
        <v>0</v>
      </c>
      <c r="AB174" s="46">
        <f t="shared" si="44"/>
        <v>0</v>
      </c>
      <c r="AC174" s="46">
        <f t="shared" si="44"/>
        <v>0</v>
      </c>
      <c r="AD174" s="46">
        <f t="shared" si="44"/>
        <v>0</v>
      </c>
      <c r="AE174" s="46">
        <f t="shared" si="44"/>
        <v>0</v>
      </c>
      <c r="AF174" s="46">
        <f t="shared" si="44"/>
        <v>0</v>
      </c>
      <c r="AG174" s="46">
        <f t="shared" si="44"/>
        <v>0</v>
      </c>
      <c r="AH174" s="46">
        <f t="shared" si="44"/>
        <v>0</v>
      </c>
      <c r="AI174" s="46">
        <f t="shared" si="44"/>
        <v>0</v>
      </c>
      <c r="AJ174" s="46">
        <f t="shared" si="44"/>
        <v>0</v>
      </c>
      <c r="AK174" s="46">
        <f t="shared" si="44"/>
        <v>0</v>
      </c>
      <c r="AL174" s="46">
        <f t="shared" si="44"/>
        <v>0</v>
      </c>
      <c r="AM174" s="46">
        <f t="shared" si="44"/>
        <v>0</v>
      </c>
      <c r="AN174" s="46">
        <f t="shared" si="44"/>
        <v>0</v>
      </c>
      <c r="AO174" s="46">
        <f t="shared" si="44"/>
        <v>0</v>
      </c>
      <c r="AP174" s="46">
        <f t="shared" si="44"/>
        <v>0</v>
      </c>
      <c r="AQ174" s="46">
        <f t="shared" si="44"/>
        <v>0</v>
      </c>
      <c r="AR174" s="46">
        <f t="shared" si="44"/>
        <v>0</v>
      </c>
      <c r="AS174" s="143">
        <f t="shared" si="40"/>
        <v>0</v>
      </c>
    </row>
    <row r="175" spans="6:45" ht="21" x14ac:dyDescent="0.15">
      <c r="F175" s="67" t="s">
        <v>930</v>
      </c>
      <c r="G175" s="212" t="s">
        <v>338</v>
      </c>
      <c r="H175" s="144" t="s">
        <v>341</v>
      </c>
      <c r="I175" s="45">
        <f t="shared" si="34"/>
        <v>0</v>
      </c>
      <c r="J175" s="45">
        <f t="shared" si="35"/>
        <v>0</v>
      </c>
      <c r="K175" s="45">
        <f t="shared" si="36"/>
        <v>0</v>
      </c>
      <c r="L175" s="45">
        <f t="shared" si="37"/>
        <v>0</v>
      </c>
      <c r="M175" s="45">
        <f t="shared" si="38"/>
        <v>0</v>
      </c>
      <c r="N175" s="45">
        <f t="shared" si="39"/>
        <v>0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143">
        <f t="shared" si="40"/>
        <v>0</v>
      </c>
    </row>
    <row r="176" spans="6:45" x14ac:dyDescent="0.15">
      <c r="F176" s="67" t="s">
        <v>930</v>
      </c>
      <c r="G176" s="212" t="s">
        <v>340</v>
      </c>
      <c r="H176" s="142" t="s">
        <v>343</v>
      </c>
      <c r="I176" s="45">
        <f t="shared" si="34"/>
        <v>0</v>
      </c>
      <c r="J176" s="45">
        <f t="shared" si="35"/>
        <v>0</v>
      </c>
      <c r="K176" s="45">
        <f t="shared" si="36"/>
        <v>0</v>
      </c>
      <c r="L176" s="45">
        <f t="shared" si="37"/>
        <v>0</v>
      </c>
      <c r="M176" s="45">
        <f t="shared" si="38"/>
        <v>0</v>
      </c>
      <c r="N176" s="45">
        <f t="shared" si="39"/>
        <v>0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143">
        <f t="shared" si="40"/>
        <v>0</v>
      </c>
    </row>
    <row r="177" spans="6:45" x14ac:dyDescent="0.15">
      <c r="F177" s="67" t="s">
        <v>930</v>
      </c>
      <c r="G177" s="212" t="s">
        <v>342</v>
      </c>
      <c r="H177" s="144" t="s">
        <v>345</v>
      </c>
      <c r="I177" s="45">
        <f t="shared" si="34"/>
        <v>0</v>
      </c>
      <c r="J177" s="45">
        <f t="shared" si="35"/>
        <v>0</v>
      </c>
      <c r="K177" s="45">
        <f t="shared" si="36"/>
        <v>0</v>
      </c>
      <c r="L177" s="45">
        <f t="shared" si="37"/>
        <v>0</v>
      </c>
      <c r="M177" s="45">
        <f t="shared" si="38"/>
        <v>0</v>
      </c>
      <c r="N177" s="45">
        <f t="shared" si="39"/>
        <v>0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143">
        <f t="shared" si="40"/>
        <v>0</v>
      </c>
    </row>
    <row r="178" spans="6:45" x14ac:dyDescent="0.15">
      <c r="F178" s="67" t="s">
        <v>930</v>
      </c>
      <c r="G178" s="212" t="s">
        <v>344</v>
      </c>
      <c r="H178" s="144" t="s">
        <v>347</v>
      </c>
      <c r="I178" s="45">
        <f t="shared" si="34"/>
        <v>0</v>
      </c>
      <c r="J178" s="45">
        <f t="shared" si="35"/>
        <v>0</v>
      </c>
      <c r="K178" s="45">
        <f t="shared" si="36"/>
        <v>0</v>
      </c>
      <c r="L178" s="45">
        <f t="shared" si="37"/>
        <v>0</v>
      </c>
      <c r="M178" s="45">
        <f t="shared" si="38"/>
        <v>0</v>
      </c>
      <c r="N178" s="45">
        <f t="shared" si="39"/>
        <v>0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143">
        <f t="shared" si="40"/>
        <v>0</v>
      </c>
    </row>
    <row r="179" spans="6:45" x14ac:dyDescent="0.15">
      <c r="F179" s="67" t="s">
        <v>930</v>
      </c>
      <c r="G179" s="212" t="s">
        <v>346</v>
      </c>
      <c r="H179" s="142" t="s">
        <v>349</v>
      </c>
      <c r="I179" s="45">
        <f t="shared" si="34"/>
        <v>0</v>
      </c>
      <c r="J179" s="45">
        <f t="shared" si="35"/>
        <v>0</v>
      </c>
      <c r="K179" s="45">
        <f t="shared" si="36"/>
        <v>0</v>
      </c>
      <c r="L179" s="45">
        <f t="shared" si="37"/>
        <v>0</v>
      </c>
      <c r="M179" s="45">
        <f t="shared" si="38"/>
        <v>0</v>
      </c>
      <c r="N179" s="45">
        <f t="shared" si="39"/>
        <v>0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143">
        <f t="shared" si="40"/>
        <v>0</v>
      </c>
    </row>
    <row r="180" spans="6:45" x14ac:dyDescent="0.15">
      <c r="F180" s="67" t="s">
        <v>928</v>
      </c>
      <c r="G180" s="211" t="s">
        <v>348</v>
      </c>
      <c r="H180" s="144" t="s">
        <v>351</v>
      </c>
      <c r="I180" s="45">
        <f t="shared" si="34"/>
        <v>0</v>
      </c>
      <c r="J180" s="45">
        <f t="shared" si="35"/>
        <v>0</v>
      </c>
      <c r="K180" s="45">
        <f t="shared" si="36"/>
        <v>0</v>
      </c>
      <c r="L180" s="45">
        <f t="shared" si="37"/>
        <v>0</v>
      </c>
      <c r="M180" s="45">
        <f t="shared" si="38"/>
        <v>0</v>
      </c>
      <c r="N180" s="45">
        <f t="shared" si="39"/>
        <v>0</v>
      </c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143">
        <f t="shared" si="40"/>
        <v>0</v>
      </c>
    </row>
    <row r="181" spans="6:45" x14ac:dyDescent="0.15">
      <c r="F181" s="67" t="s">
        <v>928</v>
      </c>
      <c r="G181" s="211" t="s">
        <v>350</v>
      </c>
      <c r="H181" s="144" t="s">
        <v>353</v>
      </c>
      <c r="I181" s="45">
        <f t="shared" si="34"/>
        <v>0</v>
      </c>
      <c r="J181" s="45">
        <f t="shared" si="35"/>
        <v>0</v>
      </c>
      <c r="K181" s="45">
        <f t="shared" si="36"/>
        <v>0</v>
      </c>
      <c r="L181" s="45">
        <f t="shared" si="37"/>
        <v>0</v>
      </c>
      <c r="M181" s="45">
        <f t="shared" si="38"/>
        <v>0</v>
      </c>
      <c r="N181" s="45">
        <f t="shared" si="39"/>
        <v>0</v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143">
        <f t="shared" si="40"/>
        <v>0</v>
      </c>
    </row>
    <row r="182" spans="6:45" x14ac:dyDescent="0.15">
      <c r="F182" s="67" t="s">
        <v>928</v>
      </c>
      <c r="G182" s="211" t="s">
        <v>352</v>
      </c>
      <c r="H182" s="142" t="s">
        <v>355</v>
      </c>
      <c r="I182" s="45">
        <f t="shared" si="34"/>
        <v>0</v>
      </c>
      <c r="J182" s="45">
        <f t="shared" si="35"/>
        <v>0</v>
      </c>
      <c r="K182" s="45">
        <f t="shared" si="36"/>
        <v>0</v>
      </c>
      <c r="L182" s="45">
        <f t="shared" si="37"/>
        <v>0</v>
      </c>
      <c r="M182" s="45">
        <f t="shared" si="38"/>
        <v>0</v>
      </c>
      <c r="N182" s="45">
        <f t="shared" si="39"/>
        <v>0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143">
        <f t="shared" si="40"/>
        <v>0</v>
      </c>
    </row>
    <row r="183" spans="6:45" x14ac:dyDescent="0.15">
      <c r="F183" s="67" t="s">
        <v>928</v>
      </c>
      <c r="G183" s="211" t="s">
        <v>354</v>
      </c>
      <c r="H183" s="144" t="s">
        <v>357</v>
      </c>
      <c r="I183" s="45">
        <f t="shared" si="34"/>
        <v>0</v>
      </c>
      <c r="J183" s="45">
        <f t="shared" si="35"/>
        <v>0</v>
      </c>
      <c r="K183" s="45">
        <f t="shared" si="36"/>
        <v>0</v>
      </c>
      <c r="L183" s="45">
        <f t="shared" si="37"/>
        <v>0</v>
      </c>
      <c r="M183" s="45">
        <f t="shared" si="38"/>
        <v>0</v>
      </c>
      <c r="N183" s="45">
        <f t="shared" si="39"/>
        <v>0</v>
      </c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143">
        <f t="shared" si="40"/>
        <v>0</v>
      </c>
    </row>
    <row r="184" spans="6:45" x14ac:dyDescent="0.15">
      <c r="F184" s="67" t="s">
        <v>932</v>
      </c>
      <c r="G184" s="211" t="s">
        <v>356</v>
      </c>
      <c r="H184" s="144" t="s">
        <v>359</v>
      </c>
      <c r="I184" s="45">
        <f t="shared" si="34"/>
        <v>0</v>
      </c>
      <c r="J184" s="45">
        <f t="shared" si="35"/>
        <v>0</v>
      </c>
      <c r="K184" s="45">
        <f t="shared" si="36"/>
        <v>0</v>
      </c>
      <c r="L184" s="45">
        <f t="shared" si="37"/>
        <v>0</v>
      </c>
      <c r="M184" s="45">
        <f t="shared" si="38"/>
        <v>0</v>
      </c>
      <c r="N184" s="45">
        <f t="shared" si="39"/>
        <v>0</v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143">
        <f t="shared" si="40"/>
        <v>0</v>
      </c>
    </row>
    <row r="185" spans="6:45" x14ac:dyDescent="0.15">
      <c r="F185" s="67" t="s">
        <v>928</v>
      </c>
      <c r="G185" s="211" t="s">
        <v>358</v>
      </c>
      <c r="H185" s="142" t="s">
        <v>361</v>
      </c>
      <c r="I185" s="45">
        <f t="shared" si="34"/>
        <v>0</v>
      </c>
      <c r="J185" s="45">
        <f t="shared" si="35"/>
        <v>0</v>
      </c>
      <c r="K185" s="45">
        <f t="shared" si="36"/>
        <v>0</v>
      </c>
      <c r="L185" s="45">
        <f t="shared" si="37"/>
        <v>0</v>
      </c>
      <c r="M185" s="45">
        <f t="shared" si="38"/>
        <v>0</v>
      </c>
      <c r="N185" s="45">
        <f t="shared" si="39"/>
        <v>0</v>
      </c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143">
        <f t="shared" si="40"/>
        <v>0</v>
      </c>
    </row>
    <row r="186" spans="6:45" x14ac:dyDescent="0.15">
      <c r="F186" s="67" t="s">
        <v>928</v>
      </c>
      <c r="G186" s="211" t="s">
        <v>360</v>
      </c>
      <c r="H186" s="144" t="s">
        <v>363</v>
      </c>
      <c r="I186" s="45">
        <f t="shared" si="34"/>
        <v>0</v>
      </c>
      <c r="J186" s="45">
        <f t="shared" si="35"/>
        <v>0</v>
      </c>
      <c r="K186" s="45">
        <f t="shared" si="36"/>
        <v>0</v>
      </c>
      <c r="L186" s="45">
        <f t="shared" si="37"/>
        <v>0</v>
      </c>
      <c r="M186" s="45">
        <f t="shared" si="38"/>
        <v>0</v>
      </c>
      <c r="N186" s="45">
        <f t="shared" si="39"/>
        <v>0</v>
      </c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143">
        <f t="shared" si="40"/>
        <v>0</v>
      </c>
    </row>
    <row r="187" spans="6:45" x14ac:dyDescent="0.15">
      <c r="F187" s="67" t="s">
        <v>928</v>
      </c>
      <c r="G187" s="211" t="s">
        <v>362</v>
      </c>
      <c r="H187" s="144" t="s">
        <v>365</v>
      </c>
      <c r="I187" s="45">
        <f t="shared" si="34"/>
        <v>0</v>
      </c>
      <c r="J187" s="45">
        <f t="shared" si="35"/>
        <v>0</v>
      </c>
      <c r="K187" s="45">
        <f t="shared" si="36"/>
        <v>0</v>
      </c>
      <c r="L187" s="45">
        <f t="shared" si="37"/>
        <v>0</v>
      </c>
      <c r="M187" s="45">
        <f t="shared" si="38"/>
        <v>0</v>
      </c>
      <c r="N187" s="45">
        <f t="shared" si="39"/>
        <v>0</v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143">
        <f t="shared" si="40"/>
        <v>0</v>
      </c>
    </row>
    <row r="188" spans="6:45" x14ac:dyDescent="0.15">
      <c r="F188" s="67" t="s">
        <v>928</v>
      </c>
      <c r="G188" s="211" t="s">
        <v>364</v>
      </c>
      <c r="H188" s="142" t="s">
        <v>367</v>
      </c>
      <c r="I188" s="45">
        <f t="shared" si="34"/>
        <v>0</v>
      </c>
      <c r="J188" s="45">
        <f t="shared" si="35"/>
        <v>0</v>
      </c>
      <c r="K188" s="45">
        <f t="shared" si="36"/>
        <v>0</v>
      </c>
      <c r="L188" s="45">
        <f t="shared" si="37"/>
        <v>0</v>
      </c>
      <c r="M188" s="45">
        <f t="shared" si="38"/>
        <v>0</v>
      </c>
      <c r="N188" s="45">
        <f t="shared" si="39"/>
        <v>0</v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143">
        <f t="shared" si="40"/>
        <v>0</v>
      </c>
    </row>
    <row r="189" spans="6:45" x14ac:dyDescent="0.15">
      <c r="F189" s="67" t="s">
        <v>929</v>
      </c>
      <c r="G189" s="211" t="s">
        <v>366</v>
      </c>
      <c r="H189" s="144" t="s">
        <v>369</v>
      </c>
      <c r="I189" s="45">
        <f t="shared" si="34"/>
        <v>0</v>
      </c>
      <c r="J189" s="45">
        <f t="shared" si="35"/>
        <v>0</v>
      </c>
      <c r="K189" s="45">
        <f t="shared" si="36"/>
        <v>0</v>
      </c>
      <c r="L189" s="45">
        <f t="shared" si="37"/>
        <v>0</v>
      </c>
      <c r="M189" s="45">
        <f t="shared" si="38"/>
        <v>0</v>
      </c>
      <c r="N189" s="45">
        <f t="shared" si="39"/>
        <v>0</v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143">
        <f t="shared" si="40"/>
        <v>0</v>
      </c>
    </row>
    <row r="190" spans="6:45" x14ac:dyDescent="0.15">
      <c r="F190" s="67" t="s">
        <v>928</v>
      </c>
      <c r="G190" s="211" t="s">
        <v>368</v>
      </c>
      <c r="H190" s="144" t="s">
        <v>371</v>
      </c>
      <c r="I190" s="45">
        <f t="shared" si="34"/>
        <v>0</v>
      </c>
      <c r="J190" s="45">
        <f t="shared" si="35"/>
        <v>0</v>
      </c>
      <c r="K190" s="45">
        <f t="shared" si="36"/>
        <v>0</v>
      </c>
      <c r="L190" s="45">
        <f t="shared" si="37"/>
        <v>0</v>
      </c>
      <c r="M190" s="45">
        <f t="shared" si="38"/>
        <v>0</v>
      </c>
      <c r="N190" s="45">
        <f t="shared" si="39"/>
        <v>0</v>
      </c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143">
        <f t="shared" si="40"/>
        <v>0</v>
      </c>
    </row>
    <row r="191" spans="6:45" x14ac:dyDescent="0.15">
      <c r="F191" s="67" t="s">
        <v>930</v>
      </c>
      <c r="G191" s="211" t="s">
        <v>370</v>
      </c>
      <c r="H191" s="142" t="s">
        <v>373</v>
      </c>
      <c r="I191" s="45">
        <f t="shared" si="34"/>
        <v>0</v>
      </c>
      <c r="J191" s="45">
        <f t="shared" si="35"/>
        <v>0</v>
      </c>
      <c r="K191" s="45">
        <f t="shared" si="36"/>
        <v>0</v>
      </c>
      <c r="L191" s="45">
        <f t="shared" si="37"/>
        <v>0</v>
      </c>
      <c r="M191" s="45">
        <f t="shared" si="38"/>
        <v>0</v>
      </c>
      <c r="N191" s="45">
        <f t="shared" si="39"/>
        <v>0</v>
      </c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143">
        <f t="shared" si="40"/>
        <v>0</v>
      </c>
    </row>
    <row r="192" spans="6:45" x14ac:dyDescent="0.15">
      <c r="F192" s="67" t="s">
        <v>928</v>
      </c>
      <c r="G192" s="211" t="s">
        <v>372</v>
      </c>
      <c r="H192" s="144" t="s">
        <v>375</v>
      </c>
      <c r="I192" s="45">
        <f t="shared" si="34"/>
        <v>0</v>
      </c>
      <c r="J192" s="45">
        <f t="shared" si="35"/>
        <v>0</v>
      </c>
      <c r="K192" s="45">
        <f t="shared" si="36"/>
        <v>0</v>
      </c>
      <c r="L192" s="45">
        <f t="shared" si="37"/>
        <v>0</v>
      </c>
      <c r="M192" s="45">
        <f t="shared" si="38"/>
        <v>0</v>
      </c>
      <c r="N192" s="45">
        <f t="shared" si="39"/>
        <v>0</v>
      </c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143">
        <f t="shared" si="40"/>
        <v>0</v>
      </c>
    </row>
    <row r="193" spans="6:45" x14ac:dyDescent="0.15">
      <c r="F193" s="67" t="s">
        <v>928</v>
      </c>
      <c r="G193" s="211" t="s">
        <v>374</v>
      </c>
      <c r="H193" s="144" t="s">
        <v>377</v>
      </c>
      <c r="I193" s="45">
        <f t="shared" si="34"/>
        <v>0</v>
      </c>
      <c r="J193" s="45">
        <f t="shared" si="35"/>
        <v>0</v>
      </c>
      <c r="K193" s="45">
        <f t="shared" si="36"/>
        <v>0</v>
      </c>
      <c r="L193" s="45">
        <f t="shared" si="37"/>
        <v>0</v>
      </c>
      <c r="M193" s="45">
        <f t="shared" si="38"/>
        <v>0</v>
      </c>
      <c r="N193" s="45">
        <f t="shared" si="39"/>
        <v>0</v>
      </c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143">
        <f t="shared" si="40"/>
        <v>0</v>
      </c>
    </row>
    <row r="194" spans="6:45" x14ac:dyDescent="0.15">
      <c r="F194" s="67" t="s">
        <v>930</v>
      </c>
      <c r="G194" s="211" t="s">
        <v>376</v>
      </c>
      <c r="H194" s="142" t="s">
        <v>379</v>
      </c>
      <c r="I194" s="45">
        <f t="shared" si="34"/>
        <v>0</v>
      </c>
      <c r="J194" s="45">
        <f t="shared" si="35"/>
        <v>0</v>
      </c>
      <c r="K194" s="45">
        <f t="shared" si="36"/>
        <v>0</v>
      </c>
      <c r="L194" s="45">
        <f t="shared" si="37"/>
        <v>0</v>
      </c>
      <c r="M194" s="45">
        <f t="shared" si="38"/>
        <v>0</v>
      </c>
      <c r="N194" s="45">
        <f t="shared" si="39"/>
        <v>0</v>
      </c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143">
        <f t="shared" si="40"/>
        <v>0</v>
      </c>
    </row>
    <row r="195" spans="6:45" x14ac:dyDescent="0.15">
      <c r="F195" s="67" t="s">
        <v>930</v>
      </c>
      <c r="G195" s="211" t="s">
        <v>378</v>
      </c>
      <c r="H195" s="144" t="s">
        <v>381</v>
      </c>
      <c r="I195" s="45">
        <f t="shared" si="34"/>
        <v>0</v>
      </c>
      <c r="J195" s="45">
        <f t="shared" si="35"/>
        <v>0</v>
      </c>
      <c r="K195" s="45">
        <f t="shared" si="36"/>
        <v>0</v>
      </c>
      <c r="L195" s="45">
        <f t="shared" si="37"/>
        <v>0</v>
      </c>
      <c r="M195" s="45">
        <f t="shared" si="38"/>
        <v>0</v>
      </c>
      <c r="N195" s="45">
        <f t="shared" si="39"/>
        <v>0</v>
      </c>
      <c r="O195" s="46">
        <f t="shared" ref="O195:AR195" si="45">SUM(O196:O198)</f>
        <v>0</v>
      </c>
      <c r="P195" s="46">
        <f t="shared" si="45"/>
        <v>0</v>
      </c>
      <c r="Q195" s="46">
        <f t="shared" si="45"/>
        <v>0</v>
      </c>
      <c r="R195" s="46">
        <f t="shared" si="45"/>
        <v>0</v>
      </c>
      <c r="S195" s="46">
        <f t="shared" si="45"/>
        <v>0</v>
      </c>
      <c r="T195" s="46">
        <f t="shared" si="45"/>
        <v>0</v>
      </c>
      <c r="U195" s="46">
        <f t="shared" si="45"/>
        <v>0</v>
      </c>
      <c r="V195" s="46">
        <f t="shared" si="45"/>
        <v>0</v>
      </c>
      <c r="W195" s="46">
        <f t="shared" si="45"/>
        <v>0</v>
      </c>
      <c r="X195" s="46">
        <f t="shared" si="45"/>
        <v>0</v>
      </c>
      <c r="Y195" s="46">
        <f t="shared" si="45"/>
        <v>0</v>
      </c>
      <c r="Z195" s="46">
        <f t="shared" si="45"/>
        <v>0</v>
      </c>
      <c r="AA195" s="46">
        <f t="shared" si="45"/>
        <v>0</v>
      </c>
      <c r="AB195" s="46">
        <f t="shared" si="45"/>
        <v>0</v>
      </c>
      <c r="AC195" s="46">
        <f t="shared" si="45"/>
        <v>0</v>
      </c>
      <c r="AD195" s="46">
        <f t="shared" si="45"/>
        <v>0</v>
      </c>
      <c r="AE195" s="46">
        <f t="shared" si="45"/>
        <v>0</v>
      </c>
      <c r="AF195" s="46">
        <f t="shared" si="45"/>
        <v>0</v>
      </c>
      <c r="AG195" s="46">
        <f t="shared" si="45"/>
        <v>0</v>
      </c>
      <c r="AH195" s="46">
        <f t="shared" si="45"/>
        <v>0</v>
      </c>
      <c r="AI195" s="46">
        <f t="shared" si="45"/>
        <v>0</v>
      </c>
      <c r="AJ195" s="46">
        <f t="shared" si="45"/>
        <v>0</v>
      </c>
      <c r="AK195" s="46">
        <f t="shared" si="45"/>
        <v>0</v>
      </c>
      <c r="AL195" s="46">
        <f t="shared" si="45"/>
        <v>0</v>
      </c>
      <c r="AM195" s="46">
        <f t="shared" si="45"/>
        <v>0</v>
      </c>
      <c r="AN195" s="46">
        <f t="shared" si="45"/>
        <v>0</v>
      </c>
      <c r="AO195" s="46">
        <f t="shared" si="45"/>
        <v>0</v>
      </c>
      <c r="AP195" s="46">
        <f t="shared" si="45"/>
        <v>0</v>
      </c>
      <c r="AQ195" s="46">
        <f t="shared" si="45"/>
        <v>0</v>
      </c>
      <c r="AR195" s="46">
        <f t="shared" si="45"/>
        <v>0</v>
      </c>
      <c r="AS195" s="143">
        <f t="shared" si="40"/>
        <v>0</v>
      </c>
    </row>
    <row r="196" spans="6:45" ht="21" x14ac:dyDescent="0.15">
      <c r="F196" s="67" t="s">
        <v>930</v>
      </c>
      <c r="G196" s="212" t="s">
        <v>380</v>
      </c>
      <c r="H196" s="144" t="s">
        <v>383</v>
      </c>
      <c r="I196" s="45">
        <f t="shared" si="34"/>
        <v>0</v>
      </c>
      <c r="J196" s="45">
        <f t="shared" si="35"/>
        <v>0</v>
      </c>
      <c r="K196" s="45">
        <f t="shared" si="36"/>
        <v>0</v>
      </c>
      <c r="L196" s="45">
        <f t="shared" si="37"/>
        <v>0</v>
      </c>
      <c r="M196" s="45">
        <f t="shared" si="38"/>
        <v>0</v>
      </c>
      <c r="N196" s="45">
        <f t="shared" si="39"/>
        <v>0</v>
      </c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143">
        <f t="shared" si="40"/>
        <v>0</v>
      </c>
    </row>
    <row r="197" spans="6:45" x14ac:dyDescent="0.15">
      <c r="F197" s="67" t="s">
        <v>930</v>
      </c>
      <c r="G197" s="212" t="s">
        <v>382</v>
      </c>
      <c r="H197" s="142" t="s">
        <v>385</v>
      </c>
      <c r="I197" s="45">
        <f t="shared" si="34"/>
        <v>0</v>
      </c>
      <c r="J197" s="45">
        <f t="shared" si="35"/>
        <v>0</v>
      </c>
      <c r="K197" s="45">
        <f t="shared" si="36"/>
        <v>0</v>
      </c>
      <c r="L197" s="45">
        <f t="shared" si="37"/>
        <v>0</v>
      </c>
      <c r="M197" s="45">
        <f t="shared" si="38"/>
        <v>0</v>
      </c>
      <c r="N197" s="45">
        <f t="shared" si="39"/>
        <v>0</v>
      </c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143">
        <f t="shared" si="40"/>
        <v>0</v>
      </c>
    </row>
    <row r="198" spans="6:45" ht="21" x14ac:dyDescent="0.15">
      <c r="F198" s="67" t="s">
        <v>930</v>
      </c>
      <c r="G198" s="212" t="s">
        <v>384</v>
      </c>
      <c r="H198" s="144" t="s">
        <v>387</v>
      </c>
      <c r="I198" s="45">
        <f t="shared" si="34"/>
        <v>0</v>
      </c>
      <c r="J198" s="45">
        <f t="shared" si="35"/>
        <v>0</v>
      </c>
      <c r="K198" s="45">
        <f t="shared" si="36"/>
        <v>0</v>
      </c>
      <c r="L198" s="45">
        <f t="shared" si="37"/>
        <v>0</v>
      </c>
      <c r="M198" s="45">
        <f t="shared" si="38"/>
        <v>0</v>
      </c>
      <c r="N198" s="45">
        <f t="shared" si="39"/>
        <v>0</v>
      </c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143">
        <f t="shared" si="40"/>
        <v>0</v>
      </c>
    </row>
    <row r="199" spans="6:45" x14ac:dyDescent="0.15">
      <c r="F199" s="67" t="s">
        <v>930</v>
      </c>
      <c r="G199" s="211" t="s">
        <v>386</v>
      </c>
      <c r="H199" s="144" t="s">
        <v>389</v>
      </c>
      <c r="I199" s="45">
        <f t="shared" si="34"/>
        <v>0</v>
      </c>
      <c r="J199" s="45">
        <f t="shared" si="35"/>
        <v>0</v>
      </c>
      <c r="K199" s="45">
        <f t="shared" si="36"/>
        <v>0</v>
      </c>
      <c r="L199" s="45">
        <f t="shared" si="37"/>
        <v>0</v>
      </c>
      <c r="M199" s="45">
        <f t="shared" si="38"/>
        <v>0</v>
      </c>
      <c r="N199" s="45">
        <f t="shared" si="39"/>
        <v>0</v>
      </c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143">
        <f t="shared" si="40"/>
        <v>0</v>
      </c>
    </row>
    <row r="200" spans="6:45" x14ac:dyDescent="0.15">
      <c r="F200" s="67" t="s">
        <v>930</v>
      </c>
      <c r="G200" s="211" t="s">
        <v>388</v>
      </c>
      <c r="H200" s="142" t="s">
        <v>391</v>
      </c>
      <c r="I200" s="45">
        <f t="shared" si="34"/>
        <v>0</v>
      </c>
      <c r="J200" s="45">
        <f t="shared" si="35"/>
        <v>0</v>
      </c>
      <c r="K200" s="45">
        <f t="shared" si="36"/>
        <v>0</v>
      </c>
      <c r="L200" s="45">
        <f t="shared" si="37"/>
        <v>0</v>
      </c>
      <c r="M200" s="45">
        <f t="shared" si="38"/>
        <v>0</v>
      </c>
      <c r="N200" s="45">
        <f t="shared" si="39"/>
        <v>0</v>
      </c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143">
        <f t="shared" si="40"/>
        <v>0</v>
      </c>
    </row>
    <row r="201" spans="6:45" x14ac:dyDescent="0.15">
      <c r="F201" s="67" t="s">
        <v>931</v>
      </c>
      <c r="G201" s="211" t="s">
        <v>390</v>
      </c>
      <c r="H201" s="144" t="s">
        <v>393</v>
      </c>
      <c r="I201" s="45">
        <f t="shared" si="34"/>
        <v>0</v>
      </c>
      <c r="J201" s="45">
        <f t="shared" si="35"/>
        <v>0</v>
      </c>
      <c r="K201" s="45">
        <f t="shared" si="36"/>
        <v>0</v>
      </c>
      <c r="L201" s="45">
        <f t="shared" si="37"/>
        <v>0</v>
      </c>
      <c r="M201" s="45">
        <f t="shared" si="38"/>
        <v>0</v>
      </c>
      <c r="N201" s="45">
        <f t="shared" si="39"/>
        <v>0</v>
      </c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143">
        <f t="shared" si="40"/>
        <v>0</v>
      </c>
    </row>
    <row r="202" spans="6:45" x14ac:dyDescent="0.15">
      <c r="F202" s="67" t="s">
        <v>931</v>
      </c>
      <c r="G202" s="211" t="s">
        <v>392</v>
      </c>
      <c r="H202" s="144" t="s">
        <v>395</v>
      </c>
      <c r="I202" s="45">
        <f t="shared" si="34"/>
        <v>0</v>
      </c>
      <c r="J202" s="45">
        <f t="shared" si="35"/>
        <v>0</v>
      </c>
      <c r="K202" s="45">
        <f t="shared" si="36"/>
        <v>0</v>
      </c>
      <c r="L202" s="45">
        <f t="shared" si="37"/>
        <v>0</v>
      </c>
      <c r="M202" s="45">
        <f t="shared" si="38"/>
        <v>0</v>
      </c>
      <c r="N202" s="45">
        <f t="shared" si="39"/>
        <v>0</v>
      </c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143">
        <f t="shared" si="40"/>
        <v>0</v>
      </c>
    </row>
    <row r="203" spans="6:45" x14ac:dyDescent="0.15">
      <c r="F203" s="67" t="s">
        <v>931</v>
      </c>
      <c r="G203" s="211" t="s">
        <v>394</v>
      </c>
      <c r="H203" s="142" t="s">
        <v>397</v>
      </c>
      <c r="I203" s="45">
        <f t="shared" si="34"/>
        <v>0</v>
      </c>
      <c r="J203" s="45">
        <f t="shared" si="35"/>
        <v>0</v>
      </c>
      <c r="K203" s="45">
        <f t="shared" si="36"/>
        <v>0</v>
      </c>
      <c r="L203" s="45">
        <f t="shared" si="37"/>
        <v>0</v>
      </c>
      <c r="M203" s="45">
        <f t="shared" si="38"/>
        <v>0</v>
      </c>
      <c r="N203" s="45">
        <f t="shared" si="39"/>
        <v>0</v>
      </c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143">
        <f t="shared" si="40"/>
        <v>0</v>
      </c>
    </row>
    <row r="204" spans="6:45" x14ac:dyDescent="0.15">
      <c r="F204" s="67" t="s">
        <v>931</v>
      </c>
      <c r="G204" s="211" t="s">
        <v>396</v>
      </c>
      <c r="H204" s="144" t="s">
        <v>399</v>
      </c>
      <c r="I204" s="45">
        <f t="shared" si="34"/>
        <v>0</v>
      </c>
      <c r="J204" s="45">
        <f t="shared" si="35"/>
        <v>0</v>
      </c>
      <c r="K204" s="45">
        <f t="shared" si="36"/>
        <v>0</v>
      </c>
      <c r="L204" s="45">
        <f t="shared" si="37"/>
        <v>0</v>
      </c>
      <c r="M204" s="45">
        <f t="shared" si="38"/>
        <v>0</v>
      </c>
      <c r="N204" s="45">
        <f t="shared" si="39"/>
        <v>0</v>
      </c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143">
        <f t="shared" si="40"/>
        <v>0</v>
      </c>
    </row>
    <row r="205" spans="6:45" x14ac:dyDescent="0.15">
      <c r="F205" s="67" t="s">
        <v>931</v>
      </c>
      <c r="G205" s="211" t="s">
        <v>398</v>
      </c>
      <c r="H205" s="144" t="s">
        <v>401</v>
      </c>
      <c r="I205" s="45">
        <f t="shared" ref="I205:I269" si="46">SUM(J205:L205)</f>
        <v>0</v>
      </c>
      <c r="J205" s="45">
        <f t="shared" ref="J205:J269" si="47">O205+T205+Y205+AD205+AI205+AN205</f>
        <v>0</v>
      </c>
      <c r="K205" s="45">
        <f t="shared" ref="K205:K269" si="48">P205+U205+Z205+AE205+AJ205+AO205</f>
        <v>0</v>
      </c>
      <c r="L205" s="45">
        <f t="shared" ref="L205:L269" si="49">Q205+V205+AA205+AF205+AK205+AP205</f>
        <v>0</v>
      </c>
      <c r="M205" s="45">
        <f t="shared" ref="M205:M269" si="50">R205+W205+AB205+AG205+AL205+AQ205</f>
        <v>0</v>
      </c>
      <c r="N205" s="45">
        <f t="shared" ref="N205:N269" si="51">S205+X205+AC205+AH205+AM205+AR205</f>
        <v>0</v>
      </c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143">
        <f t="shared" ref="AS205:AS269" si="52">SUM(I205:AR205)</f>
        <v>0</v>
      </c>
    </row>
    <row r="206" spans="6:45" ht="21" x14ac:dyDescent="0.15">
      <c r="F206" s="67" t="s">
        <v>931</v>
      </c>
      <c r="G206" s="211" t="s">
        <v>400</v>
      </c>
      <c r="H206" s="142" t="s">
        <v>403</v>
      </c>
      <c r="I206" s="45">
        <f t="shared" si="46"/>
        <v>0</v>
      </c>
      <c r="J206" s="45">
        <f t="shared" si="47"/>
        <v>0</v>
      </c>
      <c r="K206" s="45">
        <f t="shared" si="48"/>
        <v>0</v>
      </c>
      <c r="L206" s="45">
        <f t="shared" si="49"/>
        <v>0</v>
      </c>
      <c r="M206" s="45">
        <f t="shared" si="50"/>
        <v>0</v>
      </c>
      <c r="N206" s="45">
        <f t="shared" si="51"/>
        <v>0</v>
      </c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143">
        <f t="shared" si="52"/>
        <v>0</v>
      </c>
    </row>
    <row r="207" spans="6:45" ht="21" x14ac:dyDescent="0.15">
      <c r="F207" s="67" t="s">
        <v>931</v>
      </c>
      <c r="G207" s="211" t="s">
        <v>402</v>
      </c>
      <c r="H207" s="144" t="s">
        <v>405</v>
      </c>
      <c r="I207" s="45">
        <f t="shared" si="46"/>
        <v>0</v>
      </c>
      <c r="J207" s="45">
        <f t="shared" si="47"/>
        <v>0</v>
      </c>
      <c r="K207" s="45">
        <f t="shared" si="48"/>
        <v>0</v>
      </c>
      <c r="L207" s="45">
        <f t="shared" si="49"/>
        <v>0</v>
      </c>
      <c r="M207" s="45">
        <f t="shared" si="50"/>
        <v>0</v>
      </c>
      <c r="N207" s="45">
        <f t="shared" si="51"/>
        <v>0</v>
      </c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143">
        <f t="shared" si="52"/>
        <v>0</v>
      </c>
    </row>
    <row r="208" spans="6:45" x14ac:dyDescent="0.15">
      <c r="F208" s="67" t="s">
        <v>931</v>
      </c>
      <c r="G208" s="211" t="s">
        <v>404</v>
      </c>
      <c r="H208" s="144" t="s">
        <v>407</v>
      </c>
      <c r="I208" s="45">
        <f t="shared" si="46"/>
        <v>0</v>
      </c>
      <c r="J208" s="45">
        <f t="shared" si="47"/>
        <v>0</v>
      </c>
      <c r="K208" s="45">
        <f t="shared" si="48"/>
        <v>0</v>
      </c>
      <c r="L208" s="45">
        <f t="shared" si="49"/>
        <v>0</v>
      </c>
      <c r="M208" s="45">
        <f t="shared" si="50"/>
        <v>0</v>
      </c>
      <c r="N208" s="45">
        <f t="shared" si="51"/>
        <v>0</v>
      </c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143">
        <f t="shared" si="52"/>
        <v>0</v>
      </c>
    </row>
    <row r="209" spans="6:45" ht="21" x14ac:dyDescent="0.15">
      <c r="F209" s="67" t="s">
        <v>928</v>
      </c>
      <c r="G209" s="211" t="s">
        <v>406</v>
      </c>
      <c r="H209" s="142" t="s">
        <v>409</v>
      </c>
      <c r="I209" s="45">
        <f t="shared" si="46"/>
        <v>0</v>
      </c>
      <c r="J209" s="45">
        <f t="shared" si="47"/>
        <v>0</v>
      </c>
      <c r="K209" s="45">
        <f t="shared" si="48"/>
        <v>0</v>
      </c>
      <c r="L209" s="45">
        <f t="shared" si="49"/>
        <v>0</v>
      </c>
      <c r="M209" s="45">
        <f t="shared" si="50"/>
        <v>0</v>
      </c>
      <c r="N209" s="45">
        <f t="shared" si="51"/>
        <v>0</v>
      </c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143">
        <f t="shared" si="52"/>
        <v>0</v>
      </c>
    </row>
    <row r="210" spans="6:45" x14ac:dyDescent="0.15">
      <c r="F210" s="67" t="s">
        <v>929</v>
      </c>
      <c r="G210" s="211" t="s">
        <v>408</v>
      </c>
      <c r="H210" s="144" t="s">
        <v>411</v>
      </c>
      <c r="I210" s="45">
        <f t="shared" si="46"/>
        <v>0</v>
      </c>
      <c r="J210" s="45">
        <f t="shared" si="47"/>
        <v>0</v>
      </c>
      <c r="K210" s="45">
        <f t="shared" si="48"/>
        <v>0</v>
      </c>
      <c r="L210" s="45">
        <f t="shared" si="49"/>
        <v>0</v>
      </c>
      <c r="M210" s="45">
        <f t="shared" si="50"/>
        <v>0</v>
      </c>
      <c r="N210" s="45">
        <f t="shared" si="51"/>
        <v>0</v>
      </c>
      <c r="O210" s="46">
        <f t="shared" ref="O210:AR210" si="53">SUM(O211:O216)</f>
        <v>0</v>
      </c>
      <c r="P210" s="46">
        <f t="shared" si="53"/>
        <v>0</v>
      </c>
      <c r="Q210" s="46">
        <f t="shared" si="53"/>
        <v>0</v>
      </c>
      <c r="R210" s="46">
        <f t="shared" si="53"/>
        <v>0</v>
      </c>
      <c r="S210" s="46">
        <f t="shared" si="53"/>
        <v>0</v>
      </c>
      <c r="T210" s="46">
        <f t="shared" si="53"/>
        <v>0</v>
      </c>
      <c r="U210" s="46">
        <f t="shared" si="53"/>
        <v>0</v>
      </c>
      <c r="V210" s="46">
        <f t="shared" si="53"/>
        <v>0</v>
      </c>
      <c r="W210" s="46">
        <f t="shared" si="53"/>
        <v>0</v>
      </c>
      <c r="X210" s="46">
        <f t="shared" si="53"/>
        <v>0</v>
      </c>
      <c r="Y210" s="46">
        <f t="shared" si="53"/>
        <v>0</v>
      </c>
      <c r="Z210" s="46">
        <f t="shared" si="53"/>
        <v>0</v>
      </c>
      <c r="AA210" s="46">
        <f t="shared" si="53"/>
        <v>0</v>
      </c>
      <c r="AB210" s="46">
        <f t="shared" si="53"/>
        <v>0</v>
      </c>
      <c r="AC210" s="46">
        <f t="shared" si="53"/>
        <v>0</v>
      </c>
      <c r="AD210" s="46">
        <f t="shared" si="53"/>
        <v>0</v>
      </c>
      <c r="AE210" s="46">
        <f t="shared" si="53"/>
        <v>0</v>
      </c>
      <c r="AF210" s="46">
        <f t="shared" si="53"/>
        <v>0</v>
      </c>
      <c r="AG210" s="46">
        <f t="shared" si="53"/>
        <v>0</v>
      </c>
      <c r="AH210" s="46">
        <f t="shared" si="53"/>
        <v>0</v>
      </c>
      <c r="AI210" s="46">
        <f t="shared" si="53"/>
        <v>0</v>
      </c>
      <c r="AJ210" s="46">
        <f t="shared" si="53"/>
        <v>0</v>
      </c>
      <c r="AK210" s="46">
        <f t="shared" si="53"/>
        <v>0</v>
      </c>
      <c r="AL210" s="46">
        <f t="shared" si="53"/>
        <v>0</v>
      </c>
      <c r="AM210" s="46">
        <f t="shared" si="53"/>
        <v>0</v>
      </c>
      <c r="AN210" s="46">
        <f t="shared" si="53"/>
        <v>0</v>
      </c>
      <c r="AO210" s="46">
        <f t="shared" si="53"/>
        <v>0</v>
      </c>
      <c r="AP210" s="46">
        <f t="shared" si="53"/>
        <v>0</v>
      </c>
      <c r="AQ210" s="46">
        <f t="shared" si="53"/>
        <v>0</v>
      </c>
      <c r="AR210" s="46">
        <f t="shared" si="53"/>
        <v>0</v>
      </c>
      <c r="AS210" s="143">
        <f t="shared" si="52"/>
        <v>0</v>
      </c>
    </row>
    <row r="211" spans="6:45" ht="21" x14ac:dyDescent="0.15">
      <c r="F211" s="67" t="s">
        <v>929</v>
      </c>
      <c r="G211" s="212" t="s">
        <v>410</v>
      </c>
      <c r="H211" s="144" t="s">
        <v>413</v>
      </c>
      <c r="I211" s="45">
        <f t="shared" si="46"/>
        <v>0</v>
      </c>
      <c r="J211" s="45">
        <f t="shared" si="47"/>
        <v>0</v>
      </c>
      <c r="K211" s="45">
        <f t="shared" si="48"/>
        <v>0</v>
      </c>
      <c r="L211" s="45">
        <f t="shared" si="49"/>
        <v>0</v>
      </c>
      <c r="M211" s="45">
        <f t="shared" si="50"/>
        <v>0</v>
      </c>
      <c r="N211" s="45">
        <f t="shared" si="51"/>
        <v>0</v>
      </c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143">
        <f t="shared" si="52"/>
        <v>0</v>
      </c>
    </row>
    <row r="212" spans="6:45" x14ac:dyDescent="0.15">
      <c r="F212" s="67" t="s">
        <v>929</v>
      </c>
      <c r="G212" s="212" t="s">
        <v>412</v>
      </c>
      <c r="H212" s="142" t="s">
        <v>415</v>
      </c>
      <c r="I212" s="45">
        <f t="shared" si="46"/>
        <v>0</v>
      </c>
      <c r="J212" s="45">
        <f t="shared" si="47"/>
        <v>0</v>
      </c>
      <c r="K212" s="45">
        <f t="shared" si="48"/>
        <v>0</v>
      </c>
      <c r="L212" s="45">
        <f t="shared" si="49"/>
        <v>0</v>
      </c>
      <c r="M212" s="45">
        <f t="shared" si="50"/>
        <v>0</v>
      </c>
      <c r="N212" s="45">
        <f t="shared" si="51"/>
        <v>0</v>
      </c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143">
        <f t="shared" si="52"/>
        <v>0</v>
      </c>
    </row>
    <row r="213" spans="6:45" x14ac:dyDescent="0.15">
      <c r="F213" s="67" t="s">
        <v>929</v>
      </c>
      <c r="G213" s="212" t="s">
        <v>414</v>
      </c>
      <c r="H213" s="144" t="s">
        <v>417</v>
      </c>
      <c r="I213" s="45">
        <f t="shared" si="46"/>
        <v>0</v>
      </c>
      <c r="J213" s="45">
        <f t="shared" si="47"/>
        <v>0</v>
      </c>
      <c r="K213" s="45">
        <f t="shared" si="48"/>
        <v>0</v>
      </c>
      <c r="L213" s="45">
        <f t="shared" si="49"/>
        <v>0</v>
      </c>
      <c r="M213" s="45">
        <f t="shared" si="50"/>
        <v>0</v>
      </c>
      <c r="N213" s="45">
        <f t="shared" si="51"/>
        <v>0</v>
      </c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143">
        <f t="shared" si="52"/>
        <v>0</v>
      </c>
    </row>
    <row r="214" spans="6:45" x14ac:dyDescent="0.15">
      <c r="F214" s="67" t="s">
        <v>929</v>
      </c>
      <c r="G214" s="212" t="s">
        <v>416</v>
      </c>
      <c r="H214" s="144" t="s">
        <v>419</v>
      </c>
      <c r="I214" s="45">
        <f t="shared" si="46"/>
        <v>0</v>
      </c>
      <c r="J214" s="45">
        <f t="shared" si="47"/>
        <v>0</v>
      </c>
      <c r="K214" s="45">
        <f t="shared" si="48"/>
        <v>0</v>
      </c>
      <c r="L214" s="45">
        <f t="shared" si="49"/>
        <v>0</v>
      </c>
      <c r="M214" s="45">
        <f t="shared" si="50"/>
        <v>0</v>
      </c>
      <c r="N214" s="45">
        <f t="shared" si="51"/>
        <v>0</v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143">
        <f t="shared" si="52"/>
        <v>0</v>
      </c>
    </row>
    <row r="215" spans="6:45" x14ac:dyDescent="0.15">
      <c r="F215" s="67" t="s">
        <v>929</v>
      </c>
      <c r="G215" s="212" t="s">
        <v>418</v>
      </c>
      <c r="H215" s="142" t="s">
        <v>421</v>
      </c>
      <c r="I215" s="45">
        <f t="shared" si="46"/>
        <v>0</v>
      </c>
      <c r="J215" s="45">
        <f t="shared" si="47"/>
        <v>0</v>
      </c>
      <c r="K215" s="45">
        <f t="shared" si="48"/>
        <v>0</v>
      </c>
      <c r="L215" s="45">
        <f t="shared" si="49"/>
        <v>0</v>
      </c>
      <c r="M215" s="45">
        <f t="shared" si="50"/>
        <v>0</v>
      </c>
      <c r="N215" s="45">
        <f t="shared" si="51"/>
        <v>0</v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143">
        <f t="shared" si="52"/>
        <v>0</v>
      </c>
    </row>
    <row r="216" spans="6:45" x14ac:dyDescent="0.15">
      <c r="F216" s="67" t="s">
        <v>929</v>
      </c>
      <c r="G216" s="212" t="s">
        <v>420</v>
      </c>
      <c r="H216" s="144" t="s">
        <v>423</v>
      </c>
      <c r="I216" s="45">
        <f t="shared" si="46"/>
        <v>0</v>
      </c>
      <c r="J216" s="45">
        <f t="shared" si="47"/>
        <v>0</v>
      </c>
      <c r="K216" s="45">
        <f t="shared" si="48"/>
        <v>0</v>
      </c>
      <c r="L216" s="45">
        <f t="shared" si="49"/>
        <v>0</v>
      </c>
      <c r="M216" s="45">
        <f t="shared" si="50"/>
        <v>0</v>
      </c>
      <c r="N216" s="45">
        <f t="shared" si="51"/>
        <v>0</v>
      </c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143">
        <f t="shared" si="52"/>
        <v>0</v>
      </c>
    </row>
    <row r="217" spans="6:45" x14ac:dyDescent="0.15">
      <c r="F217" s="67" t="s">
        <v>930</v>
      </c>
      <c r="G217" s="211" t="s">
        <v>422</v>
      </c>
      <c r="H217" s="144" t="s">
        <v>425</v>
      </c>
      <c r="I217" s="45">
        <f t="shared" si="46"/>
        <v>0</v>
      </c>
      <c r="J217" s="45">
        <f t="shared" si="47"/>
        <v>0</v>
      </c>
      <c r="K217" s="45">
        <f t="shared" si="48"/>
        <v>0</v>
      </c>
      <c r="L217" s="45">
        <f t="shared" si="49"/>
        <v>0</v>
      </c>
      <c r="M217" s="45">
        <f t="shared" si="50"/>
        <v>0</v>
      </c>
      <c r="N217" s="45">
        <f t="shared" si="51"/>
        <v>0</v>
      </c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143">
        <f t="shared" si="52"/>
        <v>0</v>
      </c>
    </row>
    <row r="218" spans="6:45" x14ac:dyDescent="0.15">
      <c r="F218" s="67" t="s">
        <v>930</v>
      </c>
      <c r="G218" s="211" t="s">
        <v>424</v>
      </c>
      <c r="H218" s="142" t="s">
        <v>427</v>
      </c>
      <c r="I218" s="45">
        <f t="shared" si="46"/>
        <v>0</v>
      </c>
      <c r="J218" s="45">
        <f t="shared" si="47"/>
        <v>0</v>
      </c>
      <c r="K218" s="45">
        <f t="shared" si="48"/>
        <v>0</v>
      </c>
      <c r="L218" s="45">
        <f t="shared" si="49"/>
        <v>0</v>
      </c>
      <c r="M218" s="45">
        <f t="shared" si="50"/>
        <v>0</v>
      </c>
      <c r="N218" s="45">
        <f t="shared" si="51"/>
        <v>0</v>
      </c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143">
        <f t="shared" si="52"/>
        <v>0</v>
      </c>
    </row>
    <row r="219" spans="6:45" x14ac:dyDescent="0.15">
      <c r="F219" s="67" t="s">
        <v>931</v>
      </c>
      <c r="G219" s="211" t="s">
        <v>426</v>
      </c>
      <c r="H219" s="144" t="s">
        <v>429</v>
      </c>
      <c r="I219" s="45">
        <f t="shared" si="46"/>
        <v>0</v>
      </c>
      <c r="J219" s="45">
        <f t="shared" si="47"/>
        <v>0</v>
      </c>
      <c r="K219" s="45">
        <f t="shared" si="48"/>
        <v>0</v>
      </c>
      <c r="L219" s="45">
        <f t="shared" si="49"/>
        <v>0</v>
      </c>
      <c r="M219" s="45">
        <f t="shared" si="50"/>
        <v>0</v>
      </c>
      <c r="N219" s="45">
        <f t="shared" si="51"/>
        <v>0</v>
      </c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143">
        <f t="shared" si="52"/>
        <v>0</v>
      </c>
    </row>
    <row r="220" spans="6:45" x14ac:dyDescent="0.15">
      <c r="F220" s="67" t="s">
        <v>928</v>
      </c>
      <c r="G220" s="211" t="s">
        <v>428</v>
      </c>
      <c r="H220" s="144" t="s">
        <v>431</v>
      </c>
      <c r="I220" s="45">
        <f t="shared" si="46"/>
        <v>0</v>
      </c>
      <c r="J220" s="45">
        <f t="shared" si="47"/>
        <v>0</v>
      </c>
      <c r="K220" s="45">
        <f t="shared" si="48"/>
        <v>0</v>
      </c>
      <c r="L220" s="45">
        <f t="shared" si="49"/>
        <v>0</v>
      </c>
      <c r="M220" s="45">
        <f t="shared" si="50"/>
        <v>0</v>
      </c>
      <c r="N220" s="45">
        <f t="shared" si="51"/>
        <v>0</v>
      </c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143">
        <f t="shared" si="52"/>
        <v>0</v>
      </c>
    </row>
    <row r="221" spans="6:45" x14ac:dyDescent="0.15">
      <c r="F221" s="67" t="s">
        <v>928</v>
      </c>
      <c r="G221" s="211" t="s">
        <v>430</v>
      </c>
      <c r="H221" s="142" t="s">
        <v>433</v>
      </c>
      <c r="I221" s="45">
        <f t="shared" si="46"/>
        <v>0</v>
      </c>
      <c r="J221" s="45">
        <f t="shared" si="47"/>
        <v>0</v>
      </c>
      <c r="K221" s="45">
        <f t="shared" si="48"/>
        <v>0</v>
      </c>
      <c r="L221" s="45">
        <f t="shared" si="49"/>
        <v>0</v>
      </c>
      <c r="M221" s="45">
        <f t="shared" si="50"/>
        <v>0</v>
      </c>
      <c r="N221" s="45">
        <f t="shared" si="51"/>
        <v>0</v>
      </c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143">
        <f t="shared" si="52"/>
        <v>0</v>
      </c>
    </row>
    <row r="222" spans="6:45" x14ac:dyDescent="0.15">
      <c r="F222" s="67" t="s">
        <v>928</v>
      </c>
      <c r="G222" s="211" t="s">
        <v>432</v>
      </c>
      <c r="H222" s="144" t="s">
        <v>435</v>
      </c>
      <c r="I222" s="45">
        <f t="shared" si="46"/>
        <v>0</v>
      </c>
      <c r="J222" s="45">
        <f t="shared" si="47"/>
        <v>0</v>
      </c>
      <c r="K222" s="45">
        <f t="shared" si="48"/>
        <v>0</v>
      </c>
      <c r="L222" s="45">
        <f t="shared" si="49"/>
        <v>0</v>
      </c>
      <c r="M222" s="45">
        <f t="shared" si="50"/>
        <v>0</v>
      </c>
      <c r="N222" s="45">
        <f t="shared" si="51"/>
        <v>0</v>
      </c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143">
        <f t="shared" si="52"/>
        <v>0</v>
      </c>
    </row>
    <row r="223" spans="6:45" x14ac:dyDescent="0.15">
      <c r="F223" s="67" t="s">
        <v>930</v>
      </c>
      <c r="G223" s="211" t="s">
        <v>434</v>
      </c>
      <c r="H223" s="144" t="s">
        <v>437</v>
      </c>
      <c r="I223" s="45">
        <f t="shared" si="46"/>
        <v>0</v>
      </c>
      <c r="J223" s="45">
        <f t="shared" si="47"/>
        <v>0</v>
      </c>
      <c r="K223" s="45">
        <f t="shared" si="48"/>
        <v>0</v>
      </c>
      <c r="L223" s="45">
        <f t="shared" si="49"/>
        <v>0</v>
      </c>
      <c r="M223" s="45">
        <f t="shared" si="50"/>
        <v>0</v>
      </c>
      <c r="N223" s="45">
        <f t="shared" si="51"/>
        <v>0</v>
      </c>
      <c r="O223" s="46">
        <f t="shared" ref="O223:AR223" si="54">SUM(O224:O228)</f>
        <v>0</v>
      </c>
      <c r="P223" s="46">
        <f t="shared" si="54"/>
        <v>0</v>
      </c>
      <c r="Q223" s="46">
        <f t="shared" si="54"/>
        <v>0</v>
      </c>
      <c r="R223" s="46">
        <f t="shared" si="54"/>
        <v>0</v>
      </c>
      <c r="S223" s="46">
        <f t="shared" si="54"/>
        <v>0</v>
      </c>
      <c r="T223" s="46">
        <f t="shared" si="54"/>
        <v>0</v>
      </c>
      <c r="U223" s="46">
        <f t="shared" si="54"/>
        <v>0</v>
      </c>
      <c r="V223" s="46">
        <f t="shared" si="54"/>
        <v>0</v>
      </c>
      <c r="W223" s="46">
        <f t="shared" si="54"/>
        <v>0</v>
      </c>
      <c r="X223" s="46">
        <f t="shared" si="54"/>
        <v>0</v>
      </c>
      <c r="Y223" s="46">
        <f t="shared" si="54"/>
        <v>0</v>
      </c>
      <c r="Z223" s="46">
        <f t="shared" si="54"/>
        <v>0</v>
      </c>
      <c r="AA223" s="46">
        <f t="shared" si="54"/>
        <v>0</v>
      </c>
      <c r="AB223" s="46">
        <f t="shared" si="54"/>
        <v>0</v>
      </c>
      <c r="AC223" s="46">
        <f t="shared" si="54"/>
        <v>0</v>
      </c>
      <c r="AD223" s="46">
        <f t="shared" si="54"/>
        <v>0</v>
      </c>
      <c r="AE223" s="46">
        <f t="shared" si="54"/>
        <v>0</v>
      </c>
      <c r="AF223" s="46">
        <f t="shared" si="54"/>
        <v>0</v>
      </c>
      <c r="AG223" s="46">
        <f t="shared" si="54"/>
        <v>0</v>
      </c>
      <c r="AH223" s="46">
        <f t="shared" si="54"/>
        <v>0</v>
      </c>
      <c r="AI223" s="46">
        <f t="shared" si="54"/>
        <v>0</v>
      </c>
      <c r="AJ223" s="46">
        <f t="shared" si="54"/>
        <v>0</v>
      </c>
      <c r="AK223" s="46">
        <f t="shared" si="54"/>
        <v>0</v>
      </c>
      <c r="AL223" s="46">
        <f t="shared" si="54"/>
        <v>0</v>
      </c>
      <c r="AM223" s="46">
        <f t="shared" si="54"/>
        <v>0</v>
      </c>
      <c r="AN223" s="46">
        <f t="shared" si="54"/>
        <v>0</v>
      </c>
      <c r="AO223" s="46">
        <f t="shared" si="54"/>
        <v>0</v>
      </c>
      <c r="AP223" s="46">
        <f t="shared" si="54"/>
        <v>0</v>
      </c>
      <c r="AQ223" s="46">
        <f t="shared" si="54"/>
        <v>0</v>
      </c>
      <c r="AR223" s="46">
        <f t="shared" si="54"/>
        <v>0</v>
      </c>
      <c r="AS223" s="143">
        <f t="shared" si="52"/>
        <v>0</v>
      </c>
    </row>
    <row r="224" spans="6:45" ht="21" x14ac:dyDescent="0.15">
      <c r="F224" s="67" t="s">
        <v>930</v>
      </c>
      <c r="G224" s="212" t="s">
        <v>436</v>
      </c>
      <c r="H224" s="142" t="s">
        <v>439</v>
      </c>
      <c r="I224" s="45">
        <f t="shared" si="46"/>
        <v>0</v>
      </c>
      <c r="J224" s="45">
        <f t="shared" si="47"/>
        <v>0</v>
      </c>
      <c r="K224" s="45">
        <f t="shared" si="48"/>
        <v>0</v>
      </c>
      <c r="L224" s="45">
        <f t="shared" si="49"/>
        <v>0</v>
      </c>
      <c r="M224" s="45">
        <f t="shared" si="50"/>
        <v>0</v>
      </c>
      <c r="N224" s="45">
        <f t="shared" si="51"/>
        <v>0</v>
      </c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143">
        <f t="shared" si="52"/>
        <v>0</v>
      </c>
    </row>
    <row r="225" spans="6:45" x14ac:dyDescent="0.15">
      <c r="F225" s="67" t="s">
        <v>930</v>
      </c>
      <c r="G225" s="212" t="s">
        <v>438</v>
      </c>
      <c r="H225" s="144" t="s">
        <v>441</v>
      </c>
      <c r="I225" s="45">
        <f t="shared" si="46"/>
        <v>0</v>
      </c>
      <c r="J225" s="45">
        <f t="shared" si="47"/>
        <v>0</v>
      </c>
      <c r="K225" s="45">
        <f t="shared" si="48"/>
        <v>0</v>
      </c>
      <c r="L225" s="45">
        <f t="shared" si="49"/>
        <v>0</v>
      </c>
      <c r="M225" s="45">
        <f t="shared" si="50"/>
        <v>0</v>
      </c>
      <c r="N225" s="45">
        <f t="shared" si="51"/>
        <v>0</v>
      </c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143">
        <f t="shared" si="52"/>
        <v>0</v>
      </c>
    </row>
    <row r="226" spans="6:45" x14ac:dyDescent="0.15">
      <c r="F226" s="67" t="s">
        <v>930</v>
      </c>
      <c r="G226" s="212" t="s">
        <v>440</v>
      </c>
      <c r="H226" s="144" t="s">
        <v>443</v>
      </c>
      <c r="I226" s="45">
        <f t="shared" si="46"/>
        <v>0</v>
      </c>
      <c r="J226" s="45">
        <f t="shared" si="47"/>
        <v>0</v>
      </c>
      <c r="K226" s="45">
        <f t="shared" si="48"/>
        <v>0</v>
      </c>
      <c r="L226" s="45">
        <f t="shared" si="49"/>
        <v>0</v>
      </c>
      <c r="M226" s="45">
        <f t="shared" si="50"/>
        <v>0</v>
      </c>
      <c r="N226" s="45">
        <f t="shared" si="51"/>
        <v>0</v>
      </c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143">
        <f t="shared" si="52"/>
        <v>0</v>
      </c>
    </row>
    <row r="227" spans="6:45" x14ac:dyDescent="0.15">
      <c r="F227" s="67" t="s">
        <v>930</v>
      </c>
      <c r="G227" s="212" t="s">
        <v>442</v>
      </c>
      <c r="H227" s="142" t="s">
        <v>445</v>
      </c>
      <c r="I227" s="45">
        <f t="shared" si="46"/>
        <v>0</v>
      </c>
      <c r="J227" s="45">
        <f t="shared" si="47"/>
        <v>0</v>
      </c>
      <c r="K227" s="45">
        <f t="shared" si="48"/>
        <v>0</v>
      </c>
      <c r="L227" s="45">
        <f t="shared" si="49"/>
        <v>0</v>
      </c>
      <c r="M227" s="45">
        <f t="shared" si="50"/>
        <v>0</v>
      </c>
      <c r="N227" s="45">
        <f t="shared" si="51"/>
        <v>0</v>
      </c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143">
        <f t="shared" si="52"/>
        <v>0</v>
      </c>
    </row>
    <row r="228" spans="6:45" x14ac:dyDescent="0.15">
      <c r="F228" s="67" t="s">
        <v>930</v>
      </c>
      <c r="G228" s="212" t="s">
        <v>444</v>
      </c>
      <c r="H228" s="144" t="s">
        <v>447</v>
      </c>
      <c r="I228" s="45">
        <f t="shared" si="46"/>
        <v>0</v>
      </c>
      <c r="J228" s="45">
        <f t="shared" si="47"/>
        <v>0</v>
      </c>
      <c r="K228" s="45">
        <f t="shared" si="48"/>
        <v>0</v>
      </c>
      <c r="L228" s="45">
        <f t="shared" si="49"/>
        <v>0</v>
      </c>
      <c r="M228" s="45">
        <f t="shared" si="50"/>
        <v>0</v>
      </c>
      <c r="N228" s="45">
        <f t="shared" si="51"/>
        <v>0</v>
      </c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143">
        <f t="shared" si="52"/>
        <v>0</v>
      </c>
    </row>
    <row r="229" spans="6:45" x14ac:dyDescent="0.15">
      <c r="F229" s="67" t="s">
        <v>930</v>
      </c>
      <c r="G229" s="211" t="s">
        <v>446</v>
      </c>
      <c r="H229" s="144" t="s">
        <v>449</v>
      </c>
      <c r="I229" s="45">
        <f t="shared" si="46"/>
        <v>0</v>
      </c>
      <c r="J229" s="45">
        <f t="shared" si="47"/>
        <v>0</v>
      </c>
      <c r="K229" s="45">
        <f t="shared" si="48"/>
        <v>0</v>
      </c>
      <c r="L229" s="45">
        <f t="shared" si="49"/>
        <v>0</v>
      </c>
      <c r="M229" s="45">
        <f t="shared" si="50"/>
        <v>0</v>
      </c>
      <c r="N229" s="45">
        <f t="shared" si="51"/>
        <v>0</v>
      </c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143">
        <f t="shared" si="52"/>
        <v>0</v>
      </c>
    </row>
    <row r="230" spans="6:45" x14ac:dyDescent="0.15">
      <c r="F230" s="67" t="s">
        <v>928</v>
      </c>
      <c r="G230" s="211" t="s">
        <v>448</v>
      </c>
      <c r="H230" s="142" t="s">
        <v>451</v>
      </c>
      <c r="I230" s="45">
        <f t="shared" si="46"/>
        <v>0</v>
      </c>
      <c r="J230" s="45">
        <f t="shared" si="47"/>
        <v>0</v>
      </c>
      <c r="K230" s="45">
        <f t="shared" si="48"/>
        <v>0</v>
      </c>
      <c r="L230" s="45">
        <f t="shared" si="49"/>
        <v>0</v>
      </c>
      <c r="M230" s="45">
        <f t="shared" si="50"/>
        <v>0</v>
      </c>
      <c r="N230" s="45">
        <f t="shared" si="51"/>
        <v>0</v>
      </c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143">
        <f t="shared" si="52"/>
        <v>0</v>
      </c>
    </row>
    <row r="231" spans="6:45" x14ac:dyDescent="0.15">
      <c r="F231" s="67" t="s">
        <v>928</v>
      </c>
      <c r="G231" s="211" t="s">
        <v>450</v>
      </c>
      <c r="H231" s="144" t="s">
        <v>453</v>
      </c>
      <c r="I231" s="45">
        <f t="shared" si="46"/>
        <v>0</v>
      </c>
      <c r="J231" s="45">
        <f t="shared" si="47"/>
        <v>0</v>
      </c>
      <c r="K231" s="45">
        <f t="shared" si="48"/>
        <v>0</v>
      </c>
      <c r="L231" s="45">
        <f t="shared" si="49"/>
        <v>0</v>
      </c>
      <c r="M231" s="45">
        <f t="shared" si="50"/>
        <v>0</v>
      </c>
      <c r="N231" s="45">
        <f t="shared" si="51"/>
        <v>0</v>
      </c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143">
        <f t="shared" si="52"/>
        <v>0</v>
      </c>
    </row>
    <row r="232" spans="6:45" x14ac:dyDescent="0.15">
      <c r="F232" s="67" t="s">
        <v>928</v>
      </c>
      <c r="G232" s="211" t="s">
        <v>452</v>
      </c>
      <c r="H232" s="144" t="s">
        <v>455</v>
      </c>
      <c r="I232" s="45">
        <f t="shared" si="46"/>
        <v>0</v>
      </c>
      <c r="J232" s="45">
        <f t="shared" si="47"/>
        <v>0</v>
      </c>
      <c r="K232" s="45">
        <f t="shared" si="48"/>
        <v>0</v>
      </c>
      <c r="L232" s="45">
        <f t="shared" si="49"/>
        <v>0</v>
      </c>
      <c r="M232" s="45">
        <f t="shared" si="50"/>
        <v>0</v>
      </c>
      <c r="N232" s="45">
        <f t="shared" si="51"/>
        <v>0</v>
      </c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143">
        <f t="shared" si="52"/>
        <v>0</v>
      </c>
    </row>
    <row r="233" spans="6:45" x14ac:dyDescent="0.15">
      <c r="F233" s="67" t="s">
        <v>928</v>
      </c>
      <c r="G233" s="211" t="s">
        <v>454</v>
      </c>
      <c r="H233" s="142" t="s">
        <v>457</v>
      </c>
      <c r="I233" s="45">
        <f t="shared" si="46"/>
        <v>0</v>
      </c>
      <c r="J233" s="45">
        <f t="shared" si="47"/>
        <v>0</v>
      </c>
      <c r="K233" s="45">
        <f t="shared" si="48"/>
        <v>0</v>
      </c>
      <c r="L233" s="45">
        <f t="shared" si="49"/>
        <v>0</v>
      </c>
      <c r="M233" s="45">
        <f t="shared" si="50"/>
        <v>0</v>
      </c>
      <c r="N233" s="45">
        <f t="shared" si="51"/>
        <v>0</v>
      </c>
      <c r="O233" s="48">
        <f t="shared" ref="O233:AR233" si="55">SUM(O234:O239)</f>
        <v>0</v>
      </c>
      <c r="P233" s="48">
        <f t="shared" si="55"/>
        <v>0</v>
      </c>
      <c r="Q233" s="48">
        <f t="shared" si="55"/>
        <v>0</v>
      </c>
      <c r="R233" s="48">
        <f t="shared" si="55"/>
        <v>0</v>
      </c>
      <c r="S233" s="48">
        <f t="shared" si="55"/>
        <v>0</v>
      </c>
      <c r="T233" s="48">
        <f t="shared" si="55"/>
        <v>0</v>
      </c>
      <c r="U233" s="48">
        <f t="shared" si="55"/>
        <v>0</v>
      </c>
      <c r="V233" s="48">
        <f t="shared" si="55"/>
        <v>0</v>
      </c>
      <c r="W233" s="48">
        <f t="shared" si="55"/>
        <v>0</v>
      </c>
      <c r="X233" s="48">
        <f t="shared" si="55"/>
        <v>0</v>
      </c>
      <c r="Y233" s="48">
        <f t="shared" si="55"/>
        <v>0</v>
      </c>
      <c r="Z233" s="48">
        <f t="shared" si="55"/>
        <v>0</v>
      </c>
      <c r="AA233" s="48">
        <f t="shared" si="55"/>
        <v>0</v>
      </c>
      <c r="AB233" s="48">
        <f t="shared" si="55"/>
        <v>0</v>
      </c>
      <c r="AC233" s="48">
        <f t="shared" si="55"/>
        <v>0</v>
      </c>
      <c r="AD233" s="48">
        <f t="shared" si="55"/>
        <v>0</v>
      </c>
      <c r="AE233" s="48">
        <f t="shared" si="55"/>
        <v>0</v>
      </c>
      <c r="AF233" s="48">
        <f t="shared" si="55"/>
        <v>0</v>
      </c>
      <c r="AG233" s="48">
        <f t="shared" si="55"/>
        <v>0</v>
      </c>
      <c r="AH233" s="48">
        <f t="shared" si="55"/>
        <v>0</v>
      </c>
      <c r="AI233" s="48">
        <f t="shared" si="55"/>
        <v>0</v>
      </c>
      <c r="AJ233" s="48">
        <f t="shared" si="55"/>
        <v>0</v>
      </c>
      <c r="AK233" s="48">
        <f t="shared" si="55"/>
        <v>0</v>
      </c>
      <c r="AL233" s="48">
        <f t="shared" si="55"/>
        <v>0</v>
      </c>
      <c r="AM233" s="48">
        <f t="shared" si="55"/>
        <v>0</v>
      </c>
      <c r="AN233" s="48">
        <f t="shared" si="55"/>
        <v>0</v>
      </c>
      <c r="AO233" s="48">
        <f t="shared" si="55"/>
        <v>0</v>
      </c>
      <c r="AP233" s="48">
        <f t="shared" si="55"/>
        <v>0</v>
      </c>
      <c r="AQ233" s="48">
        <f t="shared" si="55"/>
        <v>0</v>
      </c>
      <c r="AR233" s="48">
        <f t="shared" si="55"/>
        <v>0</v>
      </c>
      <c r="AS233" s="143">
        <f t="shared" si="52"/>
        <v>0</v>
      </c>
    </row>
    <row r="234" spans="6:45" ht="21" x14ac:dyDescent="0.15">
      <c r="F234" s="67" t="s">
        <v>928</v>
      </c>
      <c r="G234" s="212" t="s">
        <v>456</v>
      </c>
      <c r="H234" s="144" t="s">
        <v>459</v>
      </c>
      <c r="I234" s="45">
        <f t="shared" si="46"/>
        <v>0</v>
      </c>
      <c r="J234" s="45">
        <f t="shared" si="47"/>
        <v>0</v>
      </c>
      <c r="K234" s="45">
        <f t="shared" si="48"/>
        <v>0</v>
      </c>
      <c r="L234" s="45">
        <f t="shared" si="49"/>
        <v>0</v>
      </c>
      <c r="M234" s="45">
        <f t="shared" si="50"/>
        <v>0</v>
      </c>
      <c r="N234" s="45">
        <f t="shared" si="51"/>
        <v>0</v>
      </c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143">
        <f t="shared" si="52"/>
        <v>0</v>
      </c>
    </row>
    <row r="235" spans="6:45" x14ac:dyDescent="0.15">
      <c r="F235" s="67" t="s">
        <v>928</v>
      </c>
      <c r="G235" s="212" t="s">
        <v>458</v>
      </c>
      <c r="H235" s="144" t="s">
        <v>461</v>
      </c>
      <c r="I235" s="45">
        <f t="shared" si="46"/>
        <v>0</v>
      </c>
      <c r="J235" s="45">
        <f t="shared" si="47"/>
        <v>0</v>
      </c>
      <c r="K235" s="45">
        <f t="shared" si="48"/>
        <v>0</v>
      </c>
      <c r="L235" s="45">
        <f t="shared" si="49"/>
        <v>0</v>
      </c>
      <c r="M235" s="45">
        <f t="shared" si="50"/>
        <v>0</v>
      </c>
      <c r="N235" s="45">
        <f t="shared" si="51"/>
        <v>0</v>
      </c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143">
        <f t="shared" si="52"/>
        <v>0</v>
      </c>
    </row>
    <row r="236" spans="6:45" ht="21" x14ac:dyDescent="0.15">
      <c r="F236" s="67" t="s">
        <v>928</v>
      </c>
      <c r="G236" s="212" t="s">
        <v>460</v>
      </c>
      <c r="H236" s="142" t="s">
        <v>463</v>
      </c>
      <c r="I236" s="45">
        <f t="shared" si="46"/>
        <v>0</v>
      </c>
      <c r="J236" s="45">
        <f t="shared" si="47"/>
        <v>0</v>
      </c>
      <c r="K236" s="45">
        <f t="shared" si="48"/>
        <v>0</v>
      </c>
      <c r="L236" s="45">
        <f t="shared" si="49"/>
        <v>0</v>
      </c>
      <c r="M236" s="45">
        <f t="shared" si="50"/>
        <v>0</v>
      </c>
      <c r="N236" s="45">
        <f t="shared" si="51"/>
        <v>0</v>
      </c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143">
        <f t="shared" si="52"/>
        <v>0</v>
      </c>
    </row>
    <row r="237" spans="6:45" x14ac:dyDescent="0.15">
      <c r="F237" s="67" t="s">
        <v>928</v>
      </c>
      <c r="G237" s="212" t="s">
        <v>462</v>
      </c>
      <c r="H237" s="144" t="s">
        <v>465</v>
      </c>
      <c r="I237" s="45">
        <f t="shared" si="46"/>
        <v>0</v>
      </c>
      <c r="J237" s="45">
        <f t="shared" si="47"/>
        <v>0</v>
      </c>
      <c r="K237" s="45">
        <f t="shared" si="48"/>
        <v>0</v>
      </c>
      <c r="L237" s="45">
        <f t="shared" si="49"/>
        <v>0</v>
      </c>
      <c r="M237" s="45">
        <f t="shared" si="50"/>
        <v>0</v>
      </c>
      <c r="N237" s="45">
        <f t="shared" si="51"/>
        <v>0</v>
      </c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143">
        <f t="shared" si="52"/>
        <v>0</v>
      </c>
    </row>
    <row r="238" spans="6:45" ht="21" x14ac:dyDescent="0.15">
      <c r="F238" s="67" t="s">
        <v>928</v>
      </c>
      <c r="G238" s="212" t="s">
        <v>464</v>
      </c>
      <c r="H238" s="144" t="s">
        <v>466</v>
      </c>
      <c r="I238" s="45">
        <f t="shared" si="46"/>
        <v>0</v>
      </c>
      <c r="J238" s="45">
        <f t="shared" si="47"/>
        <v>0</v>
      </c>
      <c r="K238" s="45">
        <f t="shared" si="48"/>
        <v>0</v>
      </c>
      <c r="L238" s="45">
        <f t="shared" si="49"/>
        <v>0</v>
      </c>
      <c r="M238" s="45">
        <f t="shared" si="50"/>
        <v>0</v>
      </c>
      <c r="N238" s="45">
        <f t="shared" si="51"/>
        <v>0</v>
      </c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143">
        <f t="shared" si="52"/>
        <v>0</v>
      </c>
    </row>
    <row r="239" spans="6:45" ht="21" x14ac:dyDescent="0.15">
      <c r="F239" s="67" t="s">
        <v>928</v>
      </c>
      <c r="G239" s="212" t="s">
        <v>887</v>
      </c>
      <c r="H239" s="142" t="s">
        <v>468</v>
      </c>
      <c r="I239" s="45">
        <f t="shared" si="46"/>
        <v>0</v>
      </c>
      <c r="J239" s="45">
        <f t="shared" si="47"/>
        <v>0</v>
      </c>
      <c r="K239" s="45">
        <f t="shared" si="48"/>
        <v>0</v>
      </c>
      <c r="L239" s="45">
        <f t="shared" si="49"/>
        <v>0</v>
      </c>
      <c r="M239" s="45">
        <f t="shared" si="50"/>
        <v>0</v>
      </c>
      <c r="N239" s="45">
        <f t="shared" si="51"/>
        <v>0</v>
      </c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143">
        <f t="shared" si="52"/>
        <v>0</v>
      </c>
    </row>
    <row r="240" spans="6:45" x14ac:dyDescent="0.15">
      <c r="F240" s="67" t="s">
        <v>928</v>
      </c>
      <c r="G240" s="211" t="s">
        <v>467</v>
      </c>
      <c r="H240" s="144" t="s">
        <v>470</v>
      </c>
      <c r="I240" s="45">
        <f t="shared" si="46"/>
        <v>0</v>
      </c>
      <c r="J240" s="45">
        <f t="shared" si="47"/>
        <v>0</v>
      </c>
      <c r="K240" s="45">
        <f t="shared" si="48"/>
        <v>0</v>
      </c>
      <c r="L240" s="45">
        <f t="shared" si="49"/>
        <v>0</v>
      </c>
      <c r="M240" s="45">
        <f t="shared" si="50"/>
        <v>0</v>
      </c>
      <c r="N240" s="45">
        <f t="shared" si="51"/>
        <v>0</v>
      </c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143">
        <f t="shared" si="52"/>
        <v>0</v>
      </c>
    </row>
    <row r="241" spans="6:45" x14ac:dyDescent="0.15">
      <c r="F241" s="67" t="s">
        <v>928</v>
      </c>
      <c r="G241" s="211" t="s">
        <v>469</v>
      </c>
      <c r="H241" s="144" t="s">
        <v>472</v>
      </c>
      <c r="I241" s="45">
        <f t="shared" si="46"/>
        <v>0</v>
      </c>
      <c r="J241" s="45">
        <f t="shared" si="47"/>
        <v>0</v>
      </c>
      <c r="K241" s="45">
        <f t="shared" si="48"/>
        <v>0</v>
      </c>
      <c r="L241" s="45">
        <f t="shared" si="49"/>
        <v>0</v>
      </c>
      <c r="M241" s="45">
        <f t="shared" si="50"/>
        <v>0</v>
      </c>
      <c r="N241" s="45">
        <f t="shared" si="51"/>
        <v>0</v>
      </c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143">
        <f t="shared" si="52"/>
        <v>0</v>
      </c>
    </row>
    <row r="242" spans="6:45" x14ac:dyDescent="0.15">
      <c r="F242" s="67" t="s">
        <v>928</v>
      </c>
      <c r="G242" s="211" t="s">
        <v>471</v>
      </c>
      <c r="H242" s="142" t="s">
        <v>474</v>
      </c>
      <c r="I242" s="45">
        <f t="shared" si="46"/>
        <v>0</v>
      </c>
      <c r="J242" s="45">
        <f t="shared" si="47"/>
        <v>0</v>
      </c>
      <c r="K242" s="45">
        <f t="shared" si="48"/>
        <v>0</v>
      </c>
      <c r="L242" s="45">
        <f t="shared" si="49"/>
        <v>0</v>
      </c>
      <c r="M242" s="45">
        <f t="shared" si="50"/>
        <v>0</v>
      </c>
      <c r="N242" s="45">
        <f t="shared" si="51"/>
        <v>0</v>
      </c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143">
        <f t="shared" si="52"/>
        <v>0</v>
      </c>
    </row>
    <row r="243" spans="6:45" x14ac:dyDescent="0.15">
      <c r="F243" s="67" t="s">
        <v>930</v>
      </c>
      <c r="G243" s="211" t="s">
        <v>473</v>
      </c>
      <c r="H243" s="144" t="s">
        <v>476</v>
      </c>
      <c r="I243" s="45">
        <f t="shared" si="46"/>
        <v>0</v>
      </c>
      <c r="J243" s="45">
        <f t="shared" si="47"/>
        <v>0</v>
      </c>
      <c r="K243" s="45">
        <f t="shared" si="48"/>
        <v>0</v>
      </c>
      <c r="L243" s="45">
        <f t="shared" si="49"/>
        <v>0</v>
      </c>
      <c r="M243" s="45">
        <f t="shared" si="50"/>
        <v>0</v>
      </c>
      <c r="N243" s="45">
        <f t="shared" si="51"/>
        <v>0</v>
      </c>
      <c r="O243" s="46">
        <f t="shared" ref="O243:AR243" si="56">SUM(O244:O246)</f>
        <v>0</v>
      </c>
      <c r="P243" s="46">
        <f t="shared" si="56"/>
        <v>0</v>
      </c>
      <c r="Q243" s="46">
        <f t="shared" si="56"/>
        <v>0</v>
      </c>
      <c r="R243" s="46">
        <f t="shared" si="56"/>
        <v>0</v>
      </c>
      <c r="S243" s="46">
        <f t="shared" si="56"/>
        <v>0</v>
      </c>
      <c r="T243" s="46">
        <f t="shared" si="56"/>
        <v>0</v>
      </c>
      <c r="U243" s="46">
        <f t="shared" si="56"/>
        <v>0</v>
      </c>
      <c r="V243" s="46">
        <f t="shared" si="56"/>
        <v>0</v>
      </c>
      <c r="W243" s="46">
        <f t="shared" si="56"/>
        <v>0</v>
      </c>
      <c r="X243" s="46">
        <f t="shared" si="56"/>
        <v>0</v>
      </c>
      <c r="Y243" s="46">
        <f t="shared" si="56"/>
        <v>0</v>
      </c>
      <c r="Z243" s="46">
        <f t="shared" si="56"/>
        <v>0</v>
      </c>
      <c r="AA243" s="46">
        <f t="shared" si="56"/>
        <v>0</v>
      </c>
      <c r="AB243" s="46">
        <f t="shared" si="56"/>
        <v>0</v>
      </c>
      <c r="AC243" s="46">
        <f t="shared" si="56"/>
        <v>0</v>
      </c>
      <c r="AD243" s="46">
        <f t="shared" si="56"/>
        <v>0</v>
      </c>
      <c r="AE243" s="46">
        <f t="shared" si="56"/>
        <v>0</v>
      </c>
      <c r="AF243" s="46">
        <f t="shared" si="56"/>
        <v>0</v>
      </c>
      <c r="AG243" s="46">
        <f t="shared" si="56"/>
        <v>0</v>
      </c>
      <c r="AH243" s="46">
        <f t="shared" si="56"/>
        <v>0</v>
      </c>
      <c r="AI243" s="46">
        <f t="shared" si="56"/>
        <v>0</v>
      </c>
      <c r="AJ243" s="46">
        <f t="shared" si="56"/>
        <v>0</v>
      </c>
      <c r="AK243" s="46">
        <f t="shared" si="56"/>
        <v>0</v>
      </c>
      <c r="AL243" s="46">
        <f t="shared" si="56"/>
        <v>0</v>
      </c>
      <c r="AM243" s="46">
        <f t="shared" si="56"/>
        <v>0</v>
      </c>
      <c r="AN243" s="46">
        <f t="shared" si="56"/>
        <v>0</v>
      </c>
      <c r="AO243" s="46">
        <f t="shared" si="56"/>
        <v>0</v>
      </c>
      <c r="AP243" s="46">
        <f t="shared" si="56"/>
        <v>0</v>
      </c>
      <c r="AQ243" s="46">
        <f t="shared" si="56"/>
        <v>0</v>
      </c>
      <c r="AR243" s="46">
        <f t="shared" si="56"/>
        <v>0</v>
      </c>
      <c r="AS243" s="143">
        <f t="shared" si="52"/>
        <v>0</v>
      </c>
    </row>
    <row r="244" spans="6:45" ht="21" x14ac:dyDescent="0.15">
      <c r="F244" s="67" t="s">
        <v>930</v>
      </c>
      <c r="G244" s="212" t="s">
        <v>475</v>
      </c>
      <c r="H244" s="144" t="s">
        <v>478</v>
      </c>
      <c r="I244" s="45">
        <f t="shared" si="46"/>
        <v>0</v>
      </c>
      <c r="J244" s="45">
        <f t="shared" si="47"/>
        <v>0</v>
      </c>
      <c r="K244" s="45">
        <f t="shared" si="48"/>
        <v>0</v>
      </c>
      <c r="L244" s="45">
        <f t="shared" si="49"/>
        <v>0</v>
      </c>
      <c r="M244" s="45">
        <f t="shared" si="50"/>
        <v>0</v>
      </c>
      <c r="N244" s="45">
        <f t="shared" si="51"/>
        <v>0</v>
      </c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143">
        <f t="shared" si="52"/>
        <v>0</v>
      </c>
    </row>
    <row r="245" spans="6:45" x14ac:dyDescent="0.15">
      <c r="F245" s="67" t="s">
        <v>930</v>
      </c>
      <c r="G245" s="212" t="s">
        <v>477</v>
      </c>
      <c r="H245" s="142" t="s">
        <v>480</v>
      </c>
      <c r="I245" s="45">
        <f t="shared" si="46"/>
        <v>0</v>
      </c>
      <c r="J245" s="45">
        <f t="shared" si="47"/>
        <v>0</v>
      </c>
      <c r="K245" s="45">
        <f t="shared" si="48"/>
        <v>0</v>
      </c>
      <c r="L245" s="45">
        <f t="shared" si="49"/>
        <v>0</v>
      </c>
      <c r="M245" s="45">
        <f t="shared" si="50"/>
        <v>0</v>
      </c>
      <c r="N245" s="45">
        <f t="shared" si="51"/>
        <v>0</v>
      </c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143">
        <f t="shared" si="52"/>
        <v>0</v>
      </c>
    </row>
    <row r="246" spans="6:45" ht="21" x14ac:dyDescent="0.15">
      <c r="F246" s="67" t="s">
        <v>930</v>
      </c>
      <c r="G246" s="212" t="s">
        <v>479</v>
      </c>
      <c r="H246" s="144" t="s">
        <v>482</v>
      </c>
      <c r="I246" s="45">
        <f t="shared" si="46"/>
        <v>0</v>
      </c>
      <c r="J246" s="45">
        <f t="shared" si="47"/>
        <v>0</v>
      </c>
      <c r="K246" s="45">
        <f t="shared" si="48"/>
        <v>0</v>
      </c>
      <c r="L246" s="45">
        <f t="shared" si="49"/>
        <v>0</v>
      </c>
      <c r="M246" s="45">
        <f t="shared" si="50"/>
        <v>0</v>
      </c>
      <c r="N246" s="45">
        <f t="shared" si="51"/>
        <v>0</v>
      </c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143">
        <f t="shared" si="52"/>
        <v>0</v>
      </c>
    </row>
    <row r="247" spans="6:45" x14ac:dyDescent="0.15">
      <c r="F247" s="67" t="s">
        <v>928</v>
      </c>
      <c r="G247" s="211" t="s">
        <v>481</v>
      </c>
      <c r="H247" s="144" t="s">
        <v>484</v>
      </c>
      <c r="I247" s="45">
        <f t="shared" si="46"/>
        <v>0</v>
      </c>
      <c r="J247" s="45">
        <f t="shared" si="47"/>
        <v>0</v>
      </c>
      <c r="K247" s="45">
        <f t="shared" si="48"/>
        <v>0</v>
      </c>
      <c r="L247" s="45">
        <f t="shared" si="49"/>
        <v>0</v>
      </c>
      <c r="M247" s="45">
        <f t="shared" si="50"/>
        <v>0</v>
      </c>
      <c r="N247" s="45">
        <f t="shared" si="51"/>
        <v>0</v>
      </c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143">
        <f t="shared" si="52"/>
        <v>0</v>
      </c>
    </row>
    <row r="248" spans="6:45" x14ac:dyDescent="0.15">
      <c r="F248" s="67" t="s">
        <v>928</v>
      </c>
      <c r="G248" s="211" t="s">
        <v>483</v>
      </c>
      <c r="H248" s="142" t="s">
        <v>486</v>
      </c>
      <c r="I248" s="45">
        <f t="shared" si="46"/>
        <v>0</v>
      </c>
      <c r="J248" s="45">
        <f t="shared" si="47"/>
        <v>0</v>
      </c>
      <c r="K248" s="45">
        <f t="shared" si="48"/>
        <v>0</v>
      </c>
      <c r="L248" s="45">
        <f t="shared" si="49"/>
        <v>0</v>
      </c>
      <c r="M248" s="45">
        <f t="shared" si="50"/>
        <v>0</v>
      </c>
      <c r="N248" s="45">
        <f t="shared" si="51"/>
        <v>0</v>
      </c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143">
        <f t="shared" si="52"/>
        <v>0</v>
      </c>
    </row>
    <row r="249" spans="6:45" ht="21" x14ac:dyDescent="0.15">
      <c r="F249" s="67" t="s">
        <v>931</v>
      </c>
      <c r="G249" s="211" t="s">
        <v>485</v>
      </c>
      <c r="H249" s="144" t="s">
        <v>488</v>
      </c>
      <c r="I249" s="45">
        <f t="shared" si="46"/>
        <v>0</v>
      </c>
      <c r="J249" s="45">
        <f t="shared" si="47"/>
        <v>0</v>
      </c>
      <c r="K249" s="45">
        <f t="shared" si="48"/>
        <v>0</v>
      </c>
      <c r="L249" s="45">
        <f t="shared" si="49"/>
        <v>0</v>
      </c>
      <c r="M249" s="45">
        <f t="shared" si="50"/>
        <v>0</v>
      </c>
      <c r="N249" s="45">
        <f t="shared" si="51"/>
        <v>0</v>
      </c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143">
        <f t="shared" si="52"/>
        <v>0</v>
      </c>
    </row>
    <row r="250" spans="6:45" x14ac:dyDescent="0.15">
      <c r="F250" s="67" t="s">
        <v>930</v>
      </c>
      <c r="G250" s="211" t="s">
        <v>487</v>
      </c>
      <c r="H250" s="144" t="s">
        <v>490</v>
      </c>
      <c r="I250" s="45">
        <f t="shared" si="46"/>
        <v>0</v>
      </c>
      <c r="J250" s="45">
        <f t="shared" si="47"/>
        <v>0</v>
      </c>
      <c r="K250" s="45">
        <f t="shared" si="48"/>
        <v>0</v>
      </c>
      <c r="L250" s="45">
        <f t="shared" si="49"/>
        <v>0</v>
      </c>
      <c r="M250" s="45">
        <f t="shared" si="50"/>
        <v>0</v>
      </c>
      <c r="N250" s="45">
        <f t="shared" si="51"/>
        <v>0</v>
      </c>
      <c r="O250" s="46">
        <f t="shared" ref="O250:AR250" si="57">SUM(O251:O254)</f>
        <v>0</v>
      </c>
      <c r="P250" s="46">
        <f t="shared" si="57"/>
        <v>0</v>
      </c>
      <c r="Q250" s="46">
        <f t="shared" si="57"/>
        <v>0</v>
      </c>
      <c r="R250" s="46">
        <f t="shared" si="57"/>
        <v>0</v>
      </c>
      <c r="S250" s="46">
        <f t="shared" si="57"/>
        <v>0</v>
      </c>
      <c r="T250" s="46">
        <f t="shared" si="57"/>
        <v>0</v>
      </c>
      <c r="U250" s="46">
        <f t="shared" si="57"/>
        <v>0</v>
      </c>
      <c r="V250" s="46">
        <f t="shared" si="57"/>
        <v>0</v>
      </c>
      <c r="W250" s="46">
        <f t="shared" si="57"/>
        <v>0</v>
      </c>
      <c r="X250" s="46">
        <f t="shared" si="57"/>
        <v>0</v>
      </c>
      <c r="Y250" s="46">
        <f t="shared" si="57"/>
        <v>0</v>
      </c>
      <c r="Z250" s="46">
        <f t="shared" si="57"/>
        <v>0</v>
      </c>
      <c r="AA250" s="46">
        <f t="shared" si="57"/>
        <v>0</v>
      </c>
      <c r="AB250" s="46">
        <f t="shared" si="57"/>
        <v>0</v>
      </c>
      <c r="AC250" s="46">
        <f t="shared" si="57"/>
        <v>0</v>
      </c>
      <c r="AD250" s="46">
        <f t="shared" si="57"/>
        <v>0</v>
      </c>
      <c r="AE250" s="46">
        <f t="shared" si="57"/>
        <v>0</v>
      </c>
      <c r="AF250" s="46">
        <f t="shared" si="57"/>
        <v>0</v>
      </c>
      <c r="AG250" s="46">
        <f t="shared" si="57"/>
        <v>0</v>
      </c>
      <c r="AH250" s="46">
        <f t="shared" si="57"/>
        <v>0</v>
      </c>
      <c r="AI250" s="46">
        <f t="shared" si="57"/>
        <v>0</v>
      </c>
      <c r="AJ250" s="46">
        <f t="shared" si="57"/>
        <v>0</v>
      </c>
      <c r="AK250" s="46">
        <f t="shared" si="57"/>
        <v>0</v>
      </c>
      <c r="AL250" s="46">
        <f t="shared" si="57"/>
        <v>0</v>
      </c>
      <c r="AM250" s="46">
        <f t="shared" si="57"/>
        <v>0</v>
      </c>
      <c r="AN250" s="46">
        <f t="shared" si="57"/>
        <v>0</v>
      </c>
      <c r="AO250" s="46">
        <f t="shared" si="57"/>
        <v>0</v>
      </c>
      <c r="AP250" s="46">
        <f t="shared" si="57"/>
        <v>0</v>
      </c>
      <c r="AQ250" s="46">
        <f t="shared" si="57"/>
        <v>0</v>
      </c>
      <c r="AR250" s="46">
        <f t="shared" si="57"/>
        <v>0</v>
      </c>
      <c r="AS250" s="143">
        <f t="shared" si="52"/>
        <v>0</v>
      </c>
    </row>
    <row r="251" spans="6:45" ht="21" x14ac:dyDescent="0.15">
      <c r="F251" s="67" t="s">
        <v>930</v>
      </c>
      <c r="G251" s="212" t="s">
        <v>489</v>
      </c>
      <c r="H251" s="142" t="s">
        <v>492</v>
      </c>
      <c r="I251" s="45">
        <f t="shared" si="46"/>
        <v>0</v>
      </c>
      <c r="J251" s="45">
        <f t="shared" si="47"/>
        <v>0</v>
      </c>
      <c r="K251" s="45">
        <f t="shared" si="48"/>
        <v>0</v>
      </c>
      <c r="L251" s="45">
        <f t="shared" si="49"/>
        <v>0</v>
      </c>
      <c r="M251" s="45">
        <f t="shared" si="50"/>
        <v>0</v>
      </c>
      <c r="N251" s="45">
        <f t="shared" si="51"/>
        <v>0</v>
      </c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143">
        <f t="shared" si="52"/>
        <v>0</v>
      </c>
    </row>
    <row r="252" spans="6:45" x14ac:dyDescent="0.15">
      <c r="F252" s="67" t="s">
        <v>930</v>
      </c>
      <c r="G252" s="212" t="s">
        <v>491</v>
      </c>
      <c r="H252" s="144" t="s">
        <v>494</v>
      </c>
      <c r="I252" s="45">
        <f t="shared" si="46"/>
        <v>0</v>
      </c>
      <c r="J252" s="45">
        <f t="shared" si="47"/>
        <v>0</v>
      </c>
      <c r="K252" s="45">
        <f t="shared" si="48"/>
        <v>0</v>
      </c>
      <c r="L252" s="45">
        <f t="shared" si="49"/>
        <v>0</v>
      </c>
      <c r="M252" s="45">
        <f t="shared" si="50"/>
        <v>0</v>
      </c>
      <c r="N252" s="45">
        <f t="shared" si="51"/>
        <v>0</v>
      </c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143">
        <f t="shared" si="52"/>
        <v>0</v>
      </c>
    </row>
    <row r="253" spans="6:45" x14ac:dyDescent="0.15">
      <c r="F253" s="67" t="s">
        <v>930</v>
      </c>
      <c r="G253" s="212" t="s">
        <v>493</v>
      </c>
      <c r="H253" s="144" t="s">
        <v>496</v>
      </c>
      <c r="I253" s="45">
        <f t="shared" si="46"/>
        <v>0</v>
      </c>
      <c r="J253" s="45">
        <f t="shared" si="47"/>
        <v>0</v>
      </c>
      <c r="K253" s="45">
        <f t="shared" si="48"/>
        <v>0</v>
      </c>
      <c r="L253" s="45">
        <f t="shared" si="49"/>
        <v>0</v>
      </c>
      <c r="M253" s="45">
        <f t="shared" si="50"/>
        <v>0</v>
      </c>
      <c r="N253" s="45">
        <f t="shared" si="51"/>
        <v>0</v>
      </c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143">
        <f t="shared" si="52"/>
        <v>0</v>
      </c>
    </row>
    <row r="254" spans="6:45" ht="21" x14ac:dyDescent="0.15">
      <c r="F254" s="67" t="s">
        <v>930</v>
      </c>
      <c r="G254" s="212" t="s">
        <v>495</v>
      </c>
      <c r="H254" s="142" t="s">
        <v>498</v>
      </c>
      <c r="I254" s="45">
        <f t="shared" si="46"/>
        <v>0</v>
      </c>
      <c r="J254" s="45">
        <f t="shared" si="47"/>
        <v>0</v>
      </c>
      <c r="K254" s="45">
        <f t="shared" si="48"/>
        <v>0</v>
      </c>
      <c r="L254" s="45">
        <f t="shared" si="49"/>
        <v>0</v>
      </c>
      <c r="M254" s="45">
        <f t="shared" si="50"/>
        <v>0</v>
      </c>
      <c r="N254" s="45">
        <f t="shared" si="51"/>
        <v>0</v>
      </c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143">
        <f t="shared" si="52"/>
        <v>0</v>
      </c>
    </row>
    <row r="255" spans="6:45" ht="21" x14ac:dyDescent="0.15">
      <c r="F255" s="67" t="s">
        <v>931</v>
      </c>
      <c r="G255" s="211" t="s">
        <v>497</v>
      </c>
      <c r="H255" s="144" t="s">
        <v>500</v>
      </c>
      <c r="I255" s="45">
        <f t="shared" si="46"/>
        <v>0</v>
      </c>
      <c r="J255" s="45">
        <f t="shared" si="47"/>
        <v>0</v>
      </c>
      <c r="K255" s="45">
        <f t="shared" si="48"/>
        <v>0</v>
      </c>
      <c r="L255" s="45">
        <f t="shared" si="49"/>
        <v>0</v>
      </c>
      <c r="M255" s="45">
        <f t="shared" si="50"/>
        <v>0</v>
      </c>
      <c r="N255" s="45">
        <f t="shared" si="51"/>
        <v>0</v>
      </c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143">
        <f t="shared" si="52"/>
        <v>0</v>
      </c>
    </row>
    <row r="256" spans="6:45" x14ac:dyDescent="0.15">
      <c r="F256" s="67" t="s">
        <v>928</v>
      </c>
      <c r="G256" s="211" t="s">
        <v>499</v>
      </c>
      <c r="H256" s="144" t="s">
        <v>502</v>
      </c>
      <c r="I256" s="45">
        <f t="shared" si="46"/>
        <v>0</v>
      </c>
      <c r="J256" s="45">
        <f t="shared" si="47"/>
        <v>0</v>
      </c>
      <c r="K256" s="45">
        <f t="shared" si="48"/>
        <v>0</v>
      </c>
      <c r="L256" s="45">
        <f t="shared" si="49"/>
        <v>0</v>
      </c>
      <c r="M256" s="45">
        <f t="shared" si="50"/>
        <v>0</v>
      </c>
      <c r="N256" s="45">
        <f t="shared" si="51"/>
        <v>0</v>
      </c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143">
        <f t="shared" si="52"/>
        <v>0</v>
      </c>
    </row>
    <row r="257" spans="6:45" x14ac:dyDescent="0.15">
      <c r="F257" s="67" t="s">
        <v>928</v>
      </c>
      <c r="G257" s="211" t="s">
        <v>501</v>
      </c>
      <c r="H257" s="142" t="s">
        <v>504</v>
      </c>
      <c r="I257" s="45">
        <f t="shared" si="46"/>
        <v>0</v>
      </c>
      <c r="J257" s="45">
        <f t="shared" si="47"/>
        <v>0</v>
      </c>
      <c r="K257" s="45">
        <f t="shared" si="48"/>
        <v>0</v>
      </c>
      <c r="L257" s="45">
        <f t="shared" si="49"/>
        <v>0</v>
      </c>
      <c r="M257" s="45">
        <f t="shared" si="50"/>
        <v>0</v>
      </c>
      <c r="N257" s="45">
        <f t="shared" si="51"/>
        <v>0</v>
      </c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143">
        <f t="shared" si="52"/>
        <v>0</v>
      </c>
    </row>
    <row r="258" spans="6:45" x14ac:dyDescent="0.15">
      <c r="F258" s="67" t="s">
        <v>928</v>
      </c>
      <c r="G258" s="211" t="s">
        <v>503</v>
      </c>
      <c r="H258" s="144" t="s">
        <v>506</v>
      </c>
      <c r="I258" s="45">
        <f t="shared" si="46"/>
        <v>0</v>
      </c>
      <c r="J258" s="45">
        <f t="shared" si="47"/>
        <v>0</v>
      </c>
      <c r="K258" s="45">
        <f t="shared" si="48"/>
        <v>0</v>
      </c>
      <c r="L258" s="45">
        <f t="shared" si="49"/>
        <v>0</v>
      </c>
      <c r="M258" s="45">
        <f t="shared" si="50"/>
        <v>0</v>
      </c>
      <c r="N258" s="45">
        <f t="shared" si="51"/>
        <v>0</v>
      </c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143">
        <f t="shared" si="52"/>
        <v>0</v>
      </c>
    </row>
    <row r="259" spans="6:45" x14ac:dyDescent="0.15">
      <c r="F259" s="67" t="s">
        <v>932</v>
      </c>
      <c r="G259" s="211" t="s">
        <v>505</v>
      </c>
      <c r="H259" s="144" t="s">
        <v>508</v>
      </c>
      <c r="I259" s="45">
        <f t="shared" si="46"/>
        <v>0</v>
      </c>
      <c r="J259" s="45">
        <f t="shared" si="47"/>
        <v>0</v>
      </c>
      <c r="K259" s="45">
        <f t="shared" si="48"/>
        <v>0</v>
      </c>
      <c r="L259" s="45">
        <f t="shared" si="49"/>
        <v>0</v>
      </c>
      <c r="M259" s="45">
        <f t="shared" si="50"/>
        <v>0</v>
      </c>
      <c r="N259" s="45">
        <f t="shared" si="51"/>
        <v>0</v>
      </c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143">
        <f t="shared" si="52"/>
        <v>0</v>
      </c>
    </row>
    <row r="260" spans="6:45" x14ac:dyDescent="0.15">
      <c r="F260" s="67" t="s">
        <v>928</v>
      </c>
      <c r="G260" s="211" t="s">
        <v>507</v>
      </c>
      <c r="H260" s="142" t="s">
        <v>510</v>
      </c>
      <c r="I260" s="45">
        <f t="shared" si="46"/>
        <v>0</v>
      </c>
      <c r="J260" s="45">
        <f t="shared" si="47"/>
        <v>0</v>
      </c>
      <c r="K260" s="45">
        <f t="shared" si="48"/>
        <v>0</v>
      </c>
      <c r="L260" s="45">
        <f t="shared" si="49"/>
        <v>0</v>
      </c>
      <c r="M260" s="45">
        <f t="shared" si="50"/>
        <v>0</v>
      </c>
      <c r="N260" s="45">
        <f t="shared" si="51"/>
        <v>0</v>
      </c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143">
        <f t="shared" si="52"/>
        <v>0</v>
      </c>
    </row>
    <row r="261" spans="6:45" x14ac:dyDescent="0.15">
      <c r="F261" s="67" t="s">
        <v>930</v>
      </c>
      <c r="G261" s="211" t="s">
        <v>509</v>
      </c>
      <c r="H261" s="144" t="s">
        <v>512</v>
      </c>
      <c r="I261" s="45">
        <f t="shared" si="46"/>
        <v>0</v>
      </c>
      <c r="J261" s="45">
        <f t="shared" si="47"/>
        <v>0</v>
      </c>
      <c r="K261" s="45">
        <f t="shared" si="48"/>
        <v>0</v>
      </c>
      <c r="L261" s="45">
        <f t="shared" si="49"/>
        <v>0</v>
      </c>
      <c r="M261" s="45">
        <f t="shared" si="50"/>
        <v>0</v>
      </c>
      <c r="N261" s="45">
        <f t="shared" si="51"/>
        <v>0</v>
      </c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143">
        <f t="shared" si="52"/>
        <v>0</v>
      </c>
    </row>
    <row r="262" spans="6:45" x14ac:dyDescent="0.15">
      <c r="F262" s="67" t="s">
        <v>930</v>
      </c>
      <c r="G262" s="211" t="s">
        <v>511</v>
      </c>
      <c r="H262" s="144" t="s">
        <v>514</v>
      </c>
      <c r="I262" s="45">
        <f t="shared" si="46"/>
        <v>0</v>
      </c>
      <c r="J262" s="45">
        <f t="shared" si="47"/>
        <v>0</v>
      </c>
      <c r="K262" s="45">
        <f t="shared" si="48"/>
        <v>0</v>
      </c>
      <c r="L262" s="45">
        <f t="shared" si="49"/>
        <v>0</v>
      </c>
      <c r="M262" s="45">
        <f t="shared" si="50"/>
        <v>0</v>
      </c>
      <c r="N262" s="45">
        <f t="shared" si="51"/>
        <v>0</v>
      </c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143">
        <f t="shared" si="52"/>
        <v>0</v>
      </c>
    </row>
    <row r="263" spans="6:45" x14ac:dyDescent="0.15">
      <c r="F263" s="67" t="s">
        <v>930</v>
      </c>
      <c r="G263" s="211" t="s">
        <v>513</v>
      </c>
      <c r="H263" s="142" t="s">
        <v>516</v>
      </c>
      <c r="I263" s="45">
        <f t="shared" si="46"/>
        <v>0</v>
      </c>
      <c r="J263" s="45">
        <f t="shared" si="47"/>
        <v>0</v>
      </c>
      <c r="K263" s="45">
        <f t="shared" si="48"/>
        <v>0</v>
      </c>
      <c r="L263" s="45">
        <f t="shared" si="49"/>
        <v>0</v>
      </c>
      <c r="M263" s="45">
        <f t="shared" si="50"/>
        <v>0</v>
      </c>
      <c r="N263" s="45">
        <f t="shared" si="51"/>
        <v>0</v>
      </c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143">
        <f t="shared" si="52"/>
        <v>0</v>
      </c>
    </row>
    <row r="264" spans="6:45" x14ac:dyDescent="0.15">
      <c r="F264" s="67" t="s">
        <v>928</v>
      </c>
      <c r="G264" s="214" t="s">
        <v>515</v>
      </c>
      <c r="H264" s="144" t="s">
        <v>518</v>
      </c>
      <c r="I264" s="45">
        <f t="shared" si="46"/>
        <v>0</v>
      </c>
      <c r="J264" s="45">
        <f t="shared" si="47"/>
        <v>0</v>
      </c>
      <c r="K264" s="45">
        <f t="shared" si="48"/>
        <v>0</v>
      </c>
      <c r="L264" s="45">
        <f t="shared" si="49"/>
        <v>0</v>
      </c>
      <c r="M264" s="45">
        <f t="shared" si="50"/>
        <v>0</v>
      </c>
      <c r="N264" s="45">
        <f t="shared" si="51"/>
        <v>0</v>
      </c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143">
        <f t="shared" si="52"/>
        <v>0</v>
      </c>
    </row>
    <row r="265" spans="6:45" x14ac:dyDescent="0.15">
      <c r="F265" s="67" t="s">
        <v>928</v>
      </c>
      <c r="G265" s="211" t="s">
        <v>517</v>
      </c>
      <c r="H265" s="144" t="s">
        <v>520</v>
      </c>
      <c r="I265" s="45">
        <f t="shared" si="46"/>
        <v>0</v>
      </c>
      <c r="J265" s="45">
        <f t="shared" si="47"/>
        <v>0</v>
      </c>
      <c r="K265" s="45">
        <f t="shared" si="48"/>
        <v>0</v>
      </c>
      <c r="L265" s="45">
        <f t="shared" si="49"/>
        <v>0</v>
      </c>
      <c r="M265" s="45">
        <f t="shared" si="50"/>
        <v>0</v>
      </c>
      <c r="N265" s="45">
        <f t="shared" si="51"/>
        <v>0</v>
      </c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143">
        <f t="shared" si="52"/>
        <v>0</v>
      </c>
    </row>
    <row r="266" spans="6:45" x14ac:dyDescent="0.15">
      <c r="F266" s="67" t="s">
        <v>928</v>
      </c>
      <c r="G266" s="211" t="s">
        <v>519</v>
      </c>
      <c r="H266" s="142" t="s">
        <v>522</v>
      </c>
      <c r="I266" s="45">
        <f t="shared" si="46"/>
        <v>0</v>
      </c>
      <c r="J266" s="45">
        <f t="shared" si="47"/>
        <v>0</v>
      </c>
      <c r="K266" s="45">
        <f t="shared" si="48"/>
        <v>0</v>
      </c>
      <c r="L266" s="45">
        <f t="shared" si="49"/>
        <v>0</v>
      </c>
      <c r="M266" s="45">
        <f t="shared" si="50"/>
        <v>0</v>
      </c>
      <c r="N266" s="45">
        <f t="shared" si="51"/>
        <v>0</v>
      </c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143">
        <f t="shared" si="52"/>
        <v>0</v>
      </c>
    </row>
    <row r="267" spans="6:45" ht="9.75" customHeight="1" x14ac:dyDescent="0.15">
      <c r="F267" s="67" t="s">
        <v>932</v>
      </c>
      <c r="G267" s="211" t="s">
        <v>896</v>
      </c>
      <c r="H267" s="144" t="s">
        <v>524</v>
      </c>
      <c r="I267" s="45">
        <f t="shared" ref="I267" si="58">SUM(J267:L267)</f>
        <v>0</v>
      </c>
      <c r="J267" s="45">
        <f t="shared" ref="J267" si="59">O267+T267+Y267+AD267+AI267+AN267</f>
        <v>0</v>
      </c>
      <c r="K267" s="45">
        <f t="shared" ref="K267" si="60">P267+U267+Z267+AE267+AJ267+AO267</f>
        <v>0</v>
      </c>
      <c r="L267" s="45">
        <f t="shared" ref="L267" si="61">Q267+V267+AA267+AF267+AK267+AP267</f>
        <v>0</v>
      </c>
      <c r="M267" s="45">
        <f t="shared" ref="M267" si="62">R267+W267+AB267+AG267+AL267+AQ267</f>
        <v>0</v>
      </c>
      <c r="N267" s="45">
        <f t="shared" ref="N267" si="63">S267+X267+AC267+AH267+AM267+AR267</f>
        <v>0</v>
      </c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143">
        <f t="shared" ref="AS267" si="64">SUM(I267:AR267)</f>
        <v>0</v>
      </c>
    </row>
    <row r="268" spans="6:45" ht="9.75" customHeight="1" x14ac:dyDescent="0.15">
      <c r="F268" s="67" t="s">
        <v>930</v>
      </c>
      <c r="G268" s="211" t="s">
        <v>521</v>
      </c>
      <c r="H268" s="144" t="s">
        <v>526</v>
      </c>
      <c r="I268" s="45">
        <f t="shared" si="46"/>
        <v>0</v>
      </c>
      <c r="J268" s="45">
        <f t="shared" si="47"/>
        <v>0</v>
      </c>
      <c r="K268" s="45">
        <f t="shared" si="48"/>
        <v>0</v>
      </c>
      <c r="L268" s="45">
        <f t="shared" si="49"/>
        <v>0</v>
      </c>
      <c r="M268" s="45">
        <f t="shared" si="50"/>
        <v>0</v>
      </c>
      <c r="N268" s="45">
        <f t="shared" si="51"/>
        <v>0</v>
      </c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143">
        <f t="shared" si="52"/>
        <v>0</v>
      </c>
    </row>
    <row r="269" spans="6:45" x14ac:dyDescent="0.15">
      <c r="F269" s="67" t="s">
        <v>928</v>
      </c>
      <c r="G269" s="211" t="s">
        <v>523</v>
      </c>
      <c r="H269" s="142" t="s">
        <v>528</v>
      </c>
      <c r="I269" s="45">
        <f t="shared" si="46"/>
        <v>0</v>
      </c>
      <c r="J269" s="45">
        <f t="shared" si="47"/>
        <v>0</v>
      </c>
      <c r="K269" s="45">
        <f t="shared" si="48"/>
        <v>0</v>
      </c>
      <c r="L269" s="45">
        <f t="shared" si="49"/>
        <v>0</v>
      </c>
      <c r="M269" s="45">
        <f t="shared" si="50"/>
        <v>0</v>
      </c>
      <c r="N269" s="45">
        <f t="shared" si="51"/>
        <v>0</v>
      </c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143">
        <f t="shared" si="52"/>
        <v>0</v>
      </c>
    </row>
    <row r="270" spans="6:45" x14ac:dyDescent="0.15">
      <c r="F270" s="67" t="s">
        <v>928</v>
      </c>
      <c r="G270" s="211" t="s">
        <v>525</v>
      </c>
      <c r="H270" s="144" t="s">
        <v>530</v>
      </c>
      <c r="I270" s="45">
        <f t="shared" ref="I270:I322" si="65">SUM(J270:L270)</f>
        <v>0</v>
      </c>
      <c r="J270" s="45">
        <f t="shared" ref="J270:J322" si="66">O270+T270+Y270+AD270+AI270+AN270</f>
        <v>0</v>
      </c>
      <c r="K270" s="45">
        <f t="shared" ref="K270:K322" si="67">P270+U270+Z270+AE270+AJ270+AO270</f>
        <v>0</v>
      </c>
      <c r="L270" s="45">
        <f t="shared" ref="L270:L322" si="68">Q270+V270+AA270+AF270+AK270+AP270</f>
        <v>0</v>
      </c>
      <c r="M270" s="45">
        <f t="shared" ref="M270:M322" si="69">R270+W270+AB270+AG270+AL270+AQ270</f>
        <v>0</v>
      </c>
      <c r="N270" s="45">
        <f t="shared" ref="N270:N322" si="70">S270+X270+AC270+AH270+AM270+AR270</f>
        <v>0</v>
      </c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143">
        <f t="shared" ref="AS270:AS322" si="71">SUM(I270:AR270)</f>
        <v>0</v>
      </c>
    </row>
    <row r="271" spans="6:45" x14ac:dyDescent="0.15">
      <c r="F271" s="67" t="s">
        <v>930</v>
      </c>
      <c r="G271" s="211" t="s">
        <v>527</v>
      </c>
      <c r="H271" s="144" t="s">
        <v>532</v>
      </c>
      <c r="I271" s="45">
        <f t="shared" si="65"/>
        <v>0</v>
      </c>
      <c r="J271" s="45">
        <f t="shared" si="66"/>
        <v>0</v>
      </c>
      <c r="K271" s="45">
        <f t="shared" si="67"/>
        <v>0</v>
      </c>
      <c r="L271" s="45">
        <f t="shared" si="68"/>
        <v>0</v>
      </c>
      <c r="M271" s="45">
        <f t="shared" si="69"/>
        <v>0</v>
      </c>
      <c r="N271" s="45">
        <f t="shared" si="70"/>
        <v>0</v>
      </c>
      <c r="O271" s="46">
        <f>SUM(O272:O276)</f>
        <v>0</v>
      </c>
      <c r="P271" s="46">
        <f t="shared" ref="P271:AR271" si="72">SUM(P272:P276)</f>
        <v>0</v>
      </c>
      <c r="Q271" s="46">
        <f t="shared" si="72"/>
        <v>0</v>
      </c>
      <c r="R271" s="46">
        <f t="shared" si="72"/>
        <v>0</v>
      </c>
      <c r="S271" s="46">
        <f t="shared" si="72"/>
        <v>0</v>
      </c>
      <c r="T271" s="46">
        <f t="shared" si="72"/>
        <v>0</v>
      </c>
      <c r="U271" s="46">
        <f t="shared" si="72"/>
        <v>0</v>
      </c>
      <c r="V271" s="46">
        <f t="shared" si="72"/>
        <v>0</v>
      </c>
      <c r="W271" s="46">
        <f t="shared" si="72"/>
        <v>0</v>
      </c>
      <c r="X271" s="46">
        <f t="shared" si="72"/>
        <v>0</v>
      </c>
      <c r="Y271" s="46">
        <f t="shared" si="72"/>
        <v>0</v>
      </c>
      <c r="Z271" s="46">
        <f t="shared" si="72"/>
        <v>0</v>
      </c>
      <c r="AA271" s="46">
        <f t="shared" si="72"/>
        <v>0</v>
      </c>
      <c r="AB271" s="46">
        <f t="shared" si="72"/>
        <v>0</v>
      </c>
      <c r="AC271" s="46">
        <f t="shared" si="72"/>
        <v>0</v>
      </c>
      <c r="AD271" s="46">
        <f t="shared" si="72"/>
        <v>0</v>
      </c>
      <c r="AE271" s="46">
        <f t="shared" si="72"/>
        <v>0</v>
      </c>
      <c r="AF271" s="46">
        <f t="shared" si="72"/>
        <v>0</v>
      </c>
      <c r="AG271" s="46">
        <f t="shared" si="72"/>
        <v>0</v>
      </c>
      <c r="AH271" s="46">
        <f t="shared" si="72"/>
        <v>0</v>
      </c>
      <c r="AI271" s="46">
        <f t="shared" si="72"/>
        <v>0</v>
      </c>
      <c r="AJ271" s="46">
        <f t="shared" si="72"/>
        <v>0</v>
      </c>
      <c r="AK271" s="46">
        <f t="shared" si="72"/>
        <v>0</v>
      </c>
      <c r="AL271" s="46">
        <f t="shared" si="72"/>
        <v>0</v>
      </c>
      <c r="AM271" s="46">
        <f t="shared" si="72"/>
        <v>0</v>
      </c>
      <c r="AN271" s="46">
        <f t="shared" si="72"/>
        <v>0</v>
      </c>
      <c r="AO271" s="46">
        <f t="shared" si="72"/>
        <v>0</v>
      </c>
      <c r="AP271" s="46">
        <f t="shared" si="72"/>
        <v>0</v>
      </c>
      <c r="AQ271" s="46">
        <f t="shared" si="72"/>
        <v>0</v>
      </c>
      <c r="AR271" s="46">
        <f t="shared" si="72"/>
        <v>0</v>
      </c>
      <c r="AS271" s="143">
        <f t="shared" si="71"/>
        <v>0</v>
      </c>
    </row>
    <row r="272" spans="6:45" ht="21" x14ac:dyDescent="0.15">
      <c r="F272" s="67" t="s">
        <v>930</v>
      </c>
      <c r="G272" s="212" t="s">
        <v>529</v>
      </c>
      <c r="H272" s="142" t="s">
        <v>534</v>
      </c>
      <c r="I272" s="45">
        <f t="shared" si="65"/>
        <v>0</v>
      </c>
      <c r="J272" s="45">
        <f t="shared" si="66"/>
        <v>0</v>
      </c>
      <c r="K272" s="45">
        <f t="shared" si="67"/>
        <v>0</v>
      </c>
      <c r="L272" s="45">
        <f t="shared" si="68"/>
        <v>0</v>
      </c>
      <c r="M272" s="45">
        <f t="shared" si="69"/>
        <v>0</v>
      </c>
      <c r="N272" s="45">
        <f t="shared" si="70"/>
        <v>0</v>
      </c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143">
        <f t="shared" si="71"/>
        <v>0</v>
      </c>
    </row>
    <row r="273" spans="6:45" x14ac:dyDescent="0.15">
      <c r="F273" s="67" t="s">
        <v>930</v>
      </c>
      <c r="G273" s="212" t="s">
        <v>531</v>
      </c>
      <c r="H273" s="144" t="s">
        <v>536</v>
      </c>
      <c r="I273" s="45">
        <f t="shared" si="65"/>
        <v>0</v>
      </c>
      <c r="J273" s="45">
        <f t="shared" si="66"/>
        <v>0</v>
      </c>
      <c r="K273" s="45">
        <f t="shared" si="67"/>
        <v>0</v>
      </c>
      <c r="L273" s="45">
        <f t="shared" si="68"/>
        <v>0</v>
      </c>
      <c r="M273" s="45">
        <f t="shared" si="69"/>
        <v>0</v>
      </c>
      <c r="N273" s="45">
        <f t="shared" si="70"/>
        <v>0</v>
      </c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143">
        <f t="shared" si="71"/>
        <v>0</v>
      </c>
    </row>
    <row r="274" spans="6:45" x14ac:dyDescent="0.15">
      <c r="F274" s="67" t="s">
        <v>930</v>
      </c>
      <c r="G274" s="212" t="s">
        <v>533</v>
      </c>
      <c r="H274" s="144" t="s">
        <v>538</v>
      </c>
      <c r="I274" s="45">
        <f t="shared" si="65"/>
        <v>0</v>
      </c>
      <c r="J274" s="45">
        <f t="shared" si="66"/>
        <v>0</v>
      </c>
      <c r="K274" s="45">
        <f t="shared" si="67"/>
        <v>0</v>
      </c>
      <c r="L274" s="45">
        <f t="shared" si="68"/>
        <v>0</v>
      </c>
      <c r="M274" s="45">
        <f t="shared" si="69"/>
        <v>0</v>
      </c>
      <c r="N274" s="45">
        <f t="shared" si="70"/>
        <v>0</v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143">
        <f t="shared" si="71"/>
        <v>0</v>
      </c>
    </row>
    <row r="275" spans="6:45" x14ac:dyDescent="0.15">
      <c r="F275" s="67" t="s">
        <v>930</v>
      </c>
      <c r="G275" s="212" t="s">
        <v>535</v>
      </c>
      <c r="H275" s="142" t="s">
        <v>540</v>
      </c>
      <c r="I275" s="45">
        <f t="shared" si="65"/>
        <v>0</v>
      </c>
      <c r="J275" s="45">
        <f t="shared" si="66"/>
        <v>0</v>
      </c>
      <c r="K275" s="45">
        <f t="shared" si="67"/>
        <v>0</v>
      </c>
      <c r="L275" s="45">
        <f t="shared" si="68"/>
        <v>0</v>
      </c>
      <c r="M275" s="45">
        <f t="shared" si="69"/>
        <v>0</v>
      </c>
      <c r="N275" s="45">
        <f t="shared" si="70"/>
        <v>0</v>
      </c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143">
        <f t="shared" si="71"/>
        <v>0</v>
      </c>
    </row>
    <row r="276" spans="6:45" x14ac:dyDescent="0.15">
      <c r="F276" s="67" t="s">
        <v>930</v>
      </c>
      <c r="G276" s="206" t="s">
        <v>897</v>
      </c>
      <c r="H276" s="144" t="s">
        <v>542</v>
      </c>
      <c r="I276" s="45">
        <f t="shared" ref="I276" si="73">SUM(J276:L276)</f>
        <v>0</v>
      </c>
      <c r="J276" s="45">
        <f t="shared" ref="J276" si="74">O276+T276+Y276+AD276+AI276+AN276</f>
        <v>0</v>
      </c>
      <c r="K276" s="45">
        <f t="shared" ref="K276" si="75">P276+U276+Z276+AE276+AJ276+AO276</f>
        <v>0</v>
      </c>
      <c r="L276" s="45">
        <f t="shared" ref="L276" si="76">Q276+V276+AA276+AF276+AK276+AP276</f>
        <v>0</v>
      </c>
      <c r="M276" s="45">
        <f t="shared" ref="M276" si="77">R276+W276+AB276+AG276+AL276+AQ276</f>
        <v>0</v>
      </c>
      <c r="N276" s="45">
        <f t="shared" ref="N276" si="78">S276+X276+AC276+AH276+AM276+AR276</f>
        <v>0</v>
      </c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143">
        <f t="shared" ref="AS276" si="79">SUM(I276:AR276)</f>
        <v>0</v>
      </c>
    </row>
    <row r="277" spans="6:45" x14ac:dyDescent="0.15">
      <c r="F277" s="67" t="s">
        <v>929</v>
      </c>
      <c r="G277" s="211" t="s">
        <v>537</v>
      </c>
      <c r="H277" s="144" t="s">
        <v>544</v>
      </c>
      <c r="I277" s="45">
        <f t="shared" si="65"/>
        <v>0</v>
      </c>
      <c r="J277" s="45">
        <f t="shared" si="66"/>
        <v>0</v>
      </c>
      <c r="K277" s="45">
        <f t="shared" si="67"/>
        <v>0</v>
      </c>
      <c r="L277" s="45">
        <f t="shared" si="68"/>
        <v>0</v>
      </c>
      <c r="M277" s="45">
        <f t="shared" si="69"/>
        <v>0</v>
      </c>
      <c r="N277" s="45">
        <f t="shared" si="70"/>
        <v>0</v>
      </c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143">
        <f t="shared" si="71"/>
        <v>0</v>
      </c>
    </row>
    <row r="278" spans="6:45" ht="21" x14ac:dyDescent="0.15">
      <c r="F278" s="67" t="s">
        <v>928</v>
      </c>
      <c r="G278" s="211" t="s">
        <v>539</v>
      </c>
      <c r="H278" s="142" t="s">
        <v>546</v>
      </c>
      <c r="I278" s="45">
        <f t="shared" si="65"/>
        <v>0</v>
      </c>
      <c r="J278" s="45">
        <f t="shared" si="66"/>
        <v>0</v>
      </c>
      <c r="K278" s="45">
        <f t="shared" si="67"/>
        <v>0</v>
      </c>
      <c r="L278" s="45">
        <f t="shared" si="68"/>
        <v>0</v>
      </c>
      <c r="M278" s="45">
        <f t="shared" si="69"/>
        <v>0</v>
      </c>
      <c r="N278" s="45">
        <f t="shared" si="70"/>
        <v>0</v>
      </c>
      <c r="O278" s="48">
        <f t="shared" ref="O278:AR278" si="80">SUM(O279:O283)</f>
        <v>0</v>
      </c>
      <c r="P278" s="48">
        <f t="shared" si="80"/>
        <v>0</v>
      </c>
      <c r="Q278" s="48">
        <f t="shared" si="80"/>
        <v>0</v>
      </c>
      <c r="R278" s="48">
        <f t="shared" si="80"/>
        <v>0</v>
      </c>
      <c r="S278" s="48">
        <f t="shared" si="80"/>
        <v>0</v>
      </c>
      <c r="T278" s="48">
        <f t="shared" si="80"/>
        <v>0</v>
      </c>
      <c r="U278" s="48">
        <f t="shared" si="80"/>
        <v>0</v>
      </c>
      <c r="V278" s="48">
        <f t="shared" si="80"/>
        <v>0</v>
      </c>
      <c r="W278" s="48">
        <f t="shared" si="80"/>
        <v>0</v>
      </c>
      <c r="X278" s="48">
        <f t="shared" si="80"/>
        <v>0</v>
      </c>
      <c r="Y278" s="48">
        <f t="shared" si="80"/>
        <v>0</v>
      </c>
      <c r="Z278" s="48">
        <f t="shared" si="80"/>
        <v>0</v>
      </c>
      <c r="AA278" s="48">
        <f t="shared" si="80"/>
        <v>0</v>
      </c>
      <c r="AB278" s="48">
        <f t="shared" si="80"/>
        <v>0</v>
      </c>
      <c r="AC278" s="48">
        <f t="shared" si="80"/>
        <v>0</v>
      </c>
      <c r="AD278" s="48">
        <f t="shared" si="80"/>
        <v>0</v>
      </c>
      <c r="AE278" s="48">
        <f t="shared" si="80"/>
        <v>0</v>
      </c>
      <c r="AF278" s="48">
        <f t="shared" si="80"/>
        <v>0</v>
      </c>
      <c r="AG278" s="48">
        <f t="shared" si="80"/>
        <v>0</v>
      </c>
      <c r="AH278" s="48">
        <f t="shared" si="80"/>
        <v>0</v>
      </c>
      <c r="AI278" s="48">
        <f t="shared" si="80"/>
        <v>0</v>
      </c>
      <c r="AJ278" s="48">
        <f t="shared" si="80"/>
        <v>0</v>
      </c>
      <c r="AK278" s="48">
        <f t="shared" si="80"/>
        <v>0</v>
      </c>
      <c r="AL278" s="48">
        <f t="shared" si="80"/>
        <v>0</v>
      </c>
      <c r="AM278" s="48">
        <f t="shared" si="80"/>
        <v>0</v>
      </c>
      <c r="AN278" s="48">
        <f t="shared" si="80"/>
        <v>0</v>
      </c>
      <c r="AO278" s="48">
        <f t="shared" si="80"/>
        <v>0</v>
      </c>
      <c r="AP278" s="48">
        <f t="shared" si="80"/>
        <v>0</v>
      </c>
      <c r="AQ278" s="48">
        <f t="shared" si="80"/>
        <v>0</v>
      </c>
      <c r="AR278" s="48">
        <f t="shared" si="80"/>
        <v>0</v>
      </c>
      <c r="AS278" s="143">
        <f t="shared" si="71"/>
        <v>0</v>
      </c>
    </row>
    <row r="279" spans="6:45" ht="21" x14ac:dyDescent="0.15">
      <c r="F279" s="67" t="s">
        <v>928</v>
      </c>
      <c r="G279" s="212" t="s">
        <v>541</v>
      </c>
      <c r="H279" s="144" t="s">
        <v>548</v>
      </c>
      <c r="I279" s="45">
        <f t="shared" si="65"/>
        <v>0</v>
      </c>
      <c r="J279" s="45">
        <f t="shared" si="66"/>
        <v>0</v>
      </c>
      <c r="K279" s="45">
        <f t="shared" si="67"/>
        <v>0</v>
      </c>
      <c r="L279" s="45">
        <f t="shared" si="68"/>
        <v>0</v>
      </c>
      <c r="M279" s="45">
        <f t="shared" si="69"/>
        <v>0</v>
      </c>
      <c r="N279" s="45">
        <f t="shared" si="70"/>
        <v>0</v>
      </c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143">
        <f t="shared" si="71"/>
        <v>0</v>
      </c>
    </row>
    <row r="280" spans="6:45" x14ac:dyDescent="0.15">
      <c r="F280" s="67" t="s">
        <v>928</v>
      </c>
      <c r="G280" s="212" t="s">
        <v>543</v>
      </c>
      <c r="H280" s="144" t="s">
        <v>549</v>
      </c>
      <c r="I280" s="45">
        <f t="shared" si="65"/>
        <v>0</v>
      </c>
      <c r="J280" s="45">
        <f t="shared" si="66"/>
        <v>0</v>
      </c>
      <c r="K280" s="45">
        <f t="shared" si="67"/>
        <v>0</v>
      </c>
      <c r="L280" s="45">
        <f t="shared" si="68"/>
        <v>0</v>
      </c>
      <c r="M280" s="45">
        <f t="shared" si="69"/>
        <v>0</v>
      </c>
      <c r="N280" s="45">
        <f t="shared" si="70"/>
        <v>0</v>
      </c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143">
        <f t="shared" si="71"/>
        <v>0</v>
      </c>
    </row>
    <row r="281" spans="6:45" x14ac:dyDescent="0.15">
      <c r="F281" s="67" t="s">
        <v>928</v>
      </c>
      <c r="G281" s="212" t="s">
        <v>545</v>
      </c>
      <c r="H281" s="142" t="s">
        <v>551</v>
      </c>
      <c r="I281" s="45">
        <f t="shared" si="65"/>
        <v>0</v>
      </c>
      <c r="J281" s="45">
        <f t="shared" si="66"/>
        <v>0</v>
      </c>
      <c r="K281" s="45">
        <f t="shared" si="67"/>
        <v>0</v>
      </c>
      <c r="L281" s="45">
        <f t="shared" si="68"/>
        <v>0</v>
      </c>
      <c r="M281" s="45">
        <f t="shared" si="69"/>
        <v>0</v>
      </c>
      <c r="N281" s="45">
        <f t="shared" si="70"/>
        <v>0</v>
      </c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143">
        <f t="shared" si="71"/>
        <v>0</v>
      </c>
    </row>
    <row r="282" spans="6:45" x14ac:dyDescent="0.15">
      <c r="F282" s="67" t="s">
        <v>928</v>
      </c>
      <c r="G282" s="212" t="s">
        <v>547</v>
      </c>
      <c r="H282" s="144" t="s">
        <v>553</v>
      </c>
      <c r="I282" s="45">
        <f t="shared" si="65"/>
        <v>0</v>
      </c>
      <c r="J282" s="45">
        <f t="shared" si="66"/>
        <v>0</v>
      </c>
      <c r="K282" s="45">
        <f t="shared" si="67"/>
        <v>0</v>
      </c>
      <c r="L282" s="45">
        <f t="shared" si="68"/>
        <v>0</v>
      </c>
      <c r="M282" s="45">
        <f t="shared" si="69"/>
        <v>0</v>
      </c>
      <c r="N282" s="45">
        <f t="shared" si="70"/>
        <v>0</v>
      </c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143">
        <f t="shared" si="71"/>
        <v>0</v>
      </c>
    </row>
    <row r="283" spans="6:45" x14ac:dyDescent="0.15">
      <c r="F283" s="67" t="s">
        <v>928</v>
      </c>
      <c r="G283" s="212" t="s">
        <v>864</v>
      </c>
      <c r="H283" s="144" t="s">
        <v>555</v>
      </c>
      <c r="I283" s="45">
        <f t="shared" si="65"/>
        <v>0</v>
      </c>
      <c r="J283" s="45">
        <f t="shared" si="66"/>
        <v>0</v>
      </c>
      <c r="K283" s="45">
        <f t="shared" si="67"/>
        <v>0</v>
      </c>
      <c r="L283" s="45">
        <f t="shared" si="68"/>
        <v>0</v>
      </c>
      <c r="M283" s="45">
        <f t="shared" si="69"/>
        <v>0</v>
      </c>
      <c r="N283" s="45">
        <f t="shared" si="70"/>
        <v>0</v>
      </c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143">
        <f t="shared" si="71"/>
        <v>0</v>
      </c>
    </row>
    <row r="284" spans="6:45" x14ac:dyDescent="0.15">
      <c r="F284" s="67" t="s">
        <v>928</v>
      </c>
      <c r="G284" s="211" t="s">
        <v>550</v>
      </c>
      <c r="H284" s="142" t="s">
        <v>557</v>
      </c>
      <c r="I284" s="45">
        <f t="shared" si="65"/>
        <v>0</v>
      </c>
      <c r="J284" s="45">
        <f t="shared" si="66"/>
        <v>0</v>
      </c>
      <c r="K284" s="45">
        <f t="shared" si="67"/>
        <v>0</v>
      </c>
      <c r="L284" s="45">
        <f t="shared" si="68"/>
        <v>0</v>
      </c>
      <c r="M284" s="45">
        <f t="shared" si="69"/>
        <v>0</v>
      </c>
      <c r="N284" s="45">
        <f t="shared" si="70"/>
        <v>0</v>
      </c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143">
        <f t="shared" si="71"/>
        <v>0</v>
      </c>
    </row>
    <row r="285" spans="6:45" x14ac:dyDescent="0.15">
      <c r="F285" s="67" t="s">
        <v>928</v>
      </c>
      <c r="G285" s="211" t="s">
        <v>552</v>
      </c>
      <c r="H285" s="144" t="s">
        <v>559</v>
      </c>
      <c r="I285" s="45">
        <f t="shared" si="65"/>
        <v>0</v>
      </c>
      <c r="J285" s="45">
        <f t="shared" si="66"/>
        <v>0</v>
      </c>
      <c r="K285" s="45">
        <f t="shared" si="67"/>
        <v>0</v>
      </c>
      <c r="L285" s="45">
        <f t="shared" si="68"/>
        <v>0</v>
      </c>
      <c r="M285" s="45">
        <f t="shared" si="69"/>
        <v>0</v>
      </c>
      <c r="N285" s="45">
        <f t="shared" si="70"/>
        <v>0</v>
      </c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143">
        <f t="shared" si="71"/>
        <v>0</v>
      </c>
    </row>
    <row r="286" spans="6:45" x14ac:dyDescent="0.15">
      <c r="F286" s="67" t="s">
        <v>928</v>
      </c>
      <c r="G286" s="211" t="s">
        <v>554</v>
      </c>
      <c r="H286" s="144" t="s">
        <v>560</v>
      </c>
      <c r="I286" s="45">
        <f t="shared" si="65"/>
        <v>0</v>
      </c>
      <c r="J286" s="45">
        <f t="shared" si="66"/>
        <v>0</v>
      </c>
      <c r="K286" s="45">
        <f t="shared" si="67"/>
        <v>0</v>
      </c>
      <c r="L286" s="45">
        <f t="shared" si="68"/>
        <v>0</v>
      </c>
      <c r="M286" s="45">
        <f t="shared" si="69"/>
        <v>0</v>
      </c>
      <c r="N286" s="45">
        <f t="shared" si="70"/>
        <v>0</v>
      </c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143">
        <f t="shared" si="71"/>
        <v>0</v>
      </c>
    </row>
    <row r="287" spans="6:45" x14ac:dyDescent="0.15">
      <c r="F287" s="67" t="s">
        <v>929</v>
      </c>
      <c r="G287" s="211" t="s">
        <v>556</v>
      </c>
      <c r="H287" s="142" t="s">
        <v>562</v>
      </c>
      <c r="I287" s="45">
        <f t="shared" si="65"/>
        <v>0</v>
      </c>
      <c r="J287" s="45">
        <f t="shared" si="66"/>
        <v>0</v>
      </c>
      <c r="K287" s="45">
        <f t="shared" si="67"/>
        <v>0</v>
      </c>
      <c r="L287" s="45">
        <f t="shared" si="68"/>
        <v>0</v>
      </c>
      <c r="M287" s="45">
        <f t="shared" si="69"/>
        <v>0</v>
      </c>
      <c r="N287" s="45">
        <f t="shared" si="70"/>
        <v>0</v>
      </c>
      <c r="O287" s="46">
        <f t="shared" ref="O287:AR287" si="81">SUM(O288:O293)</f>
        <v>0</v>
      </c>
      <c r="P287" s="46">
        <f t="shared" si="81"/>
        <v>0</v>
      </c>
      <c r="Q287" s="46">
        <f t="shared" si="81"/>
        <v>0</v>
      </c>
      <c r="R287" s="46">
        <f t="shared" si="81"/>
        <v>0</v>
      </c>
      <c r="S287" s="46">
        <f t="shared" si="81"/>
        <v>0</v>
      </c>
      <c r="T287" s="46">
        <f t="shared" si="81"/>
        <v>0</v>
      </c>
      <c r="U287" s="46">
        <f t="shared" si="81"/>
        <v>0</v>
      </c>
      <c r="V287" s="46">
        <f t="shared" si="81"/>
        <v>0</v>
      </c>
      <c r="W287" s="46">
        <f t="shared" si="81"/>
        <v>0</v>
      </c>
      <c r="X287" s="46">
        <f t="shared" si="81"/>
        <v>0</v>
      </c>
      <c r="Y287" s="46">
        <f t="shared" si="81"/>
        <v>0</v>
      </c>
      <c r="Z287" s="46">
        <f t="shared" si="81"/>
        <v>0</v>
      </c>
      <c r="AA287" s="46">
        <f t="shared" si="81"/>
        <v>0</v>
      </c>
      <c r="AB287" s="46">
        <f t="shared" si="81"/>
        <v>0</v>
      </c>
      <c r="AC287" s="46">
        <f t="shared" si="81"/>
        <v>0</v>
      </c>
      <c r="AD287" s="46">
        <f t="shared" si="81"/>
        <v>0</v>
      </c>
      <c r="AE287" s="46">
        <f t="shared" si="81"/>
        <v>0</v>
      </c>
      <c r="AF287" s="46">
        <f t="shared" si="81"/>
        <v>0</v>
      </c>
      <c r="AG287" s="46">
        <f t="shared" si="81"/>
        <v>0</v>
      </c>
      <c r="AH287" s="46">
        <f t="shared" si="81"/>
        <v>0</v>
      </c>
      <c r="AI287" s="46">
        <f t="shared" si="81"/>
        <v>0</v>
      </c>
      <c r="AJ287" s="46">
        <f t="shared" si="81"/>
        <v>0</v>
      </c>
      <c r="AK287" s="46">
        <f t="shared" si="81"/>
        <v>0</v>
      </c>
      <c r="AL287" s="46">
        <f t="shared" si="81"/>
        <v>0</v>
      </c>
      <c r="AM287" s="46">
        <f t="shared" si="81"/>
        <v>0</v>
      </c>
      <c r="AN287" s="46">
        <f t="shared" si="81"/>
        <v>0</v>
      </c>
      <c r="AO287" s="46">
        <f t="shared" si="81"/>
        <v>0</v>
      </c>
      <c r="AP287" s="46">
        <f t="shared" si="81"/>
        <v>0</v>
      </c>
      <c r="AQ287" s="46">
        <f t="shared" si="81"/>
        <v>0</v>
      </c>
      <c r="AR287" s="46">
        <f t="shared" si="81"/>
        <v>0</v>
      </c>
      <c r="AS287" s="143">
        <f t="shared" si="71"/>
        <v>0</v>
      </c>
    </row>
    <row r="288" spans="6:45" ht="21" x14ac:dyDescent="0.15">
      <c r="F288" s="67" t="s">
        <v>929</v>
      </c>
      <c r="G288" s="212" t="s">
        <v>558</v>
      </c>
      <c r="H288" s="144" t="s">
        <v>564</v>
      </c>
      <c r="I288" s="45">
        <f t="shared" si="65"/>
        <v>0</v>
      </c>
      <c r="J288" s="45">
        <f t="shared" si="66"/>
        <v>0</v>
      </c>
      <c r="K288" s="45">
        <f t="shared" si="67"/>
        <v>0</v>
      </c>
      <c r="L288" s="45">
        <f t="shared" si="68"/>
        <v>0</v>
      </c>
      <c r="M288" s="45">
        <f t="shared" si="69"/>
        <v>0</v>
      </c>
      <c r="N288" s="45">
        <f t="shared" si="70"/>
        <v>0</v>
      </c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143">
        <f t="shared" si="71"/>
        <v>0</v>
      </c>
    </row>
    <row r="289" spans="6:45" x14ac:dyDescent="0.15">
      <c r="F289" s="67" t="s">
        <v>929</v>
      </c>
      <c r="G289" s="212" t="s">
        <v>416</v>
      </c>
      <c r="H289" s="144" t="s">
        <v>565</v>
      </c>
      <c r="I289" s="45">
        <f t="shared" si="65"/>
        <v>0</v>
      </c>
      <c r="J289" s="45">
        <f t="shared" si="66"/>
        <v>0</v>
      </c>
      <c r="K289" s="45">
        <f t="shared" si="67"/>
        <v>0</v>
      </c>
      <c r="L289" s="45">
        <f t="shared" si="68"/>
        <v>0</v>
      </c>
      <c r="M289" s="45">
        <f t="shared" si="69"/>
        <v>0</v>
      </c>
      <c r="N289" s="45">
        <f t="shared" si="70"/>
        <v>0</v>
      </c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143">
        <f t="shared" si="71"/>
        <v>0</v>
      </c>
    </row>
    <row r="290" spans="6:45" x14ac:dyDescent="0.15">
      <c r="F290" s="67" t="s">
        <v>929</v>
      </c>
      <c r="G290" s="212" t="s">
        <v>561</v>
      </c>
      <c r="H290" s="142" t="s">
        <v>566</v>
      </c>
      <c r="I290" s="45">
        <f t="shared" si="65"/>
        <v>0</v>
      </c>
      <c r="J290" s="45">
        <f t="shared" si="66"/>
        <v>0</v>
      </c>
      <c r="K290" s="45">
        <f t="shared" si="67"/>
        <v>0</v>
      </c>
      <c r="L290" s="45">
        <f t="shared" si="68"/>
        <v>0</v>
      </c>
      <c r="M290" s="45">
        <f t="shared" si="69"/>
        <v>0</v>
      </c>
      <c r="N290" s="45">
        <f t="shared" si="70"/>
        <v>0</v>
      </c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143">
        <f t="shared" si="71"/>
        <v>0</v>
      </c>
    </row>
    <row r="291" spans="6:45" x14ac:dyDescent="0.15">
      <c r="F291" s="67" t="s">
        <v>929</v>
      </c>
      <c r="G291" s="212" t="s">
        <v>563</v>
      </c>
      <c r="H291" s="144" t="s">
        <v>568</v>
      </c>
      <c r="I291" s="45">
        <f t="shared" si="65"/>
        <v>0</v>
      </c>
      <c r="J291" s="45">
        <f t="shared" si="66"/>
        <v>0</v>
      </c>
      <c r="K291" s="45">
        <f t="shared" si="67"/>
        <v>0</v>
      </c>
      <c r="L291" s="45">
        <f t="shared" si="68"/>
        <v>0</v>
      </c>
      <c r="M291" s="45">
        <f t="shared" si="69"/>
        <v>0</v>
      </c>
      <c r="N291" s="45">
        <f t="shared" si="70"/>
        <v>0</v>
      </c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143">
        <f t="shared" si="71"/>
        <v>0</v>
      </c>
    </row>
    <row r="292" spans="6:45" x14ac:dyDescent="0.15">
      <c r="F292" s="67" t="s">
        <v>929</v>
      </c>
      <c r="G292" s="212" t="s">
        <v>414</v>
      </c>
      <c r="H292" s="144" t="s">
        <v>570</v>
      </c>
      <c r="I292" s="45">
        <f t="shared" si="65"/>
        <v>0</v>
      </c>
      <c r="J292" s="45">
        <f t="shared" si="66"/>
        <v>0</v>
      </c>
      <c r="K292" s="45">
        <f t="shared" si="67"/>
        <v>0</v>
      </c>
      <c r="L292" s="45">
        <f t="shared" si="68"/>
        <v>0</v>
      </c>
      <c r="M292" s="45">
        <f t="shared" si="69"/>
        <v>0</v>
      </c>
      <c r="N292" s="45">
        <f t="shared" si="70"/>
        <v>0</v>
      </c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143">
        <f t="shared" si="71"/>
        <v>0</v>
      </c>
    </row>
    <row r="293" spans="6:45" x14ac:dyDescent="0.15">
      <c r="F293" s="67" t="s">
        <v>929</v>
      </c>
      <c r="G293" s="212" t="s">
        <v>418</v>
      </c>
      <c r="H293" s="142" t="s">
        <v>571</v>
      </c>
      <c r="I293" s="45">
        <f t="shared" si="65"/>
        <v>0</v>
      </c>
      <c r="J293" s="45">
        <f t="shared" si="66"/>
        <v>0</v>
      </c>
      <c r="K293" s="45">
        <f t="shared" si="67"/>
        <v>0</v>
      </c>
      <c r="L293" s="45">
        <f t="shared" si="68"/>
        <v>0</v>
      </c>
      <c r="M293" s="45">
        <f t="shared" si="69"/>
        <v>0</v>
      </c>
      <c r="N293" s="45">
        <f t="shared" si="70"/>
        <v>0</v>
      </c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143">
        <f t="shared" si="71"/>
        <v>0</v>
      </c>
    </row>
    <row r="294" spans="6:45" x14ac:dyDescent="0.15">
      <c r="F294" s="67" t="s">
        <v>928</v>
      </c>
      <c r="G294" s="211" t="s">
        <v>567</v>
      </c>
      <c r="H294" s="144" t="s">
        <v>573</v>
      </c>
      <c r="I294" s="45">
        <f t="shared" si="65"/>
        <v>0</v>
      </c>
      <c r="J294" s="45">
        <f t="shared" si="66"/>
        <v>0</v>
      </c>
      <c r="K294" s="45">
        <f t="shared" si="67"/>
        <v>0</v>
      </c>
      <c r="L294" s="45">
        <f t="shared" si="68"/>
        <v>0</v>
      </c>
      <c r="M294" s="45">
        <f t="shared" si="69"/>
        <v>0</v>
      </c>
      <c r="N294" s="45">
        <f t="shared" si="70"/>
        <v>0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143">
        <f t="shared" si="71"/>
        <v>0</v>
      </c>
    </row>
    <row r="295" spans="6:45" x14ac:dyDescent="0.15">
      <c r="F295" s="67" t="s">
        <v>930</v>
      </c>
      <c r="G295" s="211" t="s">
        <v>569</v>
      </c>
      <c r="H295" s="144" t="s">
        <v>575</v>
      </c>
      <c r="I295" s="45">
        <f t="shared" si="65"/>
        <v>0</v>
      </c>
      <c r="J295" s="45">
        <f t="shared" si="66"/>
        <v>0</v>
      </c>
      <c r="K295" s="45">
        <f t="shared" si="67"/>
        <v>0</v>
      </c>
      <c r="L295" s="45">
        <f t="shared" si="68"/>
        <v>0</v>
      </c>
      <c r="M295" s="45">
        <f t="shared" si="69"/>
        <v>0</v>
      </c>
      <c r="N295" s="45">
        <f t="shared" si="70"/>
        <v>0</v>
      </c>
      <c r="O295" s="46">
        <f t="shared" ref="O295:AR295" si="82">SUM(O296:O301)</f>
        <v>0</v>
      </c>
      <c r="P295" s="46">
        <f t="shared" si="82"/>
        <v>0</v>
      </c>
      <c r="Q295" s="46">
        <f t="shared" si="82"/>
        <v>0</v>
      </c>
      <c r="R295" s="46">
        <f t="shared" si="82"/>
        <v>0</v>
      </c>
      <c r="S295" s="46">
        <f t="shared" si="82"/>
        <v>0</v>
      </c>
      <c r="T295" s="46">
        <f t="shared" si="82"/>
        <v>0</v>
      </c>
      <c r="U295" s="46">
        <f t="shared" si="82"/>
        <v>0</v>
      </c>
      <c r="V295" s="46">
        <f t="shared" si="82"/>
        <v>0</v>
      </c>
      <c r="W295" s="46">
        <f t="shared" si="82"/>
        <v>0</v>
      </c>
      <c r="X295" s="46">
        <f t="shared" si="82"/>
        <v>0</v>
      </c>
      <c r="Y295" s="46">
        <f t="shared" si="82"/>
        <v>0</v>
      </c>
      <c r="Z295" s="46">
        <f t="shared" si="82"/>
        <v>0</v>
      </c>
      <c r="AA295" s="46">
        <f t="shared" si="82"/>
        <v>0</v>
      </c>
      <c r="AB295" s="46">
        <f t="shared" si="82"/>
        <v>0</v>
      </c>
      <c r="AC295" s="46">
        <f t="shared" si="82"/>
        <v>0</v>
      </c>
      <c r="AD295" s="46">
        <f t="shared" si="82"/>
        <v>0</v>
      </c>
      <c r="AE295" s="46">
        <f t="shared" si="82"/>
        <v>0</v>
      </c>
      <c r="AF295" s="46">
        <f t="shared" si="82"/>
        <v>0</v>
      </c>
      <c r="AG295" s="46">
        <f t="shared" si="82"/>
        <v>0</v>
      </c>
      <c r="AH295" s="46">
        <f t="shared" si="82"/>
        <v>0</v>
      </c>
      <c r="AI295" s="46">
        <f t="shared" si="82"/>
        <v>0</v>
      </c>
      <c r="AJ295" s="46">
        <f t="shared" si="82"/>
        <v>0</v>
      </c>
      <c r="AK295" s="46">
        <f t="shared" si="82"/>
        <v>0</v>
      </c>
      <c r="AL295" s="46">
        <f t="shared" si="82"/>
        <v>0</v>
      </c>
      <c r="AM295" s="46">
        <f t="shared" si="82"/>
        <v>0</v>
      </c>
      <c r="AN295" s="46">
        <f t="shared" si="82"/>
        <v>0</v>
      </c>
      <c r="AO295" s="46">
        <f t="shared" si="82"/>
        <v>0</v>
      </c>
      <c r="AP295" s="46">
        <f t="shared" si="82"/>
        <v>0</v>
      </c>
      <c r="AQ295" s="46">
        <f t="shared" si="82"/>
        <v>0</v>
      </c>
      <c r="AR295" s="46">
        <f t="shared" si="82"/>
        <v>0</v>
      </c>
      <c r="AS295" s="143">
        <f t="shared" si="71"/>
        <v>0</v>
      </c>
    </row>
    <row r="296" spans="6:45" ht="21" x14ac:dyDescent="0.15">
      <c r="F296" s="67" t="s">
        <v>930</v>
      </c>
      <c r="G296" s="212" t="s">
        <v>871</v>
      </c>
      <c r="H296" s="142" t="s">
        <v>577</v>
      </c>
      <c r="I296" s="45">
        <f t="shared" si="65"/>
        <v>0</v>
      </c>
      <c r="J296" s="45">
        <f t="shared" si="66"/>
        <v>0</v>
      </c>
      <c r="K296" s="45">
        <f t="shared" si="67"/>
        <v>0</v>
      </c>
      <c r="L296" s="45">
        <f t="shared" si="68"/>
        <v>0</v>
      </c>
      <c r="M296" s="45">
        <f t="shared" si="69"/>
        <v>0</v>
      </c>
      <c r="N296" s="45">
        <f t="shared" si="70"/>
        <v>0</v>
      </c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143">
        <f t="shared" si="71"/>
        <v>0</v>
      </c>
    </row>
    <row r="297" spans="6:45" x14ac:dyDescent="0.15">
      <c r="F297" s="67" t="s">
        <v>930</v>
      </c>
      <c r="G297" s="212" t="s">
        <v>572</v>
      </c>
      <c r="H297" s="144" t="s">
        <v>579</v>
      </c>
      <c r="I297" s="45">
        <f t="shared" si="65"/>
        <v>0</v>
      </c>
      <c r="J297" s="45">
        <f t="shared" si="66"/>
        <v>0</v>
      </c>
      <c r="K297" s="45">
        <f t="shared" si="67"/>
        <v>0</v>
      </c>
      <c r="L297" s="45">
        <f t="shared" si="68"/>
        <v>0</v>
      </c>
      <c r="M297" s="45">
        <f t="shared" si="69"/>
        <v>0</v>
      </c>
      <c r="N297" s="45">
        <f t="shared" si="70"/>
        <v>0</v>
      </c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143">
        <f t="shared" si="71"/>
        <v>0</v>
      </c>
    </row>
    <row r="298" spans="6:45" x14ac:dyDescent="0.15">
      <c r="F298" s="67" t="s">
        <v>930</v>
      </c>
      <c r="G298" s="212" t="s">
        <v>574</v>
      </c>
      <c r="H298" s="144" t="s">
        <v>581</v>
      </c>
      <c r="I298" s="45">
        <f t="shared" si="65"/>
        <v>0</v>
      </c>
      <c r="J298" s="45">
        <f t="shared" si="66"/>
        <v>0</v>
      </c>
      <c r="K298" s="45">
        <f t="shared" si="67"/>
        <v>0</v>
      </c>
      <c r="L298" s="45">
        <f t="shared" si="68"/>
        <v>0</v>
      </c>
      <c r="M298" s="45">
        <f t="shared" si="69"/>
        <v>0</v>
      </c>
      <c r="N298" s="45">
        <f t="shared" si="70"/>
        <v>0</v>
      </c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143">
        <f t="shared" si="71"/>
        <v>0</v>
      </c>
    </row>
    <row r="299" spans="6:45" x14ac:dyDescent="0.15">
      <c r="F299" s="67" t="s">
        <v>930</v>
      </c>
      <c r="G299" s="212" t="s">
        <v>576</v>
      </c>
      <c r="H299" s="142" t="s">
        <v>583</v>
      </c>
      <c r="I299" s="45">
        <f t="shared" si="65"/>
        <v>0</v>
      </c>
      <c r="J299" s="45">
        <f t="shared" si="66"/>
        <v>0</v>
      </c>
      <c r="K299" s="45">
        <f t="shared" si="67"/>
        <v>0</v>
      </c>
      <c r="L299" s="45">
        <f t="shared" si="68"/>
        <v>0</v>
      </c>
      <c r="M299" s="45">
        <f t="shared" si="69"/>
        <v>0</v>
      </c>
      <c r="N299" s="45">
        <f t="shared" si="70"/>
        <v>0</v>
      </c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143">
        <f t="shared" si="71"/>
        <v>0</v>
      </c>
    </row>
    <row r="300" spans="6:45" x14ac:dyDescent="0.15">
      <c r="F300" s="67" t="s">
        <v>930</v>
      </c>
      <c r="G300" s="212" t="s">
        <v>578</v>
      </c>
      <c r="H300" s="144" t="s">
        <v>585</v>
      </c>
      <c r="I300" s="45">
        <f t="shared" si="65"/>
        <v>0</v>
      </c>
      <c r="J300" s="45">
        <f t="shared" si="66"/>
        <v>0</v>
      </c>
      <c r="K300" s="45">
        <f t="shared" si="67"/>
        <v>0</v>
      </c>
      <c r="L300" s="45">
        <f t="shared" si="68"/>
        <v>0</v>
      </c>
      <c r="M300" s="45">
        <f t="shared" si="69"/>
        <v>0</v>
      </c>
      <c r="N300" s="45">
        <f t="shared" si="70"/>
        <v>0</v>
      </c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143">
        <f t="shared" si="71"/>
        <v>0</v>
      </c>
    </row>
    <row r="301" spans="6:45" x14ac:dyDescent="0.15">
      <c r="F301" s="67" t="s">
        <v>930</v>
      </c>
      <c r="G301" s="212" t="s">
        <v>580</v>
      </c>
      <c r="H301" s="144" t="s">
        <v>587</v>
      </c>
      <c r="I301" s="45">
        <f t="shared" si="65"/>
        <v>0</v>
      </c>
      <c r="J301" s="45">
        <f t="shared" si="66"/>
        <v>0</v>
      </c>
      <c r="K301" s="45">
        <f t="shared" si="67"/>
        <v>0</v>
      </c>
      <c r="L301" s="45">
        <f t="shared" si="68"/>
        <v>0</v>
      </c>
      <c r="M301" s="45">
        <f t="shared" si="69"/>
        <v>0</v>
      </c>
      <c r="N301" s="45">
        <f t="shared" si="70"/>
        <v>0</v>
      </c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143">
        <f t="shared" si="71"/>
        <v>0</v>
      </c>
    </row>
    <row r="302" spans="6:45" x14ac:dyDescent="0.15">
      <c r="F302" s="67" t="s">
        <v>928</v>
      </c>
      <c r="G302" s="211" t="s">
        <v>582</v>
      </c>
      <c r="H302" s="142" t="s">
        <v>588</v>
      </c>
      <c r="I302" s="45">
        <f t="shared" si="65"/>
        <v>0</v>
      </c>
      <c r="J302" s="45">
        <f t="shared" si="66"/>
        <v>0</v>
      </c>
      <c r="K302" s="45">
        <f t="shared" si="67"/>
        <v>0</v>
      </c>
      <c r="L302" s="45">
        <f t="shared" si="68"/>
        <v>0</v>
      </c>
      <c r="M302" s="45">
        <f t="shared" si="69"/>
        <v>0</v>
      </c>
      <c r="N302" s="45">
        <f t="shared" si="70"/>
        <v>0</v>
      </c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143">
        <f t="shared" si="71"/>
        <v>0</v>
      </c>
    </row>
    <row r="303" spans="6:45" x14ac:dyDescent="0.15">
      <c r="F303" s="67" t="s">
        <v>932</v>
      </c>
      <c r="G303" s="211" t="s">
        <v>584</v>
      </c>
      <c r="H303" s="144" t="s">
        <v>590</v>
      </c>
      <c r="I303" s="45">
        <f t="shared" si="65"/>
        <v>0</v>
      </c>
      <c r="J303" s="45">
        <f t="shared" si="66"/>
        <v>0</v>
      </c>
      <c r="K303" s="45">
        <f t="shared" si="67"/>
        <v>0</v>
      </c>
      <c r="L303" s="45">
        <f t="shared" si="68"/>
        <v>0</v>
      </c>
      <c r="M303" s="45">
        <f t="shared" si="69"/>
        <v>0</v>
      </c>
      <c r="N303" s="45">
        <f t="shared" si="70"/>
        <v>0</v>
      </c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143">
        <f t="shared" si="71"/>
        <v>0</v>
      </c>
    </row>
    <row r="304" spans="6:45" x14ac:dyDescent="0.15">
      <c r="F304" s="67" t="s">
        <v>929</v>
      </c>
      <c r="G304" s="211" t="s">
        <v>586</v>
      </c>
      <c r="H304" s="144" t="s">
        <v>592</v>
      </c>
      <c r="I304" s="45">
        <f t="shared" si="65"/>
        <v>0</v>
      </c>
      <c r="J304" s="45">
        <f t="shared" si="66"/>
        <v>0</v>
      </c>
      <c r="K304" s="45">
        <f t="shared" si="67"/>
        <v>0</v>
      </c>
      <c r="L304" s="45">
        <f t="shared" si="68"/>
        <v>0</v>
      </c>
      <c r="M304" s="45">
        <f t="shared" si="69"/>
        <v>0</v>
      </c>
      <c r="N304" s="45">
        <f t="shared" si="70"/>
        <v>0</v>
      </c>
      <c r="O304" s="46">
        <f t="shared" ref="O304:AR304" si="83">SUM(O305:O309)</f>
        <v>0</v>
      </c>
      <c r="P304" s="46">
        <f t="shared" si="83"/>
        <v>0</v>
      </c>
      <c r="Q304" s="46">
        <f t="shared" si="83"/>
        <v>0</v>
      </c>
      <c r="R304" s="46">
        <f t="shared" si="83"/>
        <v>0</v>
      </c>
      <c r="S304" s="46">
        <f t="shared" si="83"/>
        <v>0</v>
      </c>
      <c r="T304" s="46">
        <f t="shared" si="83"/>
        <v>0</v>
      </c>
      <c r="U304" s="46">
        <f t="shared" si="83"/>
        <v>0</v>
      </c>
      <c r="V304" s="46">
        <f t="shared" si="83"/>
        <v>0</v>
      </c>
      <c r="W304" s="46">
        <f t="shared" si="83"/>
        <v>0</v>
      </c>
      <c r="X304" s="46">
        <f t="shared" si="83"/>
        <v>0</v>
      </c>
      <c r="Y304" s="46">
        <f t="shared" si="83"/>
        <v>0</v>
      </c>
      <c r="Z304" s="46">
        <f t="shared" si="83"/>
        <v>0</v>
      </c>
      <c r="AA304" s="46">
        <f t="shared" si="83"/>
        <v>0</v>
      </c>
      <c r="AB304" s="46">
        <f t="shared" si="83"/>
        <v>0</v>
      </c>
      <c r="AC304" s="46">
        <f t="shared" si="83"/>
        <v>0</v>
      </c>
      <c r="AD304" s="46">
        <f t="shared" si="83"/>
        <v>0</v>
      </c>
      <c r="AE304" s="46">
        <f t="shared" si="83"/>
        <v>0</v>
      </c>
      <c r="AF304" s="46">
        <f t="shared" si="83"/>
        <v>0</v>
      </c>
      <c r="AG304" s="46">
        <f t="shared" si="83"/>
        <v>0</v>
      </c>
      <c r="AH304" s="46">
        <f t="shared" si="83"/>
        <v>0</v>
      </c>
      <c r="AI304" s="46">
        <f t="shared" si="83"/>
        <v>0</v>
      </c>
      <c r="AJ304" s="46">
        <f t="shared" si="83"/>
        <v>0</v>
      </c>
      <c r="AK304" s="46">
        <f t="shared" si="83"/>
        <v>0</v>
      </c>
      <c r="AL304" s="46">
        <f t="shared" si="83"/>
        <v>0</v>
      </c>
      <c r="AM304" s="46">
        <f t="shared" si="83"/>
        <v>0</v>
      </c>
      <c r="AN304" s="46">
        <f t="shared" si="83"/>
        <v>0</v>
      </c>
      <c r="AO304" s="46">
        <f t="shared" si="83"/>
        <v>0</v>
      </c>
      <c r="AP304" s="46">
        <f t="shared" si="83"/>
        <v>0</v>
      </c>
      <c r="AQ304" s="46">
        <f t="shared" si="83"/>
        <v>0</v>
      </c>
      <c r="AR304" s="46">
        <f t="shared" si="83"/>
        <v>0</v>
      </c>
      <c r="AS304" s="143">
        <f t="shared" si="71"/>
        <v>0</v>
      </c>
    </row>
    <row r="305" spans="6:45" ht="21" x14ac:dyDescent="0.15">
      <c r="F305" s="67" t="s">
        <v>929</v>
      </c>
      <c r="G305" s="212" t="s">
        <v>872</v>
      </c>
      <c r="H305" s="142" t="s">
        <v>594</v>
      </c>
      <c r="I305" s="45">
        <f t="shared" si="65"/>
        <v>0</v>
      </c>
      <c r="J305" s="45">
        <f t="shared" si="66"/>
        <v>0</v>
      </c>
      <c r="K305" s="45">
        <f t="shared" si="67"/>
        <v>0</v>
      </c>
      <c r="L305" s="45">
        <f t="shared" si="68"/>
        <v>0</v>
      </c>
      <c r="M305" s="45">
        <f t="shared" si="69"/>
        <v>0</v>
      </c>
      <c r="N305" s="45">
        <f t="shared" si="70"/>
        <v>0</v>
      </c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143">
        <f t="shared" si="71"/>
        <v>0</v>
      </c>
    </row>
    <row r="306" spans="6:45" x14ac:dyDescent="0.15">
      <c r="F306" s="67" t="s">
        <v>929</v>
      </c>
      <c r="G306" s="212" t="s">
        <v>589</v>
      </c>
      <c r="H306" s="144" t="s">
        <v>596</v>
      </c>
      <c r="I306" s="45">
        <f t="shared" si="65"/>
        <v>0</v>
      </c>
      <c r="J306" s="45">
        <f t="shared" si="66"/>
        <v>0</v>
      </c>
      <c r="K306" s="45">
        <f t="shared" si="67"/>
        <v>0</v>
      </c>
      <c r="L306" s="45">
        <f t="shared" si="68"/>
        <v>0</v>
      </c>
      <c r="M306" s="45">
        <f t="shared" si="69"/>
        <v>0</v>
      </c>
      <c r="N306" s="45">
        <f t="shared" si="70"/>
        <v>0</v>
      </c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143">
        <f t="shared" si="71"/>
        <v>0</v>
      </c>
    </row>
    <row r="307" spans="6:45" x14ac:dyDescent="0.15">
      <c r="F307" s="67" t="s">
        <v>929</v>
      </c>
      <c r="G307" s="212" t="s">
        <v>591</v>
      </c>
      <c r="H307" s="144" t="s">
        <v>598</v>
      </c>
      <c r="I307" s="45">
        <f t="shared" si="65"/>
        <v>0</v>
      </c>
      <c r="J307" s="45">
        <f t="shared" si="66"/>
        <v>0</v>
      </c>
      <c r="K307" s="45">
        <f t="shared" si="67"/>
        <v>0</v>
      </c>
      <c r="L307" s="45">
        <f t="shared" si="68"/>
        <v>0</v>
      </c>
      <c r="M307" s="45">
        <f t="shared" si="69"/>
        <v>0</v>
      </c>
      <c r="N307" s="45">
        <f t="shared" si="70"/>
        <v>0</v>
      </c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143">
        <f t="shared" si="71"/>
        <v>0</v>
      </c>
    </row>
    <row r="308" spans="6:45" x14ac:dyDescent="0.15">
      <c r="F308" s="67" t="s">
        <v>929</v>
      </c>
      <c r="G308" s="212" t="s">
        <v>593</v>
      </c>
      <c r="H308" s="142" t="s">
        <v>599</v>
      </c>
      <c r="I308" s="45">
        <f t="shared" si="65"/>
        <v>0</v>
      </c>
      <c r="J308" s="45">
        <f t="shared" si="66"/>
        <v>0</v>
      </c>
      <c r="K308" s="45">
        <f t="shared" si="67"/>
        <v>0</v>
      </c>
      <c r="L308" s="45">
        <f t="shared" si="68"/>
        <v>0</v>
      </c>
      <c r="M308" s="45">
        <f t="shared" si="69"/>
        <v>0</v>
      </c>
      <c r="N308" s="45">
        <f t="shared" si="70"/>
        <v>0</v>
      </c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143">
        <f t="shared" si="71"/>
        <v>0</v>
      </c>
    </row>
    <row r="309" spans="6:45" x14ac:dyDescent="0.15">
      <c r="F309" s="67" t="s">
        <v>929</v>
      </c>
      <c r="G309" s="212" t="s">
        <v>595</v>
      </c>
      <c r="H309" s="144" t="s">
        <v>601</v>
      </c>
      <c r="I309" s="45">
        <f t="shared" si="65"/>
        <v>0</v>
      </c>
      <c r="J309" s="45">
        <f t="shared" si="66"/>
        <v>0</v>
      </c>
      <c r="K309" s="45">
        <f t="shared" si="67"/>
        <v>0</v>
      </c>
      <c r="L309" s="45">
        <f t="shared" si="68"/>
        <v>0</v>
      </c>
      <c r="M309" s="45">
        <f t="shared" si="69"/>
        <v>0</v>
      </c>
      <c r="N309" s="45">
        <f t="shared" si="70"/>
        <v>0</v>
      </c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143">
        <f t="shared" si="71"/>
        <v>0</v>
      </c>
    </row>
    <row r="310" spans="6:45" x14ac:dyDescent="0.15">
      <c r="F310" s="67" t="s">
        <v>930</v>
      </c>
      <c r="G310" s="211" t="s">
        <v>597</v>
      </c>
      <c r="H310" s="144" t="s">
        <v>603</v>
      </c>
      <c r="I310" s="45">
        <f t="shared" si="65"/>
        <v>0</v>
      </c>
      <c r="J310" s="45">
        <f t="shared" si="66"/>
        <v>0</v>
      </c>
      <c r="K310" s="45">
        <f t="shared" si="67"/>
        <v>0</v>
      </c>
      <c r="L310" s="45">
        <f t="shared" si="68"/>
        <v>0</v>
      </c>
      <c r="M310" s="45">
        <f t="shared" si="69"/>
        <v>0</v>
      </c>
      <c r="N310" s="45">
        <f t="shared" si="70"/>
        <v>0</v>
      </c>
      <c r="O310" s="46">
        <f t="shared" ref="O310:AR310" si="84">SUM(O311:O312)</f>
        <v>0</v>
      </c>
      <c r="P310" s="46">
        <f t="shared" si="84"/>
        <v>0</v>
      </c>
      <c r="Q310" s="46">
        <f t="shared" si="84"/>
        <v>0</v>
      </c>
      <c r="R310" s="46">
        <f t="shared" si="84"/>
        <v>0</v>
      </c>
      <c r="S310" s="46">
        <f t="shared" si="84"/>
        <v>0</v>
      </c>
      <c r="T310" s="46">
        <f t="shared" si="84"/>
        <v>0</v>
      </c>
      <c r="U310" s="46">
        <f t="shared" si="84"/>
        <v>0</v>
      </c>
      <c r="V310" s="46">
        <f t="shared" si="84"/>
        <v>0</v>
      </c>
      <c r="W310" s="46">
        <f t="shared" si="84"/>
        <v>0</v>
      </c>
      <c r="X310" s="46">
        <f t="shared" si="84"/>
        <v>0</v>
      </c>
      <c r="Y310" s="46">
        <f t="shared" si="84"/>
        <v>0</v>
      </c>
      <c r="Z310" s="46">
        <f t="shared" si="84"/>
        <v>0</v>
      </c>
      <c r="AA310" s="46">
        <f t="shared" si="84"/>
        <v>0</v>
      </c>
      <c r="AB310" s="46">
        <f t="shared" si="84"/>
        <v>0</v>
      </c>
      <c r="AC310" s="46">
        <f t="shared" si="84"/>
        <v>0</v>
      </c>
      <c r="AD310" s="46">
        <f t="shared" si="84"/>
        <v>0</v>
      </c>
      <c r="AE310" s="46">
        <f t="shared" si="84"/>
        <v>0</v>
      </c>
      <c r="AF310" s="46">
        <f t="shared" si="84"/>
        <v>0</v>
      </c>
      <c r="AG310" s="46">
        <f t="shared" si="84"/>
        <v>0</v>
      </c>
      <c r="AH310" s="46">
        <f t="shared" si="84"/>
        <v>0</v>
      </c>
      <c r="AI310" s="46">
        <f t="shared" si="84"/>
        <v>0</v>
      </c>
      <c r="AJ310" s="46">
        <f t="shared" si="84"/>
        <v>0</v>
      </c>
      <c r="AK310" s="46">
        <f t="shared" si="84"/>
        <v>0</v>
      </c>
      <c r="AL310" s="46">
        <f t="shared" si="84"/>
        <v>0</v>
      </c>
      <c r="AM310" s="46">
        <f t="shared" si="84"/>
        <v>0</v>
      </c>
      <c r="AN310" s="46">
        <f t="shared" si="84"/>
        <v>0</v>
      </c>
      <c r="AO310" s="46">
        <f t="shared" si="84"/>
        <v>0</v>
      </c>
      <c r="AP310" s="46">
        <f t="shared" si="84"/>
        <v>0</v>
      </c>
      <c r="AQ310" s="46">
        <f t="shared" si="84"/>
        <v>0</v>
      </c>
      <c r="AR310" s="46">
        <f t="shared" si="84"/>
        <v>0</v>
      </c>
      <c r="AS310" s="143">
        <f t="shared" si="71"/>
        <v>0</v>
      </c>
    </row>
    <row r="311" spans="6:45" ht="21" x14ac:dyDescent="0.15">
      <c r="F311" s="67" t="s">
        <v>930</v>
      </c>
      <c r="G311" s="212" t="s">
        <v>888</v>
      </c>
      <c r="H311" s="142" t="s">
        <v>605</v>
      </c>
      <c r="I311" s="45">
        <f t="shared" si="65"/>
        <v>0</v>
      </c>
      <c r="J311" s="45">
        <f t="shared" si="66"/>
        <v>0</v>
      </c>
      <c r="K311" s="45">
        <f t="shared" si="67"/>
        <v>0</v>
      </c>
      <c r="L311" s="45">
        <f t="shared" si="68"/>
        <v>0</v>
      </c>
      <c r="M311" s="45">
        <f t="shared" si="69"/>
        <v>0</v>
      </c>
      <c r="N311" s="45">
        <f t="shared" si="70"/>
        <v>0</v>
      </c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143">
        <f t="shared" si="71"/>
        <v>0</v>
      </c>
    </row>
    <row r="312" spans="6:45" ht="21" x14ac:dyDescent="0.15">
      <c r="F312" s="67" t="s">
        <v>930</v>
      </c>
      <c r="G312" s="212" t="s">
        <v>600</v>
      </c>
      <c r="H312" s="144" t="s">
        <v>607</v>
      </c>
      <c r="I312" s="45">
        <f t="shared" si="65"/>
        <v>0</v>
      </c>
      <c r="J312" s="45">
        <f t="shared" si="66"/>
        <v>0</v>
      </c>
      <c r="K312" s="45">
        <f t="shared" si="67"/>
        <v>0</v>
      </c>
      <c r="L312" s="45">
        <f t="shared" si="68"/>
        <v>0</v>
      </c>
      <c r="M312" s="45">
        <f t="shared" si="69"/>
        <v>0</v>
      </c>
      <c r="N312" s="45">
        <f t="shared" si="70"/>
        <v>0</v>
      </c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143">
        <f t="shared" si="71"/>
        <v>0</v>
      </c>
    </row>
    <row r="313" spans="6:45" x14ac:dyDescent="0.15">
      <c r="F313" s="67" t="s">
        <v>928</v>
      </c>
      <c r="G313" s="211" t="s">
        <v>602</v>
      </c>
      <c r="H313" s="144" t="s">
        <v>609</v>
      </c>
      <c r="I313" s="45">
        <f t="shared" si="65"/>
        <v>0</v>
      </c>
      <c r="J313" s="45">
        <f t="shared" si="66"/>
        <v>0</v>
      </c>
      <c r="K313" s="45">
        <f t="shared" si="67"/>
        <v>0</v>
      </c>
      <c r="L313" s="45">
        <f t="shared" si="68"/>
        <v>0</v>
      </c>
      <c r="M313" s="45">
        <f t="shared" si="69"/>
        <v>0</v>
      </c>
      <c r="N313" s="45">
        <f t="shared" si="70"/>
        <v>0</v>
      </c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143">
        <f t="shared" si="71"/>
        <v>0</v>
      </c>
    </row>
    <row r="314" spans="6:45" x14ac:dyDescent="0.15">
      <c r="F314" s="67" t="s">
        <v>930</v>
      </c>
      <c r="G314" s="211" t="s">
        <v>604</v>
      </c>
      <c r="H314" s="142" t="s">
        <v>611</v>
      </c>
      <c r="I314" s="45">
        <f t="shared" si="65"/>
        <v>0</v>
      </c>
      <c r="J314" s="45">
        <f t="shared" si="66"/>
        <v>0</v>
      </c>
      <c r="K314" s="45">
        <f t="shared" si="67"/>
        <v>0</v>
      </c>
      <c r="L314" s="45">
        <f t="shared" si="68"/>
        <v>0</v>
      </c>
      <c r="M314" s="45">
        <f t="shared" si="69"/>
        <v>0</v>
      </c>
      <c r="N314" s="45">
        <f t="shared" si="70"/>
        <v>0</v>
      </c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143">
        <f t="shared" si="71"/>
        <v>0</v>
      </c>
    </row>
    <row r="315" spans="6:45" x14ac:dyDescent="0.15">
      <c r="F315" s="67" t="s">
        <v>932</v>
      </c>
      <c r="G315" s="211" t="s">
        <v>606</v>
      </c>
      <c r="H315" s="144" t="s">
        <v>613</v>
      </c>
      <c r="I315" s="45">
        <f t="shared" si="65"/>
        <v>0</v>
      </c>
      <c r="J315" s="45">
        <f t="shared" si="66"/>
        <v>0</v>
      </c>
      <c r="K315" s="45">
        <f t="shared" si="67"/>
        <v>0</v>
      </c>
      <c r="L315" s="45">
        <f t="shared" si="68"/>
        <v>0</v>
      </c>
      <c r="M315" s="45">
        <f t="shared" si="69"/>
        <v>0</v>
      </c>
      <c r="N315" s="45">
        <f t="shared" si="70"/>
        <v>0</v>
      </c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143">
        <f t="shared" si="71"/>
        <v>0</v>
      </c>
    </row>
    <row r="316" spans="6:45" x14ac:dyDescent="0.15">
      <c r="F316" s="67" t="s">
        <v>928</v>
      </c>
      <c r="G316" s="211" t="s">
        <v>608</v>
      </c>
      <c r="H316" s="144" t="s">
        <v>615</v>
      </c>
      <c r="I316" s="45">
        <f t="shared" si="65"/>
        <v>0</v>
      </c>
      <c r="J316" s="45">
        <f t="shared" si="66"/>
        <v>0</v>
      </c>
      <c r="K316" s="45">
        <f t="shared" si="67"/>
        <v>0</v>
      </c>
      <c r="L316" s="45">
        <f t="shared" si="68"/>
        <v>0</v>
      </c>
      <c r="M316" s="45">
        <f t="shared" si="69"/>
        <v>0</v>
      </c>
      <c r="N316" s="45">
        <f t="shared" si="70"/>
        <v>0</v>
      </c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143">
        <f t="shared" si="71"/>
        <v>0</v>
      </c>
    </row>
    <row r="317" spans="6:45" x14ac:dyDescent="0.15">
      <c r="F317" s="67" t="s">
        <v>928</v>
      </c>
      <c r="G317" s="211" t="s">
        <v>610</v>
      </c>
      <c r="H317" s="142" t="s">
        <v>617</v>
      </c>
      <c r="I317" s="45">
        <f t="shared" si="65"/>
        <v>0</v>
      </c>
      <c r="J317" s="45">
        <f t="shared" si="66"/>
        <v>0</v>
      </c>
      <c r="K317" s="45">
        <f t="shared" si="67"/>
        <v>0</v>
      </c>
      <c r="L317" s="45">
        <f t="shared" si="68"/>
        <v>0</v>
      </c>
      <c r="M317" s="45">
        <f t="shared" si="69"/>
        <v>0</v>
      </c>
      <c r="N317" s="45">
        <f t="shared" si="70"/>
        <v>0</v>
      </c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143">
        <f t="shared" si="71"/>
        <v>0</v>
      </c>
    </row>
    <row r="318" spans="6:45" x14ac:dyDescent="0.15">
      <c r="F318" s="67" t="s">
        <v>928</v>
      </c>
      <c r="G318" s="211" t="s">
        <v>612</v>
      </c>
      <c r="H318" s="144" t="s">
        <v>619</v>
      </c>
      <c r="I318" s="45">
        <f t="shared" si="65"/>
        <v>0</v>
      </c>
      <c r="J318" s="45">
        <f t="shared" si="66"/>
        <v>0</v>
      </c>
      <c r="K318" s="45">
        <f t="shared" si="67"/>
        <v>0</v>
      </c>
      <c r="L318" s="45">
        <f t="shared" si="68"/>
        <v>0</v>
      </c>
      <c r="M318" s="45">
        <f t="shared" si="69"/>
        <v>0</v>
      </c>
      <c r="N318" s="45">
        <f t="shared" si="70"/>
        <v>0</v>
      </c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143">
        <f t="shared" si="71"/>
        <v>0</v>
      </c>
    </row>
    <row r="319" spans="6:45" x14ac:dyDescent="0.15">
      <c r="F319" s="67" t="s">
        <v>928</v>
      </c>
      <c r="G319" s="211" t="s">
        <v>614</v>
      </c>
      <c r="H319" s="144" t="s">
        <v>621</v>
      </c>
      <c r="I319" s="45">
        <f t="shared" si="65"/>
        <v>0</v>
      </c>
      <c r="J319" s="45">
        <f t="shared" si="66"/>
        <v>0</v>
      </c>
      <c r="K319" s="45">
        <f t="shared" si="67"/>
        <v>0</v>
      </c>
      <c r="L319" s="45">
        <f t="shared" si="68"/>
        <v>0</v>
      </c>
      <c r="M319" s="45">
        <f t="shared" si="69"/>
        <v>0</v>
      </c>
      <c r="N319" s="45">
        <f t="shared" si="70"/>
        <v>0</v>
      </c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143">
        <f t="shared" si="71"/>
        <v>0</v>
      </c>
    </row>
    <row r="320" spans="6:45" x14ac:dyDescent="0.15">
      <c r="F320" s="67" t="s">
        <v>932</v>
      </c>
      <c r="G320" s="211" t="s">
        <v>616</v>
      </c>
      <c r="H320" s="142" t="s">
        <v>623</v>
      </c>
      <c r="I320" s="45">
        <f t="shared" si="65"/>
        <v>0</v>
      </c>
      <c r="J320" s="45">
        <f t="shared" si="66"/>
        <v>0</v>
      </c>
      <c r="K320" s="45">
        <f t="shared" si="67"/>
        <v>0</v>
      </c>
      <c r="L320" s="45">
        <f t="shared" si="68"/>
        <v>0</v>
      </c>
      <c r="M320" s="45">
        <f t="shared" si="69"/>
        <v>0</v>
      </c>
      <c r="N320" s="45">
        <f t="shared" si="70"/>
        <v>0</v>
      </c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143">
        <f t="shared" si="71"/>
        <v>0</v>
      </c>
    </row>
    <row r="321" spans="6:45" x14ac:dyDescent="0.15">
      <c r="F321" s="67" t="s">
        <v>928</v>
      </c>
      <c r="G321" s="211" t="s">
        <v>618</v>
      </c>
      <c r="H321" s="144" t="s">
        <v>898</v>
      </c>
      <c r="I321" s="45">
        <f t="shared" si="65"/>
        <v>0</v>
      </c>
      <c r="J321" s="45">
        <f t="shared" si="66"/>
        <v>0</v>
      </c>
      <c r="K321" s="45">
        <f t="shared" si="67"/>
        <v>0</v>
      </c>
      <c r="L321" s="45">
        <f t="shared" si="68"/>
        <v>0</v>
      </c>
      <c r="M321" s="45">
        <f t="shared" si="69"/>
        <v>0</v>
      </c>
      <c r="N321" s="45">
        <f t="shared" si="70"/>
        <v>0</v>
      </c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143">
        <f t="shared" si="71"/>
        <v>0</v>
      </c>
    </row>
    <row r="322" spans="6:45" x14ac:dyDescent="0.15">
      <c r="F322" s="67" t="s">
        <v>932</v>
      </c>
      <c r="G322" s="211" t="s">
        <v>620</v>
      </c>
      <c r="H322" s="144" t="s">
        <v>899</v>
      </c>
      <c r="I322" s="45">
        <f t="shared" si="65"/>
        <v>0</v>
      </c>
      <c r="J322" s="45">
        <f t="shared" si="66"/>
        <v>0</v>
      </c>
      <c r="K322" s="45">
        <f t="shared" si="67"/>
        <v>0</v>
      </c>
      <c r="L322" s="45">
        <f t="shared" si="68"/>
        <v>0</v>
      </c>
      <c r="M322" s="45">
        <f t="shared" si="69"/>
        <v>0</v>
      </c>
      <c r="N322" s="45">
        <f t="shared" si="70"/>
        <v>0</v>
      </c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143">
        <f t="shared" si="71"/>
        <v>0</v>
      </c>
    </row>
    <row r="323" spans="6:45" x14ac:dyDescent="0.15">
      <c r="G323" s="215" t="s">
        <v>622</v>
      </c>
      <c r="H323" s="142" t="s">
        <v>900</v>
      </c>
      <c r="I323" s="45">
        <f>SUM(I11:I17,I20:I26,I31:I34,I39:I45,I52:I53,I56:I64,I68:I70,I73:I76,I81:I88,I91:I102,I105:I110,I118:I119,I124:I150,I153:I159,I164:I165,I171:I174,I180:I195,I199:I210,I217:I223,I229:I233,I240:I243,I247:I250,I255:I271,I277:I278,I284:I287,I294:I295,I302:I304,I310,I313:I322)</f>
        <v>0</v>
      </c>
      <c r="J323" s="45">
        <f>SUM(J11:J17,J20:J26,J31:J34,J39:J45,J52:J53,J56:J64,J68:J70,J73:J76,J81:J88,J91:J102,J105:J110,J118:J119,J124:J150,J153:J159,J164:J165,J171:J174,J180:J195,J199:J210,J217:J223,J229:J233,J240:J243,J247:J250,J255:J271,J277:J278,J284:J287,J294:J295,J302:J304,J310,J313:J322)</f>
        <v>0</v>
      </c>
      <c r="K323" s="45">
        <f t="shared" ref="K323:N323" si="85">SUM(K11:K17,K20:K26,K31:K34,K39:K45,K52:K53,K56:K64,K68:K70,K73:K76,K81:K88,K91:K102,K105:K110,K118:K119,K124:K150,K153:K159,K164:K165,K171:K174,K180:K195,K199:K210,K217:K223,K229:K233,K240:K243,K247:K250,K255:K271,K277:K278,K284:K287,K294:K295,K302:K304,K310,K313:K322)</f>
        <v>0</v>
      </c>
      <c r="L323" s="45">
        <f t="shared" si="85"/>
        <v>0</v>
      </c>
      <c r="M323" s="45">
        <f t="shared" si="85"/>
        <v>0</v>
      </c>
      <c r="N323" s="45">
        <f t="shared" si="85"/>
        <v>0</v>
      </c>
      <c r="O323" s="45">
        <f t="shared" ref="O323:AR323" si="86">SUM(O11:O17,O20:O26,O31:O34,O39:O45,O52:O53,O56:O64,O68:O70,O73:O76,O81:O88,O91:O102,O105:O110,O118:O119,O124:O150,O153:O159,O164:O165,O171:O174,O180:O195,O199:O210,O217:O223,O229:O233,O240:O243,O247:O250,O255:O271,O277:O278,O284:O287,O294:O295,O302:O304,O310,O313:O322)</f>
        <v>0</v>
      </c>
      <c r="P323" s="45">
        <f t="shared" si="86"/>
        <v>0</v>
      </c>
      <c r="Q323" s="45">
        <f t="shared" si="86"/>
        <v>0</v>
      </c>
      <c r="R323" s="45">
        <f t="shared" si="86"/>
        <v>0</v>
      </c>
      <c r="S323" s="45">
        <f t="shared" si="86"/>
        <v>0</v>
      </c>
      <c r="T323" s="45">
        <f t="shared" si="86"/>
        <v>0</v>
      </c>
      <c r="U323" s="45">
        <f t="shared" si="86"/>
        <v>0</v>
      </c>
      <c r="V323" s="45">
        <f>SUM(V11:V17,V20:V26,V31:V34,V39:V45,V52:V53,V56:V64,V68:V70,V73:V76,V81:V88,V91:V102,V105:V110,V118:V119,V124:V150,V153:V159,V164:V165,V171:V174,V180:V195,V199:V210,V217:V223,V229:V233,V240:V243,V247:V250,V255:V271,V277:V278,V284:V287,V294:V295,V302:V304,V310,V313:V322)</f>
        <v>0</v>
      </c>
      <c r="W323" s="45">
        <f t="shared" si="86"/>
        <v>0</v>
      </c>
      <c r="X323" s="45">
        <f t="shared" si="86"/>
        <v>0</v>
      </c>
      <c r="Y323" s="45">
        <f t="shared" si="86"/>
        <v>0</v>
      </c>
      <c r="Z323" s="45">
        <f t="shared" si="86"/>
        <v>0</v>
      </c>
      <c r="AA323" s="45">
        <f t="shared" si="86"/>
        <v>0</v>
      </c>
      <c r="AB323" s="45">
        <f t="shared" si="86"/>
        <v>0</v>
      </c>
      <c r="AC323" s="45">
        <f t="shared" si="86"/>
        <v>0</v>
      </c>
      <c r="AD323" s="45">
        <f t="shared" si="86"/>
        <v>0</v>
      </c>
      <c r="AE323" s="45">
        <f t="shared" si="86"/>
        <v>0</v>
      </c>
      <c r="AF323" s="45">
        <f t="shared" si="86"/>
        <v>0</v>
      </c>
      <c r="AG323" s="45">
        <f t="shared" si="86"/>
        <v>0</v>
      </c>
      <c r="AH323" s="45">
        <f t="shared" si="86"/>
        <v>0</v>
      </c>
      <c r="AI323" s="45">
        <f t="shared" si="86"/>
        <v>0</v>
      </c>
      <c r="AJ323" s="45">
        <f t="shared" si="86"/>
        <v>0</v>
      </c>
      <c r="AK323" s="45">
        <f t="shared" si="86"/>
        <v>0</v>
      </c>
      <c r="AL323" s="45">
        <f t="shared" si="86"/>
        <v>0</v>
      </c>
      <c r="AM323" s="45">
        <f t="shared" si="86"/>
        <v>0</v>
      </c>
      <c r="AN323" s="45">
        <f t="shared" si="86"/>
        <v>0</v>
      </c>
      <c r="AO323" s="45">
        <f t="shared" si="86"/>
        <v>0</v>
      </c>
      <c r="AP323" s="45">
        <f t="shared" si="86"/>
        <v>0</v>
      </c>
      <c r="AQ323" s="45">
        <f t="shared" si="86"/>
        <v>0</v>
      </c>
      <c r="AR323" s="45">
        <f t="shared" si="86"/>
        <v>0</v>
      </c>
      <c r="AS323" s="143">
        <f>SUM(I11:AR323)</f>
        <v>0</v>
      </c>
    </row>
  </sheetData>
  <sheetProtection algorithmName="SHA-512" hashValue="9uVh1lURNG01lJ+ZsY0hCFuIdsu9KD5BXPGpPZLD7nOxvN5e4MLwZpI1K4JTUO4xrcLHv5EfR57NbvySzZuInA==" saltValue="TsUQT+HmPZjmIgKG/HHCGw==" spinCount="100000" sheet="1" objects="1" scenarios="1" selectLockedCells="1"/>
  <mergeCells count="11">
    <mergeCell ref="G5:AR5"/>
    <mergeCell ref="G6:G9"/>
    <mergeCell ref="H6:H9"/>
    <mergeCell ref="I6:AR6"/>
    <mergeCell ref="I7:N8"/>
    <mergeCell ref="O7:S8"/>
    <mergeCell ref="T7:X8"/>
    <mergeCell ref="Y7:AC8"/>
    <mergeCell ref="AD7:AH8"/>
    <mergeCell ref="AI7:AM8"/>
    <mergeCell ref="AN7:AR8"/>
  </mergeCells>
  <phoneticPr fontId="20" type="noConversion"/>
  <conditionalFormatting sqref="I11:AR323">
    <cfRule type="expression" dxfId="87" priority="2">
      <formula>MOD(I11,1)&lt;&gt;0</formula>
    </cfRule>
    <cfRule type="expression" dxfId="86" priority="4">
      <formula>ISTEXT(I11)</formula>
    </cfRule>
  </conditionalFormatting>
  <conditionalFormatting sqref="O11:AR16 O18:AR25 O27:AR33 O35:AR44 O46:AR52 O54:AR63 O65:AR69 O71:AR75 O77:AR87 O89:AR101 O103:AR109 O111:AR118 O120:AR149 O151:AR158 O160:AR164 O166:AR173 O175:AR194 O196:AR209 O211:AR222 O224:AR232 O234:AR242 O244:AR249 O251:AR270 O272:AR277 O279:AR286 O288:AR294 O296:AR303 O305:AR309 O311:AR322">
    <cfRule type="expression" dxfId="84" priority="3">
      <formula>_xlfn.ISFORMULA(O11)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DE0E5F5-16A9-4E4A-B608-C5DCAF20A61A}">
            <xm:f>'Раздел 2'!$I11=1</xm:f>
            <x14:dxf>
              <fill>
                <patternFill>
                  <bgColor theme="0" tint="-4.9989318521683403E-2"/>
                </patternFill>
              </fill>
            </x14:dxf>
          </x14:cfRule>
          <x14:cfRule type="expression" priority="5" id="{08F9584D-CBA7-4939-81F7-B9947CDD659D}">
            <xm:f>AND('Раздел 1'!$H$5=0,'Раздел 2'!$I11=0,($I11+$M11+$N11)&gt;0)</xm:f>
            <x14:dxf>
              <fill>
                <patternFill>
                  <bgColor theme="5" tint="0.79998168889431442"/>
                </patternFill>
              </fill>
            </x14:dxf>
          </x14:cfRule>
          <xm:sqref>O11:AR16 O18:AR25 O27:AR33 O35:AR44 O46:AR52 O54:AR63 O65:AR69 O71:AR75 O77:AR87 O89:AR101 O103:AR109 O111:AR118 O120:AR149 O151:AR158 O160:AR164 O166:AR173 O175:AR194 O196:AR209 O211:AR222 O224:AR232 O234:AR242 O244:AR249 O251:AR270 O272:AR277 O279:AR286 O288:AR294 O296:AR303 O305:AR309 O311:AR322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1A9E-8848-485E-8B77-C25CFF568B9D}">
  <dimension ref="A1:BM323"/>
  <sheetViews>
    <sheetView topLeftCell="A5" zoomScaleNormal="100" workbookViewId="0">
      <pane xSplit="14" ySplit="6" topLeftCell="O302" activePane="bottomRight" state="frozen"/>
      <selection activeCell="H19" sqref="H19:I19"/>
      <selection pane="topRight" activeCell="H19" sqref="H19:I19"/>
      <selection pane="bottomLeft" activeCell="H19" sqref="H19:I19"/>
      <selection pane="bottomRight" activeCell="V314" sqref="V314"/>
    </sheetView>
  </sheetViews>
  <sheetFormatPr defaultColWidth="9.140625" defaultRowHeight="10.5" x14ac:dyDescent="0.15"/>
  <cols>
    <col min="1" max="1" width="3.85546875" style="12" hidden="1" customWidth="1"/>
    <col min="2" max="2" width="13" style="12" hidden="1" customWidth="1"/>
    <col min="3" max="5" width="6.7109375" style="12" hidden="1" customWidth="1"/>
    <col min="6" max="6" width="20" style="12" hidden="1" customWidth="1"/>
    <col min="7" max="7" width="30.42578125" style="17" customWidth="1"/>
    <col min="8" max="8" width="4.42578125" style="17" customWidth="1"/>
    <col min="9" max="9" width="9.85546875" style="17" customWidth="1"/>
    <col min="10" max="13" width="7.140625" style="17" customWidth="1"/>
    <col min="14" max="14" width="6.42578125" style="17" customWidth="1"/>
    <col min="15" max="18" width="7.140625" style="17" customWidth="1"/>
    <col min="19" max="19" width="6.5703125" style="17" customWidth="1"/>
    <col min="20" max="23" width="7.140625" style="17" customWidth="1"/>
    <col min="24" max="24" width="6.5703125" style="17" customWidth="1"/>
    <col min="25" max="28" width="7.140625" style="17" customWidth="1"/>
    <col min="29" max="29" width="6.5703125" style="17" customWidth="1"/>
    <col min="30" max="30" width="7.140625" style="19" customWidth="1"/>
    <col min="31" max="33" width="7.140625" style="17" customWidth="1"/>
    <col min="34" max="34" width="6.85546875" style="17" customWidth="1"/>
    <col min="35" max="38" width="7.140625" style="17" customWidth="1"/>
    <col min="39" max="39" width="7" style="19" customWidth="1"/>
    <col min="40" max="43" width="7.140625" style="17" customWidth="1"/>
    <col min="44" max="44" width="6.85546875" style="17" customWidth="1"/>
    <col min="45" max="48" width="7.140625" style="17" customWidth="1"/>
    <col min="49" max="49" width="6.85546875" style="17" customWidth="1"/>
    <col min="50" max="53" width="7.140625" style="17" customWidth="1"/>
    <col min="54" max="54" width="6.85546875" style="17" customWidth="1"/>
    <col min="55" max="58" width="7.140625" style="17" customWidth="1"/>
    <col min="59" max="59" width="6.85546875" style="17" customWidth="1"/>
    <col min="60" max="63" width="7.140625" style="17" customWidth="1"/>
    <col min="64" max="65" width="7" style="17" customWidth="1"/>
    <col min="66" max="16384" width="9.140625" style="12"/>
  </cols>
  <sheetData>
    <row r="1" spans="1:65" hidden="1" x14ac:dyDescent="0.15"/>
    <row r="2" spans="1:65" hidden="1" x14ac:dyDescent="0.15"/>
    <row r="3" spans="1:65" hidden="1" x14ac:dyDescent="0.15"/>
    <row r="4" spans="1:65" hidden="1" x14ac:dyDescent="0.15"/>
    <row r="5" spans="1:65" ht="13.5" customHeight="1" x14ac:dyDescent="0.15">
      <c r="G5" s="336" t="s">
        <v>681</v>
      </c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6"/>
      <c r="AD5" s="336"/>
      <c r="AE5" s="336"/>
      <c r="AF5" s="336"/>
      <c r="AG5" s="336"/>
      <c r="AH5" s="336"/>
      <c r="AI5" s="336"/>
      <c r="AJ5" s="336"/>
      <c r="AK5" s="336"/>
      <c r="AL5" s="336"/>
      <c r="AM5" s="33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36"/>
      <c r="AZ5" s="336"/>
      <c r="BA5" s="336"/>
      <c r="BB5" s="336"/>
      <c r="BC5" s="336"/>
      <c r="BD5" s="336"/>
      <c r="BE5" s="336"/>
      <c r="BF5" s="336"/>
      <c r="BG5" s="336"/>
      <c r="BH5" s="336"/>
      <c r="BI5" s="336"/>
      <c r="BJ5" s="336"/>
      <c r="BK5" s="336"/>
      <c r="BL5" s="336"/>
    </row>
    <row r="6" spans="1:65" ht="16.5" customHeight="1" x14ac:dyDescent="0.15">
      <c r="G6" s="361" t="s">
        <v>1</v>
      </c>
      <c r="H6" s="346" t="s">
        <v>2</v>
      </c>
      <c r="I6" s="363" t="s">
        <v>671</v>
      </c>
      <c r="J6" s="364"/>
      <c r="K6" s="364"/>
      <c r="L6" s="364"/>
      <c r="M6" s="364"/>
      <c r="N6" s="364"/>
      <c r="O6" s="364"/>
      <c r="P6" s="364"/>
      <c r="Q6" s="364"/>
      <c r="R6" s="364"/>
      <c r="S6" s="364"/>
      <c r="T6" s="364"/>
      <c r="U6" s="364"/>
      <c r="V6" s="364"/>
      <c r="W6" s="364"/>
      <c r="X6" s="364"/>
      <c r="Y6" s="364"/>
      <c r="Z6" s="364"/>
      <c r="AA6" s="364"/>
      <c r="AB6" s="364"/>
      <c r="AC6" s="364"/>
      <c r="AD6" s="364"/>
      <c r="AE6" s="364"/>
      <c r="AF6" s="364"/>
      <c r="AG6" s="364"/>
      <c r="AH6" s="364"/>
      <c r="AI6" s="364"/>
      <c r="AJ6" s="364"/>
      <c r="AK6" s="364"/>
      <c r="AL6" s="364"/>
      <c r="AM6" s="364"/>
      <c r="AN6" s="364"/>
      <c r="AO6" s="364"/>
      <c r="AP6" s="364"/>
      <c r="AQ6" s="364"/>
      <c r="AR6" s="364"/>
      <c r="AS6" s="364"/>
      <c r="AT6" s="364"/>
      <c r="AU6" s="364"/>
      <c r="AV6" s="364"/>
      <c r="AW6" s="364"/>
      <c r="AX6" s="364"/>
      <c r="AY6" s="364"/>
      <c r="AZ6" s="364"/>
      <c r="BA6" s="364"/>
      <c r="BB6" s="364"/>
      <c r="BC6" s="364"/>
      <c r="BD6" s="364"/>
      <c r="BE6" s="364"/>
      <c r="BF6" s="364"/>
      <c r="BG6" s="364"/>
      <c r="BH6" s="364"/>
      <c r="BI6" s="364"/>
      <c r="BJ6" s="364"/>
      <c r="BK6" s="364"/>
      <c r="BL6" s="365"/>
    </row>
    <row r="7" spans="1:65" ht="22.5" customHeight="1" x14ac:dyDescent="0.15">
      <c r="G7" s="361"/>
      <c r="H7" s="346"/>
      <c r="I7" s="361" t="s">
        <v>626</v>
      </c>
      <c r="J7" s="361"/>
      <c r="K7" s="361"/>
      <c r="L7" s="361"/>
      <c r="M7" s="361"/>
      <c r="N7" s="361"/>
      <c r="O7" s="361" t="s">
        <v>682</v>
      </c>
      <c r="P7" s="361"/>
      <c r="Q7" s="361"/>
      <c r="R7" s="361"/>
      <c r="S7" s="361"/>
      <c r="T7" s="361" t="s">
        <v>683</v>
      </c>
      <c r="U7" s="361"/>
      <c r="V7" s="361"/>
      <c r="W7" s="361"/>
      <c r="X7" s="361"/>
      <c r="Y7" s="361" t="s">
        <v>684</v>
      </c>
      <c r="Z7" s="361"/>
      <c r="AA7" s="361"/>
      <c r="AB7" s="361"/>
      <c r="AC7" s="361"/>
      <c r="AD7" s="361" t="s">
        <v>685</v>
      </c>
      <c r="AE7" s="361"/>
      <c r="AF7" s="361"/>
      <c r="AG7" s="361"/>
      <c r="AH7" s="361"/>
      <c r="AI7" s="361" t="s">
        <v>686</v>
      </c>
      <c r="AJ7" s="361"/>
      <c r="AK7" s="361"/>
      <c r="AL7" s="361"/>
      <c r="AM7" s="361"/>
      <c r="AN7" s="361" t="s">
        <v>687</v>
      </c>
      <c r="AO7" s="361"/>
      <c r="AP7" s="361"/>
      <c r="AQ7" s="361"/>
      <c r="AR7" s="361"/>
      <c r="AS7" s="361" t="s">
        <v>688</v>
      </c>
      <c r="AT7" s="361"/>
      <c r="AU7" s="361"/>
      <c r="AV7" s="361"/>
      <c r="AW7" s="361"/>
      <c r="AX7" s="361" t="s">
        <v>689</v>
      </c>
      <c r="AY7" s="361"/>
      <c r="AZ7" s="361"/>
      <c r="BA7" s="361"/>
      <c r="BB7" s="361"/>
      <c r="BC7" s="361" t="s">
        <v>690</v>
      </c>
      <c r="BD7" s="361"/>
      <c r="BE7" s="361"/>
      <c r="BF7" s="361"/>
      <c r="BG7" s="361"/>
      <c r="BH7" s="361" t="s">
        <v>691</v>
      </c>
      <c r="BI7" s="361"/>
      <c r="BJ7" s="361"/>
      <c r="BK7" s="361"/>
      <c r="BL7" s="361"/>
    </row>
    <row r="8" spans="1:65" ht="22.5" customHeight="1" x14ac:dyDescent="0.15">
      <c r="G8" s="361"/>
      <c r="H8" s="346"/>
      <c r="I8" s="361"/>
      <c r="J8" s="361"/>
      <c r="K8" s="361"/>
      <c r="L8" s="361"/>
      <c r="M8" s="361"/>
      <c r="N8" s="361"/>
      <c r="O8" s="361"/>
      <c r="P8" s="361"/>
      <c r="Q8" s="361"/>
      <c r="R8" s="361"/>
      <c r="S8" s="361"/>
      <c r="T8" s="361"/>
      <c r="U8" s="361"/>
      <c r="V8" s="361"/>
      <c r="W8" s="361"/>
      <c r="X8" s="361"/>
      <c r="Y8" s="361"/>
      <c r="Z8" s="361"/>
      <c r="AA8" s="361"/>
      <c r="AB8" s="361"/>
      <c r="AC8" s="361"/>
      <c r="AD8" s="361"/>
      <c r="AE8" s="361"/>
      <c r="AF8" s="361"/>
      <c r="AG8" s="361"/>
      <c r="AH8" s="361"/>
      <c r="AI8" s="361"/>
      <c r="AJ8" s="361"/>
      <c r="AK8" s="361"/>
      <c r="AL8" s="361"/>
      <c r="AM8" s="361"/>
      <c r="AN8" s="361"/>
      <c r="AO8" s="361"/>
      <c r="AP8" s="361"/>
      <c r="AQ8" s="361"/>
      <c r="AR8" s="361"/>
      <c r="AS8" s="361"/>
      <c r="AT8" s="361"/>
      <c r="AU8" s="361"/>
      <c r="AV8" s="361"/>
      <c r="AW8" s="361"/>
      <c r="AX8" s="361"/>
      <c r="AY8" s="361"/>
      <c r="AZ8" s="361"/>
      <c r="BA8" s="361"/>
      <c r="BB8" s="361"/>
      <c r="BC8" s="361"/>
      <c r="BD8" s="361"/>
      <c r="BE8" s="361"/>
      <c r="BF8" s="361"/>
      <c r="BG8" s="361"/>
      <c r="BH8" s="361"/>
      <c r="BI8" s="361"/>
      <c r="BJ8" s="361"/>
      <c r="BK8" s="361"/>
      <c r="BL8" s="361"/>
    </row>
    <row r="9" spans="1:65" ht="33" customHeight="1" x14ac:dyDescent="0.15">
      <c r="G9" s="361"/>
      <c r="H9" s="362"/>
      <c r="I9" s="14" t="s">
        <v>678</v>
      </c>
      <c r="J9" s="14">
        <v>1</v>
      </c>
      <c r="K9" s="14">
        <v>2</v>
      </c>
      <c r="L9" s="14">
        <v>3</v>
      </c>
      <c r="M9" s="20" t="s">
        <v>679</v>
      </c>
      <c r="N9" s="14" t="s">
        <v>680</v>
      </c>
      <c r="O9" s="15">
        <v>1</v>
      </c>
      <c r="P9" s="15">
        <v>2</v>
      </c>
      <c r="Q9" s="15">
        <v>3</v>
      </c>
      <c r="R9" s="21" t="s">
        <v>679</v>
      </c>
      <c r="S9" s="15" t="s">
        <v>680</v>
      </c>
      <c r="T9" s="15">
        <v>1</v>
      </c>
      <c r="U9" s="15">
        <v>2</v>
      </c>
      <c r="V9" s="15">
        <v>3</v>
      </c>
      <c r="W9" s="21" t="s">
        <v>679</v>
      </c>
      <c r="X9" s="15" t="s">
        <v>680</v>
      </c>
      <c r="Y9" s="15">
        <v>1</v>
      </c>
      <c r="Z9" s="15">
        <v>2</v>
      </c>
      <c r="AA9" s="15">
        <v>3</v>
      </c>
      <c r="AB9" s="21" t="s">
        <v>679</v>
      </c>
      <c r="AC9" s="15" t="s">
        <v>680</v>
      </c>
      <c r="AD9" s="15">
        <v>1</v>
      </c>
      <c r="AE9" s="15">
        <v>2</v>
      </c>
      <c r="AF9" s="15">
        <v>3</v>
      </c>
      <c r="AG9" s="21" t="s">
        <v>679</v>
      </c>
      <c r="AH9" s="15" t="s">
        <v>680</v>
      </c>
      <c r="AI9" s="15">
        <v>1</v>
      </c>
      <c r="AJ9" s="15">
        <v>2</v>
      </c>
      <c r="AK9" s="15">
        <v>3</v>
      </c>
      <c r="AL9" s="21" t="s">
        <v>679</v>
      </c>
      <c r="AM9" s="15" t="s">
        <v>680</v>
      </c>
      <c r="AN9" s="15">
        <v>1</v>
      </c>
      <c r="AO9" s="15">
        <v>2</v>
      </c>
      <c r="AP9" s="15">
        <v>3</v>
      </c>
      <c r="AQ9" s="21" t="s">
        <v>679</v>
      </c>
      <c r="AR9" s="15" t="s">
        <v>680</v>
      </c>
      <c r="AS9" s="15">
        <v>1</v>
      </c>
      <c r="AT9" s="15">
        <v>2</v>
      </c>
      <c r="AU9" s="15">
        <v>3</v>
      </c>
      <c r="AV9" s="21" t="s">
        <v>679</v>
      </c>
      <c r="AW9" s="15" t="s">
        <v>680</v>
      </c>
      <c r="AX9" s="15">
        <v>1</v>
      </c>
      <c r="AY9" s="15">
        <v>2</v>
      </c>
      <c r="AZ9" s="15">
        <v>3</v>
      </c>
      <c r="BA9" s="21" t="s">
        <v>679</v>
      </c>
      <c r="BB9" s="15" t="s">
        <v>680</v>
      </c>
      <c r="BC9" s="15">
        <v>1</v>
      </c>
      <c r="BD9" s="15">
        <v>2</v>
      </c>
      <c r="BE9" s="15">
        <v>3</v>
      </c>
      <c r="BF9" s="21" t="s">
        <v>679</v>
      </c>
      <c r="BG9" s="15" t="s">
        <v>680</v>
      </c>
      <c r="BH9" s="15">
        <v>1</v>
      </c>
      <c r="BI9" s="15">
        <v>2</v>
      </c>
      <c r="BJ9" s="15">
        <v>3</v>
      </c>
      <c r="BK9" s="21" t="s">
        <v>679</v>
      </c>
      <c r="BL9" s="15" t="s">
        <v>680</v>
      </c>
    </row>
    <row r="10" spans="1:65" ht="14.25" customHeight="1" thickBot="1" x14ac:dyDescent="0.2">
      <c r="A10" s="186">
        <f>'Раздел 0'!M27</f>
        <v>0</v>
      </c>
      <c r="B10" s="185">
        <f>'Раздел 1'!D15</f>
        <v>0</v>
      </c>
      <c r="C10" s="184" t="str" cm="1">
        <f t="array" ref="C10">_xlfn.IFS(SUM('Раздел 1'!$D$5:$D$6)&gt;0,"ФКиС",SUM('Раздел 1'!$D$7:$D$8)&gt;0,"Образование",SUM('Раздел 1'!$D$9:$D$10)&gt;0,"Другая")</f>
        <v>ФКиС</v>
      </c>
      <c r="D10" s="184" t="str" cm="1">
        <f t="array" ref="D10">_xlfn.IFS(SUM('Раздел 1'!$E$12)&gt;0,"СШ",SUM('Раздел 1'!$F$12)&gt;0,"СШОР",SUM('Раздел 1'!$G$12)&gt;0,"УОР",SUM('Раздел 1'!$H$12)&gt;0,"ЦСП",SUM('Раздел 1'!$I$12)&gt;0,"ДРУГИЕ",SUM('Раздел 1'!$E$13)&gt;0,"ОСП СШ",SUM('Раздел 1'!$F$13)&gt;0,"ОСП СШОР",SUM('Раздел 1'!$I$13)&gt;0,"ОСП ДРУГИЕ")</f>
        <v>ЦСП</v>
      </c>
      <c r="E10" s="184">
        <f>IF(SUM('Раздел 1'!$D$12)&gt;0,SUM('Раздел 1'!$D$13),"")</f>
        <v>0</v>
      </c>
      <c r="F10" s="184" t="e" cm="1">
        <f t="array" ref="F10">_xlfn.IFS(SUM('Раздел 1'!$D$19)&gt;0,"РФ",SUM('Раздел 1'!$E$19)&gt;0,"СУБЪЕКТ",SUM('Раздел 1'!$F$19:$G$19)&gt;0,"МУНИЦИПАЛ",SUM('Раздел 1'!$H$19:$I$19)&gt;0,"ИНЫЕ")</f>
        <v>#N/A</v>
      </c>
      <c r="G10" s="55">
        <v>1</v>
      </c>
      <c r="H10" s="55">
        <v>2</v>
      </c>
      <c r="I10" s="55">
        <v>3</v>
      </c>
      <c r="J10" s="55">
        <v>4</v>
      </c>
      <c r="K10" s="55">
        <v>5</v>
      </c>
      <c r="L10" s="55">
        <v>6</v>
      </c>
      <c r="M10" s="55">
        <v>7</v>
      </c>
      <c r="N10" s="55">
        <v>8</v>
      </c>
      <c r="O10" s="55">
        <v>9</v>
      </c>
      <c r="P10" s="55">
        <v>10</v>
      </c>
      <c r="Q10" s="55">
        <v>11</v>
      </c>
      <c r="R10" s="55">
        <v>12</v>
      </c>
      <c r="S10" s="55">
        <v>13</v>
      </c>
      <c r="T10" s="55">
        <v>14</v>
      </c>
      <c r="U10" s="55">
        <v>15</v>
      </c>
      <c r="V10" s="55">
        <v>16</v>
      </c>
      <c r="W10" s="55">
        <v>17</v>
      </c>
      <c r="X10" s="55">
        <v>18</v>
      </c>
      <c r="Y10" s="55">
        <v>19</v>
      </c>
      <c r="Z10" s="55">
        <v>20</v>
      </c>
      <c r="AA10" s="55">
        <v>21</v>
      </c>
      <c r="AB10" s="55">
        <v>22</v>
      </c>
      <c r="AC10" s="55">
        <v>23</v>
      </c>
      <c r="AD10" s="55">
        <v>24</v>
      </c>
      <c r="AE10" s="55">
        <v>25</v>
      </c>
      <c r="AF10" s="55">
        <v>26</v>
      </c>
      <c r="AG10" s="55">
        <v>27</v>
      </c>
      <c r="AH10" s="55">
        <v>28</v>
      </c>
      <c r="AI10" s="55">
        <v>29</v>
      </c>
      <c r="AJ10" s="55">
        <v>30</v>
      </c>
      <c r="AK10" s="55">
        <v>31</v>
      </c>
      <c r="AL10" s="55">
        <v>32</v>
      </c>
      <c r="AM10" s="55">
        <v>33</v>
      </c>
      <c r="AN10" s="55">
        <v>34</v>
      </c>
      <c r="AO10" s="55">
        <v>35</v>
      </c>
      <c r="AP10" s="55">
        <v>36</v>
      </c>
      <c r="AQ10" s="55">
        <v>37</v>
      </c>
      <c r="AR10" s="55">
        <v>38</v>
      </c>
      <c r="AS10" s="55">
        <v>39</v>
      </c>
      <c r="AT10" s="55">
        <v>40</v>
      </c>
      <c r="AU10" s="55">
        <v>41</v>
      </c>
      <c r="AV10" s="55">
        <v>42</v>
      </c>
      <c r="AW10" s="55">
        <v>43</v>
      </c>
      <c r="AX10" s="55">
        <v>44</v>
      </c>
      <c r="AY10" s="55">
        <v>45</v>
      </c>
      <c r="AZ10" s="55">
        <v>46</v>
      </c>
      <c r="BA10" s="55">
        <v>47</v>
      </c>
      <c r="BB10" s="55">
        <v>48</v>
      </c>
      <c r="BC10" s="55">
        <v>49</v>
      </c>
      <c r="BD10" s="55">
        <v>50</v>
      </c>
      <c r="BE10" s="55">
        <v>51</v>
      </c>
      <c r="BF10" s="55">
        <v>52</v>
      </c>
      <c r="BG10" s="55">
        <v>53</v>
      </c>
      <c r="BH10" s="55">
        <v>54</v>
      </c>
      <c r="BI10" s="55">
        <v>55</v>
      </c>
      <c r="BJ10" s="55">
        <v>56</v>
      </c>
      <c r="BK10" s="55">
        <v>57</v>
      </c>
      <c r="BL10" s="55">
        <v>58</v>
      </c>
      <c r="BM10" s="51">
        <v>59</v>
      </c>
    </row>
    <row r="11" spans="1:65" x14ac:dyDescent="0.15">
      <c r="F11" s="12" t="s">
        <v>928</v>
      </c>
      <c r="G11" s="204" t="s">
        <v>21</v>
      </c>
      <c r="H11" s="53" t="s">
        <v>22</v>
      </c>
      <c r="I11" s="56">
        <f>SUM(J11:L11)</f>
        <v>0</v>
      </c>
      <c r="J11" s="56">
        <f>O11+T11+Y11+AD11+AI11+AN11+AS11+AX11+BC11+BH11</f>
        <v>0</v>
      </c>
      <c r="K11" s="56">
        <f t="shared" ref="K11:N11" si="0">P11+U11+Z11+AE11+AJ11+AO11+AT11+AY11+BD11+BI11</f>
        <v>0</v>
      </c>
      <c r="L11" s="56">
        <f t="shared" si="0"/>
        <v>0</v>
      </c>
      <c r="M11" s="56">
        <f t="shared" si="0"/>
        <v>0</v>
      </c>
      <c r="N11" s="56">
        <f t="shared" si="0"/>
        <v>0</v>
      </c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0">
        <f>SUM(I11:BL11)</f>
        <v>0</v>
      </c>
    </row>
    <row r="12" spans="1:65" x14ac:dyDescent="0.15">
      <c r="F12" s="12" t="s">
        <v>928</v>
      </c>
      <c r="G12" s="205" t="s">
        <v>23</v>
      </c>
      <c r="H12" s="4" t="s">
        <v>24</v>
      </c>
      <c r="I12" s="45">
        <f t="shared" ref="I12:I75" si="1">SUM(J12:L12)</f>
        <v>0</v>
      </c>
      <c r="J12" s="56">
        <f t="shared" ref="J12:J75" si="2">O12+T12+Y12+AD12+AI12+AN12+AS12+AX12+BC12+BH12</f>
        <v>0</v>
      </c>
      <c r="K12" s="56">
        <f t="shared" ref="K12:K75" si="3">P12+U12+Z12+AE12+AJ12+AO12+AT12+AY12+BD12+BI12</f>
        <v>0</v>
      </c>
      <c r="L12" s="56">
        <f t="shared" ref="L12:L75" si="4">Q12+V12+AA12+AF12+AK12+AP12+AU12+AZ12+BE12+BJ12</f>
        <v>0</v>
      </c>
      <c r="M12" s="56">
        <f t="shared" ref="M12:M75" si="5">R12+W12+AB12+AG12+AL12+AQ12+AV12+BA12+BF12+BK12</f>
        <v>0</v>
      </c>
      <c r="N12" s="56">
        <f t="shared" ref="N12:N75" si="6">S12+X12+AC12+AH12+AM12+AR12+AW12+BB12+BG12+BL12</f>
        <v>0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50">
        <f t="shared" ref="BM12:BM75" si="7">SUM(I12:BL12)</f>
        <v>0</v>
      </c>
    </row>
    <row r="13" spans="1:65" x14ac:dyDescent="0.15">
      <c r="F13" s="12" t="s">
        <v>928</v>
      </c>
      <c r="G13" s="205" t="s">
        <v>25</v>
      </c>
      <c r="H13" s="4" t="s">
        <v>26</v>
      </c>
      <c r="I13" s="45">
        <f t="shared" si="1"/>
        <v>0</v>
      </c>
      <c r="J13" s="56">
        <f t="shared" si="2"/>
        <v>0</v>
      </c>
      <c r="K13" s="56">
        <f t="shared" si="3"/>
        <v>0</v>
      </c>
      <c r="L13" s="56">
        <f t="shared" si="4"/>
        <v>0</v>
      </c>
      <c r="M13" s="56">
        <f t="shared" si="5"/>
        <v>0</v>
      </c>
      <c r="N13" s="56">
        <f t="shared" si="6"/>
        <v>0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50">
        <f t="shared" si="7"/>
        <v>0</v>
      </c>
    </row>
    <row r="14" spans="1:65" x14ac:dyDescent="0.15">
      <c r="F14" s="12" t="s">
        <v>928</v>
      </c>
      <c r="G14" s="205" t="s">
        <v>27</v>
      </c>
      <c r="H14" s="53" t="s">
        <v>28</v>
      </c>
      <c r="I14" s="45">
        <f t="shared" si="1"/>
        <v>0</v>
      </c>
      <c r="J14" s="56">
        <f t="shared" si="2"/>
        <v>0</v>
      </c>
      <c r="K14" s="56">
        <f t="shared" si="3"/>
        <v>0</v>
      </c>
      <c r="L14" s="56">
        <f t="shared" si="4"/>
        <v>0</v>
      </c>
      <c r="M14" s="56">
        <f t="shared" si="5"/>
        <v>0</v>
      </c>
      <c r="N14" s="56">
        <f t="shared" si="6"/>
        <v>0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50">
        <f t="shared" si="7"/>
        <v>0</v>
      </c>
    </row>
    <row r="15" spans="1:65" x14ac:dyDescent="0.15">
      <c r="F15" s="12" t="s">
        <v>928</v>
      </c>
      <c r="G15" s="205" t="s">
        <v>29</v>
      </c>
      <c r="H15" s="4" t="s">
        <v>30</v>
      </c>
      <c r="I15" s="45">
        <f t="shared" si="1"/>
        <v>0</v>
      </c>
      <c r="J15" s="56">
        <f t="shared" si="2"/>
        <v>0</v>
      </c>
      <c r="K15" s="56">
        <f t="shared" si="3"/>
        <v>0</v>
      </c>
      <c r="L15" s="56">
        <f t="shared" si="4"/>
        <v>0</v>
      </c>
      <c r="M15" s="56">
        <f t="shared" si="5"/>
        <v>0</v>
      </c>
      <c r="N15" s="56">
        <f t="shared" si="6"/>
        <v>0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50">
        <f t="shared" si="7"/>
        <v>0</v>
      </c>
    </row>
    <row r="16" spans="1:65" x14ac:dyDescent="0.15">
      <c r="F16" s="12" t="s">
        <v>928</v>
      </c>
      <c r="G16" s="205" t="s">
        <v>31</v>
      </c>
      <c r="H16" s="4" t="s">
        <v>32</v>
      </c>
      <c r="I16" s="45">
        <f t="shared" si="1"/>
        <v>0</v>
      </c>
      <c r="J16" s="56">
        <f t="shared" si="2"/>
        <v>0</v>
      </c>
      <c r="K16" s="56">
        <f t="shared" si="3"/>
        <v>0</v>
      </c>
      <c r="L16" s="56">
        <f t="shared" si="4"/>
        <v>0</v>
      </c>
      <c r="M16" s="56">
        <f t="shared" si="5"/>
        <v>0</v>
      </c>
      <c r="N16" s="56">
        <f t="shared" si="6"/>
        <v>0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50">
        <f t="shared" si="7"/>
        <v>0</v>
      </c>
    </row>
    <row r="17" spans="6:65" x14ac:dyDescent="0.15">
      <c r="F17" s="12" t="s">
        <v>929</v>
      </c>
      <c r="G17" s="205" t="s">
        <v>33</v>
      </c>
      <c r="H17" s="53" t="s">
        <v>34</v>
      </c>
      <c r="I17" s="45">
        <f t="shared" si="1"/>
        <v>0</v>
      </c>
      <c r="J17" s="56">
        <f t="shared" si="2"/>
        <v>0</v>
      </c>
      <c r="K17" s="56">
        <f t="shared" si="3"/>
        <v>0</v>
      </c>
      <c r="L17" s="56">
        <f t="shared" si="4"/>
        <v>0</v>
      </c>
      <c r="M17" s="56">
        <f t="shared" si="5"/>
        <v>0</v>
      </c>
      <c r="N17" s="56">
        <f t="shared" si="6"/>
        <v>0</v>
      </c>
      <c r="O17" s="45">
        <f t="shared" ref="O17:BL17" si="8">SUM(O18:O19)</f>
        <v>0</v>
      </c>
      <c r="P17" s="45">
        <f t="shared" si="8"/>
        <v>0</v>
      </c>
      <c r="Q17" s="45">
        <f t="shared" si="8"/>
        <v>0</v>
      </c>
      <c r="R17" s="45">
        <f t="shared" si="8"/>
        <v>0</v>
      </c>
      <c r="S17" s="45">
        <f t="shared" si="8"/>
        <v>0</v>
      </c>
      <c r="T17" s="45">
        <f t="shared" si="8"/>
        <v>0</v>
      </c>
      <c r="U17" s="45">
        <f t="shared" si="8"/>
        <v>0</v>
      </c>
      <c r="V17" s="45">
        <f t="shared" si="8"/>
        <v>0</v>
      </c>
      <c r="W17" s="45">
        <f t="shared" si="8"/>
        <v>0</v>
      </c>
      <c r="X17" s="45">
        <f t="shared" si="8"/>
        <v>0</v>
      </c>
      <c r="Y17" s="45">
        <f t="shared" si="8"/>
        <v>0</v>
      </c>
      <c r="Z17" s="45">
        <f t="shared" si="8"/>
        <v>0</v>
      </c>
      <c r="AA17" s="45">
        <f t="shared" si="8"/>
        <v>0</v>
      </c>
      <c r="AB17" s="45">
        <f t="shared" si="8"/>
        <v>0</v>
      </c>
      <c r="AC17" s="45">
        <f t="shared" si="8"/>
        <v>0</v>
      </c>
      <c r="AD17" s="45">
        <f t="shared" si="8"/>
        <v>0</v>
      </c>
      <c r="AE17" s="45">
        <f t="shared" si="8"/>
        <v>0</v>
      </c>
      <c r="AF17" s="45">
        <f t="shared" si="8"/>
        <v>0</v>
      </c>
      <c r="AG17" s="45">
        <f t="shared" si="8"/>
        <v>0</v>
      </c>
      <c r="AH17" s="45">
        <f t="shared" si="8"/>
        <v>0</v>
      </c>
      <c r="AI17" s="45">
        <f t="shared" si="8"/>
        <v>0</v>
      </c>
      <c r="AJ17" s="45">
        <f t="shared" si="8"/>
        <v>0</v>
      </c>
      <c r="AK17" s="45">
        <f t="shared" si="8"/>
        <v>0</v>
      </c>
      <c r="AL17" s="45">
        <f t="shared" si="8"/>
        <v>0</v>
      </c>
      <c r="AM17" s="45">
        <f t="shared" si="8"/>
        <v>0</v>
      </c>
      <c r="AN17" s="45">
        <f t="shared" si="8"/>
        <v>0</v>
      </c>
      <c r="AO17" s="45">
        <f t="shared" si="8"/>
        <v>0</v>
      </c>
      <c r="AP17" s="45">
        <f t="shared" si="8"/>
        <v>0</v>
      </c>
      <c r="AQ17" s="45">
        <f t="shared" si="8"/>
        <v>0</v>
      </c>
      <c r="AR17" s="45">
        <f t="shared" si="8"/>
        <v>0</v>
      </c>
      <c r="AS17" s="45">
        <f t="shared" si="8"/>
        <v>0</v>
      </c>
      <c r="AT17" s="45">
        <f t="shared" si="8"/>
        <v>0</v>
      </c>
      <c r="AU17" s="45">
        <f t="shared" si="8"/>
        <v>0</v>
      </c>
      <c r="AV17" s="45">
        <f t="shared" si="8"/>
        <v>0</v>
      </c>
      <c r="AW17" s="45">
        <f t="shared" si="8"/>
        <v>0</v>
      </c>
      <c r="AX17" s="45">
        <f t="shared" si="8"/>
        <v>0</v>
      </c>
      <c r="AY17" s="45">
        <f t="shared" si="8"/>
        <v>0</v>
      </c>
      <c r="AZ17" s="45">
        <f t="shared" si="8"/>
        <v>0</v>
      </c>
      <c r="BA17" s="45">
        <f t="shared" si="8"/>
        <v>0</v>
      </c>
      <c r="BB17" s="45">
        <f t="shared" si="8"/>
        <v>0</v>
      </c>
      <c r="BC17" s="45">
        <f t="shared" si="8"/>
        <v>0</v>
      </c>
      <c r="BD17" s="45">
        <f t="shared" si="8"/>
        <v>0</v>
      </c>
      <c r="BE17" s="45">
        <f t="shared" si="8"/>
        <v>0</v>
      </c>
      <c r="BF17" s="45">
        <f t="shared" si="8"/>
        <v>0</v>
      </c>
      <c r="BG17" s="45">
        <f t="shared" si="8"/>
        <v>0</v>
      </c>
      <c r="BH17" s="45">
        <f t="shared" si="8"/>
        <v>0</v>
      </c>
      <c r="BI17" s="45">
        <f t="shared" si="8"/>
        <v>0</v>
      </c>
      <c r="BJ17" s="45">
        <f t="shared" si="8"/>
        <v>0</v>
      </c>
      <c r="BK17" s="45">
        <f t="shared" si="8"/>
        <v>0</v>
      </c>
      <c r="BL17" s="45">
        <f t="shared" si="8"/>
        <v>0</v>
      </c>
      <c r="BM17" s="50">
        <f t="shared" si="7"/>
        <v>0</v>
      </c>
    </row>
    <row r="18" spans="6:65" ht="21" x14ac:dyDescent="0.15">
      <c r="F18" s="12" t="s">
        <v>929</v>
      </c>
      <c r="G18" s="206" t="s">
        <v>35</v>
      </c>
      <c r="H18" s="4" t="s">
        <v>36</v>
      </c>
      <c r="I18" s="45">
        <f t="shared" si="1"/>
        <v>0</v>
      </c>
      <c r="J18" s="56">
        <f t="shared" si="2"/>
        <v>0</v>
      </c>
      <c r="K18" s="56">
        <f t="shared" si="3"/>
        <v>0</v>
      </c>
      <c r="L18" s="56">
        <f t="shared" si="4"/>
        <v>0</v>
      </c>
      <c r="M18" s="56">
        <f t="shared" si="5"/>
        <v>0</v>
      </c>
      <c r="N18" s="56">
        <f t="shared" si="6"/>
        <v>0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50">
        <f t="shared" si="7"/>
        <v>0</v>
      </c>
    </row>
    <row r="19" spans="6:65" ht="21" x14ac:dyDescent="0.15">
      <c r="F19" s="12" t="s">
        <v>929</v>
      </c>
      <c r="G19" s="206" t="s">
        <v>37</v>
      </c>
      <c r="H19" s="4" t="s">
        <v>38</v>
      </c>
      <c r="I19" s="45">
        <f t="shared" si="1"/>
        <v>0</v>
      </c>
      <c r="J19" s="56">
        <f t="shared" si="2"/>
        <v>0</v>
      </c>
      <c r="K19" s="56">
        <f t="shared" si="3"/>
        <v>0</v>
      </c>
      <c r="L19" s="56">
        <f t="shared" si="4"/>
        <v>0</v>
      </c>
      <c r="M19" s="56">
        <f t="shared" si="5"/>
        <v>0</v>
      </c>
      <c r="N19" s="56">
        <f t="shared" si="6"/>
        <v>0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50">
        <f t="shared" si="7"/>
        <v>0</v>
      </c>
    </row>
    <row r="20" spans="6:65" x14ac:dyDescent="0.15">
      <c r="F20" s="12" t="s">
        <v>930</v>
      </c>
      <c r="G20" s="205" t="s">
        <v>39</v>
      </c>
      <c r="H20" s="53" t="s">
        <v>40</v>
      </c>
      <c r="I20" s="45">
        <f t="shared" si="1"/>
        <v>0</v>
      </c>
      <c r="J20" s="56">
        <f t="shared" si="2"/>
        <v>0</v>
      </c>
      <c r="K20" s="56">
        <f t="shared" si="3"/>
        <v>0</v>
      </c>
      <c r="L20" s="56">
        <f t="shared" si="4"/>
        <v>0</v>
      </c>
      <c r="M20" s="56">
        <f t="shared" si="5"/>
        <v>0</v>
      </c>
      <c r="N20" s="56">
        <f t="shared" si="6"/>
        <v>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50">
        <f t="shared" si="7"/>
        <v>0</v>
      </c>
    </row>
    <row r="21" spans="6:65" x14ac:dyDescent="0.15">
      <c r="F21" s="12" t="s">
        <v>931</v>
      </c>
      <c r="G21" s="205" t="s">
        <v>41</v>
      </c>
      <c r="H21" s="4" t="s">
        <v>42</v>
      </c>
      <c r="I21" s="45">
        <f t="shared" si="1"/>
        <v>0</v>
      </c>
      <c r="J21" s="56">
        <f t="shared" si="2"/>
        <v>0</v>
      </c>
      <c r="K21" s="56">
        <f t="shared" si="3"/>
        <v>0</v>
      </c>
      <c r="L21" s="56">
        <f t="shared" si="4"/>
        <v>0</v>
      </c>
      <c r="M21" s="56">
        <f t="shared" si="5"/>
        <v>0</v>
      </c>
      <c r="N21" s="56">
        <f t="shared" si="6"/>
        <v>0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50">
        <f t="shared" si="7"/>
        <v>0</v>
      </c>
    </row>
    <row r="22" spans="6:65" x14ac:dyDescent="0.15">
      <c r="F22" s="12" t="s">
        <v>931</v>
      </c>
      <c r="G22" s="205" t="s">
        <v>43</v>
      </c>
      <c r="H22" s="4" t="s">
        <v>44</v>
      </c>
      <c r="I22" s="45">
        <f t="shared" si="1"/>
        <v>0</v>
      </c>
      <c r="J22" s="56">
        <f t="shared" si="2"/>
        <v>0</v>
      </c>
      <c r="K22" s="56">
        <f t="shared" si="3"/>
        <v>0</v>
      </c>
      <c r="L22" s="56">
        <f t="shared" si="4"/>
        <v>0</v>
      </c>
      <c r="M22" s="56">
        <f t="shared" si="5"/>
        <v>0</v>
      </c>
      <c r="N22" s="56">
        <f t="shared" si="6"/>
        <v>0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50">
        <f t="shared" si="7"/>
        <v>0</v>
      </c>
    </row>
    <row r="23" spans="6:65" ht="21" x14ac:dyDescent="0.15">
      <c r="F23" s="12" t="s">
        <v>931</v>
      </c>
      <c r="G23" s="205" t="s">
        <v>45</v>
      </c>
      <c r="H23" s="53" t="s">
        <v>46</v>
      </c>
      <c r="I23" s="45">
        <f t="shared" si="1"/>
        <v>0</v>
      </c>
      <c r="J23" s="56">
        <f t="shared" si="2"/>
        <v>0</v>
      </c>
      <c r="K23" s="56">
        <f t="shared" si="3"/>
        <v>0</v>
      </c>
      <c r="L23" s="56">
        <f t="shared" si="4"/>
        <v>0</v>
      </c>
      <c r="M23" s="56">
        <f t="shared" si="5"/>
        <v>0</v>
      </c>
      <c r="N23" s="56">
        <f t="shared" si="6"/>
        <v>0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50">
        <f t="shared" si="7"/>
        <v>0</v>
      </c>
    </row>
    <row r="24" spans="6:65" x14ac:dyDescent="0.15">
      <c r="F24" s="12" t="s">
        <v>928</v>
      </c>
      <c r="G24" s="205" t="s">
        <v>47</v>
      </c>
      <c r="H24" s="4" t="s">
        <v>48</v>
      </c>
      <c r="I24" s="45">
        <f t="shared" si="1"/>
        <v>0</v>
      </c>
      <c r="J24" s="56">
        <f t="shared" si="2"/>
        <v>0</v>
      </c>
      <c r="K24" s="56">
        <f t="shared" si="3"/>
        <v>0</v>
      </c>
      <c r="L24" s="56">
        <f t="shared" si="4"/>
        <v>0</v>
      </c>
      <c r="M24" s="56">
        <f t="shared" si="5"/>
        <v>0</v>
      </c>
      <c r="N24" s="56">
        <f t="shared" si="6"/>
        <v>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50">
        <f t="shared" si="7"/>
        <v>0</v>
      </c>
    </row>
    <row r="25" spans="6:65" x14ac:dyDescent="0.15">
      <c r="F25" s="12" t="s">
        <v>930</v>
      </c>
      <c r="G25" s="205" t="s">
        <v>49</v>
      </c>
      <c r="H25" s="4" t="s">
        <v>50</v>
      </c>
      <c r="I25" s="45">
        <f t="shared" si="1"/>
        <v>0</v>
      </c>
      <c r="J25" s="56">
        <f t="shared" si="2"/>
        <v>0</v>
      </c>
      <c r="K25" s="56">
        <f t="shared" si="3"/>
        <v>0</v>
      </c>
      <c r="L25" s="56">
        <f t="shared" si="4"/>
        <v>0</v>
      </c>
      <c r="M25" s="56">
        <f t="shared" si="5"/>
        <v>0</v>
      </c>
      <c r="N25" s="56">
        <f t="shared" si="6"/>
        <v>0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50">
        <f t="shared" si="7"/>
        <v>0</v>
      </c>
    </row>
    <row r="26" spans="6:65" x14ac:dyDescent="0.15">
      <c r="F26" s="12" t="s">
        <v>930</v>
      </c>
      <c r="G26" s="205" t="s">
        <v>51</v>
      </c>
      <c r="H26" s="53" t="s">
        <v>52</v>
      </c>
      <c r="I26" s="45">
        <f t="shared" si="1"/>
        <v>0</v>
      </c>
      <c r="J26" s="56">
        <f t="shared" si="2"/>
        <v>0</v>
      </c>
      <c r="K26" s="56">
        <f t="shared" si="3"/>
        <v>0</v>
      </c>
      <c r="L26" s="56">
        <f t="shared" si="4"/>
        <v>0</v>
      </c>
      <c r="M26" s="56">
        <f t="shared" si="5"/>
        <v>0</v>
      </c>
      <c r="N26" s="56">
        <f t="shared" si="6"/>
        <v>0</v>
      </c>
      <c r="O26" s="46">
        <f t="shared" ref="O26:BL26" si="9">SUM(O27:O30)</f>
        <v>0</v>
      </c>
      <c r="P26" s="46">
        <f t="shared" si="9"/>
        <v>0</v>
      </c>
      <c r="Q26" s="46">
        <f t="shared" si="9"/>
        <v>0</v>
      </c>
      <c r="R26" s="46">
        <f t="shared" si="9"/>
        <v>0</v>
      </c>
      <c r="S26" s="46">
        <f t="shared" si="9"/>
        <v>0</v>
      </c>
      <c r="T26" s="46">
        <f t="shared" si="9"/>
        <v>0</v>
      </c>
      <c r="U26" s="46">
        <f t="shared" si="9"/>
        <v>0</v>
      </c>
      <c r="V26" s="46">
        <f t="shared" si="9"/>
        <v>0</v>
      </c>
      <c r="W26" s="46">
        <f t="shared" si="9"/>
        <v>0</v>
      </c>
      <c r="X26" s="46">
        <f t="shared" si="9"/>
        <v>0</v>
      </c>
      <c r="Y26" s="46">
        <f t="shared" si="9"/>
        <v>0</v>
      </c>
      <c r="Z26" s="46">
        <f t="shared" si="9"/>
        <v>0</v>
      </c>
      <c r="AA26" s="46">
        <f t="shared" si="9"/>
        <v>0</v>
      </c>
      <c r="AB26" s="46">
        <f t="shared" si="9"/>
        <v>0</v>
      </c>
      <c r="AC26" s="46">
        <f t="shared" si="9"/>
        <v>0</v>
      </c>
      <c r="AD26" s="46">
        <f t="shared" si="9"/>
        <v>0</v>
      </c>
      <c r="AE26" s="46">
        <f t="shared" si="9"/>
        <v>0</v>
      </c>
      <c r="AF26" s="46">
        <f t="shared" si="9"/>
        <v>0</v>
      </c>
      <c r="AG26" s="46">
        <f t="shared" si="9"/>
        <v>0</v>
      </c>
      <c r="AH26" s="46">
        <f t="shared" si="9"/>
        <v>0</v>
      </c>
      <c r="AI26" s="46">
        <f t="shared" si="9"/>
        <v>0</v>
      </c>
      <c r="AJ26" s="46">
        <f t="shared" si="9"/>
        <v>0</v>
      </c>
      <c r="AK26" s="46">
        <f t="shared" si="9"/>
        <v>0</v>
      </c>
      <c r="AL26" s="46">
        <f t="shared" si="9"/>
        <v>0</v>
      </c>
      <c r="AM26" s="46">
        <f t="shared" si="9"/>
        <v>0</v>
      </c>
      <c r="AN26" s="46">
        <f t="shared" si="9"/>
        <v>0</v>
      </c>
      <c r="AO26" s="46">
        <f t="shared" si="9"/>
        <v>0</v>
      </c>
      <c r="AP26" s="46">
        <f t="shared" si="9"/>
        <v>0</v>
      </c>
      <c r="AQ26" s="46">
        <f t="shared" si="9"/>
        <v>0</v>
      </c>
      <c r="AR26" s="46">
        <f t="shared" si="9"/>
        <v>0</v>
      </c>
      <c r="AS26" s="46">
        <f t="shared" si="9"/>
        <v>0</v>
      </c>
      <c r="AT26" s="46">
        <f t="shared" si="9"/>
        <v>0</v>
      </c>
      <c r="AU26" s="46">
        <f t="shared" si="9"/>
        <v>0</v>
      </c>
      <c r="AV26" s="46">
        <f t="shared" si="9"/>
        <v>0</v>
      </c>
      <c r="AW26" s="46">
        <f t="shared" si="9"/>
        <v>0</v>
      </c>
      <c r="AX26" s="46">
        <f t="shared" si="9"/>
        <v>0</v>
      </c>
      <c r="AY26" s="46">
        <f t="shared" si="9"/>
        <v>0</v>
      </c>
      <c r="AZ26" s="46">
        <f t="shared" si="9"/>
        <v>0</v>
      </c>
      <c r="BA26" s="46">
        <f t="shared" si="9"/>
        <v>0</v>
      </c>
      <c r="BB26" s="46">
        <f t="shared" si="9"/>
        <v>0</v>
      </c>
      <c r="BC26" s="46">
        <f t="shared" si="9"/>
        <v>0</v>
      </c>
      <c r="BD26" s="46">
        <f t="shared" si="9"/>
        <v>0</v>
      </c>
      <c r="BE26" s="46">
        <f t="shared" si="9"/>
        <v>0</v>
      </c>
      <c r="BF26" s="46">
        <f t="shared" si="9"/>
        <v>0</v>
      </c>
      <c r="BG26" s="46">
        <f t="shared" si="9"/>
        <v>0</v>
      </c>
      <c r="BH26" s="46">
        <f t="shared" si="9"/>
        <v>0</v>
      </c>
      <c r="BI26" s="46">
        <f t="shared" si="9"/>
        <v>0</v>
      </c>
      <c r="BJ26" s="46">
        <f t="shared" si="9"/>
        <v>0</v>
      </c>
      <c r="BK26" s="46">
        <f t="shared" si="9"/>
        <v>0</v>
      </c>
      <c r="BL26" s="46">
        <f t="shared" si="9"/>
        <v>0</v>
      </c>
      <c r="BM26" s="50">
        <f t="shared" si="7"/>
        <v>0</v>
      </c>
    </row>
    <row r="27" spans="6:65" ht="21" x14ac:dyDescent="0.15">
      <c r="F27" s="12" t="s">
        <v>930</v>
      </c>
      <c r="G27" s="206" t="s">
        <v>865</v>
      </c>
      <c r="H27" s="4" t="s">
        <v>53</v>
      </c>
      <c r="I27" s="45">
        <f t="shared" si="1"/>
        <v>0</v>
      </c>
      <c r="J27" s="56">
        <f t="shared" si="2"/>
        <v>0</v>
      </c>
      <c r="K27" s="56">
        <f t="shared" si="3"/>
        <v>0</v>
      </c>
      <c r="L27" s="56">
        <f t="shared" si="4"/>
        <v>0</v>
      </c>
      <c r="M27" s="56">
        <f t="shared" si="5"/>
        <v>0</v>
      </c>
      <c r="N27" s="56">
        <f t="shared" si="6"/>
        <v>0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50">
        <f t="shared" si="7"/>
        <v>0</v>
      </c>
    </row>
    <row r="28" spans="6:65" x14ac:dyDescent="0.15">
      <c r="F28" s="12" t="s">
        <v>930</v>
      </c>
      <c r="G28" s="206" t="s">
        <v>54</v>
      </c>
      <c r="H28" s="4" t="s">
        <v>55</v>
      </c>
      <c r="I28" s="45">
        <f t="shared" si="1"/>
        <v>0</v>
      </c>
      <c r="J28" s="56">
        <f t="shared" si="2"/>
        <v>0</v>
      </c>
      <c r="K28" s="56">
        <f t="shared" si="3"/>
        <v>0</v>
      </c>
      <c r="L28" s="56">
        <f t="shared" si="4"/>
        <v>0</v>
      </c>
      <c r="M28" s="56">
        <f t="shared" si="5"/>
        <v>0</v>
      </c>
      <c r="N28" s="56">
        <f t="shared" si="6"/>
        <v>0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50">
        <f t="shared" si="7"/>
        <v>0</v>
      </c>
    </row>
    <row r="29" spans="6:65" x14ac:dyDescent="0.15">
      <c r="F29" s="12" t="s">
        <v>930</v>
      </c>
      <c r="G29" s="206" t="s">
        <v>56</v>
      </c>
      <c r="H29" s="53" t="s">
        <v>57</v>
      </c>
      <c r="I29" s="45">
        <f t="shared" si="1"/>
        <v>0</v>
      </c>
      <c r="J29" s="56">
        <f t="shared" si="2"/>
        <v>0</v>
      </c>
      <c r="K29" s="56">
        <f t="shared" si="3"/>
        <v>0</v>
      </c>
      <c r="L29" s="56">
        <f t="shared" si="4"/>
        <v>0</v>
      </c>
      <c r="M29" s="56">
        <f t="shared" si="5"/>
        <v>0</v>
      </c>
      <c r="N29" s="56">
        <f t="shared" si="6"/>
        <v>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50">
        <f t="shared" si="7"/>
        <v>0</v>
      </c>
    </row>
    <row r="30" spans="6:65" ht="21" x14ac:dyDescent="0.15">
      <c r="F30" s="12" t="s">
        <v>930</v>
      </c>
      <c r="G30" s="206" t="s">
        <v>58</v>
      </c>
      <c r="H30" s="4" t="s">
        <v>59</v>
      </c>
      <c r="I30" s="45">
        <f t="shared" si="1"/>
        <v>0</v>
      </c>
      <c r="J30" s="56">
        <f t="shared" si="2"/>
        <v>0</v>
      </c>
      <c r="K30" s="56">
        <f t="shared" si="3"/>
        <v>0</v>
      </c>
      <c r="L30" s="56">
        <f t="shared" si="4"/>
        <v>0</v>
      </c>
      <c r="M30" s="56">
        <f t="shared" si="5"/>
        <v>0</v>
      </c>
      <c r="N30" s="56">
        <f t="shared" si="6"/>
        <v>0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50">
        <f t="shared" si="7"/>
        <v>0</v>
      </c>
    </row>
    <row r="31" spans="6:65" x14ac:dyDescent="0.15">
      <c r="F31" s="12" t="s">
        <v>930</v>
      </c>
      <c r="G31" s="205" t="s">
        <v>60</v>
      </c>
      <c r="H31" s="4" t="s">
        <v>61</v>
      </c>
      <c r="I31" s="45">
        <f t="shared" si="1"/>
        <v>0</v>
      </c>
      <c r="J31" s="56">
        <f t="shared" si="2"/>
        <v>0</v>
      </c>
      <c r="K31" s="56">
        <f t="shared" si="3"/>
        <v>0</v>
      </c>
      <c r="L31" s="56">
        <f t="shared" si="4"/>
        <v>0</v>
      </c>
      <c r="M31" s="56">
        <f t="shared" si="5"/>
        <v>0</v>
      </c>
      <c r="N31" s="56">
        <f t="shared" si="6"/>
        <v>0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50">
        <f t="shared" si="7"/>
        <v>0</v>
      </c>
    </row>
    <row r="32" spans="6:65" x14ac:dyDescent="0.15">
      <c r="F32" s="12" t="s">
        <v>929</v>
      </c>
      <c r="G32" s="205" t="s">
        <v>62</v>
      </c>
      <c r="H32" s="53" t="s">
        <v>63</v>
      </c>
      <c r="I32" s="45">
        <f t="shared" si="1"/>
        <v>0</v>
      </c>
      <c r="J32" s="56">
        <f t="shared" si="2"/>
        <v>0</v>
      </c>
      <c r="K32" s="56">
        <f t="shared" si="3"/>
        <v>0</v>
      </c>
      <c r="L32" s="56">
        <f t="shared" si="4"/>
        <v>0</v>
      </c>
      <c r="M32" s="56">
        <f t="shared" si="5"/>
        <v>0</v>
      </c>
      <c r="N32" s="56">
        <f t="shared" si="6"/>
        <v>0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50">
        <f t="shared" si="7"/>
        <v>0</v>
      </c>
    </row>
    <row r="33" spans="6:65" x14ac:dyDescent="0.15">
      <c r="F33" s="12" t="s">
        <v>928</v>
      </c>
      <c r="G33" s="205" t="s">
        <v>64</v>
      </c>
      <c r="H33" s="4" t="s">
        <v>65</v>
      </c>
      <c r="I33" s="45">
        <f t="shared" si="1"/>
        <v>0</v>
      </c>
      <c r="J33" s="56">
        <f t="shared" si="2"/>
        <v>0</v>
      </c>
      <c r="K33" s="56">
        <f t="shared" si="3"/>
        <v>0</v>
      </c>
      <c r="L33" s="56">
        <f t="shared" si="4"/>
        <v>0</v>
      </c>
      <c r="M33" s="56">
        <f t="shared" si="5"/>
        <v>0</v>
      </c>
      <c r="N33" s="56">
        <f t="shared" si="6"/>
        <v>0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50">
        <f t="shared" si="7"/>
        <v>0</v>
      </c>
    </row>
    <row r="34" spans="6:65" x14ac:dyDescent="0.15">
      <c r="F34" s="12" t="s">
        <v>929</v>
      </c>
      <c r="G34" s="205" t="s">
        <v>66</v>
      </c>
      <c r="H34" s="4" t="s">
        <v>67</v>
      </c>
      <c r="I34" s="45">
        <f t="shared" si="1"/>
        <v>0</v>
      </c>
      <c r="J34" s="56">
        <f t="shared" si="2"/>
        <v>0</v>
      </c>
      <c r="K34" s="56">
        <f t="shared" si="3"/>
        <v>0</v>
      </c>
      <c r="L34" s="56">
        <f t="shared" si="4"/>
        <v>0</v>
      </c>
      <c r="M34" s="56">
        <f t="shared" si="5"/>
        <v>0</v>
      </c>
      <c r="N34" s="56">
        <f t="shared" si="6"/>
        <v>0</v>
      </c>
      <c r="O34" s="46">
        <f t="shared" ref="O34:BL34" si="10">SUM(O35:O38)</f>
        <v>0</v>
      </c>
      <c r="P34" s="46">
        <f t="shared" si="10"/>
        <v>0</v>
      </c>
      <c r="Q34" s="46">
        <f t="shared" si="10"/>
        <v>0</v>
      </c>
      <c r="R34" s="46">
        <f t="shared" si="10"/>
        <v>0</v>
      </c>
      <c r="S34" s="46">
        <f t="shared" si="10"/>
        <v>0</v>
      </c>
      <c r="T34" s="46">
        <f t="shared" si="10"/>
        <v>0</v>
      </c>
      <c r="U34" s="46">
        <f t="shared" si="10"/>
        <v>0</v>
      </c>
      <c r="V34" s="46">
        <f t="shared" si="10"/>
        <v>0</v>
      </c>
      <c r="W34" s="46">
        <f t="shared" si="10"/>
        <v>0</v>
      </c>
      <c r="X34" s="46">
        <f t="shared" si="10"/>
        <v>0</v>
      </c>
      <c r="Y34" s="46">
        <f t="shared" si="10"/>
        <v>0</v>
      </c>
      <c r="Z34" s="46">
        <f t="shared" si="10"/>
        <v>0</v>
      </c>
      <c r="AA34" s="46">
        <f t="shared" si="10"/>
        <v>0</v>
      </c>
      <c r="AB34" s="46">
        <f t="shared" si="10"/>
        <v>0</v>
      </c>
      <c r="AC34" s="46">
        <f t="shared" si="10"/>
        <v>0</v>
      </c>
      <c r="AD34" s="46">
        <f t="shared" si="10"/>
        <v>0</v>
      </c>
      <c r="AE34" s="46">
        <f t="shared" si="10"/>
        <v>0</v>
      </c>
      <c r="AF34" s="46">
        <f t="shared" si="10"/>
        <v>0</v>
      </c>
      <c r="AG34" s="46">
        <f t="shared" si="10"/>
        <v>0</v>
      </c>
      <c r="AH34" s="46">
        <f t="shared" si="10"/>
        <v>0</v>
      </c>
      <c r="AI34" s="46">
        <f t="shared" si="10"/>
        <v>0</v>
      </c>
      <c r="AJ34" s="46">
        <f t="shared" si="10"/>
        <v>0</v>
      </c>
      <c r="AK34" s="46">
        <f t="shared" si="10"/>
        <v>0</v>
      </c>
      <c r="AL34" s="46">
        <f t="shared" si="10"/>
        <v>0</v>
      </c>
      <c r="AM34" s="46">
        <f t="shared" si="10"/>
        <v>0</v>
      </c>
      <c r="AN34" s="46">
        <f t="shared" si="10"/>
        <v>0</v>
      </c>
      <c r="AO34" s="46">
        <f t="shared" si="10"/>
        <v>0</v>
      </c>
      <c r="AP34" s="46">
        <f t="shared" si="10"/>
        <v>0</v>
      </c>
      <c r="AQ34" s="46">
        <f t="shared" si="10"/>
        <v>0</v>
      </c>
      <c r="AR34" s="46">
        <f t="shared" si="10"/>
        <v>0</v>
      </c>
      <c r="AS34" s="46">
        <f t="shared" si="10"/>
        <v>0</v>
      </c>
      <c r="AT34" s="46">
        <f t="shared" si="10"/>
        <v>0</v>
      </c>
      <c r="AU34" s="46">
        <f t="shared" si="10"/>
        <v>0</v>
      </c>
      <c r="AV34" s="46">
        <f t="shared" si="10"/>
        <v>0</v>
      </c>
      <c r="AW34" s="46">
        <f t="shared" si="10"/>
        <v>0</v>
      </c>
      <c r="AX34" s="46">
        <f t="shared" si="10"/>
        <v>0</v>
      </c>
      <c r="AY34" s="46">
        <f t="shared" si="10"/>
        <v>0</v>
      </c>
      <c r="AZ34" s="46">
        <f t="shared" si="10"/>
        <v>0</v>
      </c>
      <c r="BA34" s="46">
        <f t="shared" si="10"/>
        <v>0</v>
      </c>
      <c r="BB34" s="46">
        <f t="shared" si="10"/>
        <v>0</v>
      </c>
      <c r="BC34" s="46">
        <f t="shared" si="10"/>
        <v>0</v>
      </c>
      <c r="BD34" s="46">
        <f t="shared" si="10"/>
        <v>0</v>
      </c>
      <c r="BE34" s="46">
        <f t="shared" si="10"/>
        <v>0</v>
      </c>
      <c r="BF34" s="46">
        <f t="shared" si="10"/>
        <v>0</v>
      </c>
      <c r="BG34" s="46">
        <f t="shared" si="10"/>
        <v>0</v>
      </c>
      <c r="BH34" s="46">
        <f t="shared" si="10"/>
        <v>0</v>
      </c>
      <c r="BI34" s="46">
        <f t="shared" si="10"/>
        <v>0</v>
      </c>
      <c r="BJ34" s="46">
        <f t="shared" si="10"/>
        <v>0</v>
      </c>
      <c r="BK34" s="46">
        <f t="shared" si="10"/>
        <v>0</v>
      </c>
      <c r="BL34" s="46">
        <f t="shared" si="10"/>
        <v>0</v>
      </c>
      <c r="BM34" s="50">
        <f t="shared" si="7"/>
        <v>0</v>
      </c>
    </row>
    <row r="35" spans="6:65" ht="21" x14ac:dyDescent="0.15">
      <c r="F35" s="12" t="s">
        <v>929</v>
      </c>
      <c r="G35" s="206" t="s">
        <v>68</v>
      </c>
      <c r="H35" s="53" t="s">
        <v>69</v>
      </c>
      <c r="I35" s="45">
        <f t="shared" si="1"/>
        <v>0</v>
      </c>
      <c r="J35" s="56">
        <f t="shared" si="2"/>
        <v>0</v>
      </c>
      <c r="K35" s="56">
        <f t="shared" si="3"/>
        <v>0</v>
      </c>
      <c r="L35" s="56">
        <f t="shared" si="4"/>
        <v>0</v>
      </c>
      <c r="M35" s="56">
        <f t="shared" si="5"/>
        <v>0</v>
      </c>
      <c r="N35" s="56">
        <f t="shared" si="6"/>
        <v>0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50">
        <f t="shared" si="7"/>
        <v>0</v>
      </c>
    </row>
    <row r="36" spans="6:65" x14ac:dyDescent="0.15">
      <c r="F36" s="12" t="s">
        <v>929</v>
      </c>
      <c r="G36" s="206" t="s">
        <v>70</v>
      </c>
      <c r="H36" s="4" t="s">
        <v>71</v>
      </c>
      <c r="I36" s="45">
        <f t="shared" si="1"/>
        <v>0</v>
      </c>
      <c r="J36" s="56">
        <f t="shared" si="2"/>
        <v>0</v>
      </c>
      <c r="K36" s="56">
        <f t="shared" si="3"/>
        <v>0</v>
      </c>
      <c r="L36" s="56">
        <f t="shared" si="4"/>
        <v>0</v>
      </c>
      <c r="M36" s="56">
        <f t="shared" si="5"/>
        <v>0</v>
      </c>
      <c r="N36" s="56">
        <f t="shared" si="6"/>
        <v>0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50">
        <f t="shared" si="7"/>
        <v>0</v>
      </c>
    </row>
    <row r="37" spans="6:65" x14ac:dyDescent="0.15">
      <c r="F37" s="12" t="s">
        <v>929</v>
      </c>
      <c r="G37" s="206" t="s">
        <v>72</v>
      </c>
      <c r="H37" s="4" t="s">
        <v>73</v>
      </c>
      <c r="I37" s="45">
        <f t="shared" si="1"/>
        <v>0</v>
      </c>
      <c r="J37" s="56">
        <f t="shared" si="2"/>
        <v>0</v>
      </c>
      <c r="K37" s="56">
        <f t="shared" si="3"/>
        <v>0</v>
      </c>
      <c r="L37" s="56">
        <f t="shared" si="4"/>
        <v>0</v>
      </c>
      <c r="M37" s="56">
        <f t="shared" si="5"/>
        <v>0</v>
      </c>
      <c r="N37" s="56">
        <f t="shared" si="6"/>
        <v>0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50">
        <f t="shared" si="7"/>
        <v>0</v>
      </c>
    </row>
    <row r="38" spans="6:65" ht="21" x14ac:dyDescent="0.15">
      <c r="F38" s="12" t="s">
        <v>929</v>
      </c>
      <c r="G38" s="206" t="s">
        <v>74</v>
      </c>
      <c r="H38" s="53" t="s">
        <v>75</v>
      </c>
      <c r="I38" s="45">
        <f t="shared" si="1"/>
        <v>0</v>
      </c>
      <c r="J38" s="56">
        <f t="shared" si="2"/>
        <v>0</v>
      </c>
      <c r="K38" s="56">
        <f t="shared" si="3"/>
        <v>0</v>
      </c>
      <c r="L38" s="56">
        <f t="shared" si="4"/>
        <v>0</v>
      </c>
      <c r="M38" s="56">
        <f t="shared" si="5"/>
        <v>0</v>
      </c>
      <c r="N38" s="56">
        <f t="shared" si="6"/>
        <v>0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50">
        <f t="shared" si="7"/>
        <v>0</v>
      </c>
    </row>
    <row r="39" spans="6:65" x14ac:dyDescent="0.15">
      <c r="F39" s="12" t="s">
        <v>928</v>
      </c>
      <c r="G39" s="205" t="s">
        <v>76</v>
      </c>
      <c r="H39" s="4" t="s">
        <v>77</v>
      </c>
      <c r="I39" s="45">
        <f t="shared" si="1"/>
        <v>0</v>
      </c>
      <c r="J39" s="56">
        <f t="shared" si="2"/>
        <v>0</v>
      </c>
      <c r="K39" s="56">
        <f t="shared" si="3"/>
        <v>0</v>
      </c>
      <c r="L39" s="56">
        <f t="shared" si="4"/>
        <v>0</v>
      </c>
      <c r="M39" s="56">
        <f t="shared" si="5"/>
        <v>0</v>
      </c>
      <c r="N39" s="56">
        <f t="shared" si="6"/>
        <v>0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50">
        <f t="shared" si="7"/>
        <v>0</v>
      </c>
    </row>
    <row r="40" spans="6:65" x14ac:dyDescent="0.15">
      <c r="F40" s="12" t="s">
        <v>930</v>
      </c>
      <c r="G40" s="205" t="s">
        <v>78</v>
      </c>
      <c r="H40" s="4" t="s">
        <v>79</v>
      </c>
      <c r="I40" s="45">
        <f t="shared" si="1"/>
        <v>0</v>
      </c>
      <c r="J40" s="56">
        <f t="shared" si="2"/>
        <v>0</v>
      </c>
      <c r="K40" s="56">
        <f t="shared" si="3"/>
        <v>0</v>
      </c>
      <c r="L40" s="56">
        <f t="shared" si="4"/>
        <v>0</v>
      </c>
      <c r="M40" s="56">
        <f t="shared" si="5"/>
        <v>0</v>
      </c>
      <c r="N40" s="56">
        <f t="shared" si="6"/>
        <v>0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50">
        <f t="shared" si="7"/>
        <v>0</v>
      </c>
    </row>
    <row r="41" spans="6:65" x14ac:dyDescent="0.15">
      <c r="F41" s="12" t="s">
        <v>928</v>
      </c>
      <c r="G41" s="205" t="s">
        <v>80</v>
      </c>
      <c r="H41" s="53" t="s">
        <v>81</v>
      </c>
      <c r="I41" s="45">
        <f t="shared" si="1"/>
        <v>0</v>
      </c>
      <c r="J41" s="56">
        <f t="shared" si="2"/>
        <v>0</v>
      </c>
      <c r="K41" s="56">
        <f t="shared" si="3"/>
        <v>0</v>
      </c>
      <c r="L41" s="56">
        <f t="shared" si="4"/>
        <v>0</v>
      </c>
      <c r="M41" s="56">
        <f t="shared" si="5"/>
        <v>0</v>
      </c>
      <c r="N41" s="56">
        <f t="shared" si="6"/>
        <v>0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50">
        <f t="shared" si="7"/>
        <v>0</v>
      </c>
    </row>
    <row r="42" spans="6:65" x14ac:dyDescent="0.15">
      <c r="F42" s="12" t="s">
        <v>928</v>
      </c>
      <c r="G42" s="205" t="s">
        <v>82</v>
      </c>
      <c r="H42" s="4" t="s">
        <v>83</v>
      </c>
      <c r="I42" s="45">
        <f t="shared" si="1"/>
        <v>0</v>
      </c>
      <c r="J42" s="56">
        <f t="shared" si="2"/>
        <v>0</v>
      </c>
      <c r="K42" s="56">
        <f t="shared" si="3"/>
        <v>0</v>
      </c>
      <c r="L42" s="56">
        <f t="shared" si="4"/>
        <v>0</v>
      </c>
      <c r="M42" s="56">
        <f t="shared" si="5"/>
        <v>0</v>
      </c>
      <c r="N42" s="56">
        <f t="shared" si="6"/>
        <v>0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50">
        <f t="shared" si="7"/>
        <v>0</v>
      </c>
    </row>
    <row r="43" spans="6:65" x14ac:dyDescent="0.15">
      <c r="F43" s="12" t="s">
        <v>928</v>
      </c>
      <c r="G43" s="205" t="s">
        <v>84</v>
      </c>
      <c r="H43" s="4" t="s">
        <v>85</v>
      </c>
      <c r="I43" s="45">
        <f t="shared" si="1"/>
        <v>0</v>
      </c>
      <c r="J43" s="56">
        <f t="shared" si="2"/>
        <v>0</v>
      </c>
      <c r="K43" s="56">
        <f t="shared" si="3"/>
        <v>0</v>
      </c>
      <c r="L43" s="56">
        <f t="shared" si="4"/>
        <v>0</v>
      </c>
      <c r="M43" s="56">
        <f t="shared" si="5"/>
        <v>0</v>
      </c>
      <c r="N43" s="56">
        <f t="shared" si="6"/>
        <v>0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50">
        <f t="shared" si="7"/>
        <v>0</v>
      </c>
    </row>
    <row r="44" spans="6:65" x14ac:dyDescent="0.15">
      <c r="F44" s="12" t="s">
        <v>928</v>
      </c>
      <c r="G44" s="205" t="s">
        <v>86</v>
      </c>
      <c r="H44" s="53" t="s">
        <v>87</v>
      </c>
      <c r="I44" s="45">
        <f t="shared" si="1"/>
        <v>0</v>
      </c>
      <c r="J44" s="56">
        <f t="shared" si="2"/>
        <v>0</v>
      </c>
      <c r="K44" s="56">
        <f t="shared" si="3"/>
        <v>0</v>
      </c>
      <c r="L44" s="56">
        <f t="shared" si="4"/>
        <v>0</v>
      </c>
      <c r="M44" s="56">
        <f t="shared" si="5"/>
        <v>0</v>
      </c>
      <c r="N44" s="56">
        <f t="shared" si="6"/>
        <v>0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50">
        <f t="shared" si="7"/>
        <v>0</v>
      </c>
    </row>
    <row r="45" spans="6:65" x14ac:dyDescent="0.15">
      <c r="F45" s="12" t="s">
        <v>930</v>
      </c>
      <c r="G45" s="205" t="s">
        <v>88</v>
      </c>
      <c r="H45" s="4" t="s">
        <v>89</v>
      </c>
      <c r="I45" s="45">
        <f t="shared" si="1"/>
        <v>0</v>
      </c>
      <c r="J45" s="56">
        <f t="shared" si="2"/>
        <v>0</v>
      </c>
      <c r="K45" s="56">
        <f t="shared" si="3"/>
        <v>0</v>
      </c>
      <c r="L45" s="56">
        <f t="shared" si="4"/>
        <v>0</v>
      </c>
      <c r="M45" s="56">
        <f t="shared" si="5"/>
        <v>0</v>
      </c>
      <c r="N45" s="56">
        <f t="shared" si="6"/>
        <v>0</v>
      </c>
      <c r="O45" s="46">
        <f t="shared" ref="O45:BL45" si="11">SUM(O46:O51)</f>
        <v>0</v>
      </c>
      <c r="P45" s="46">
        <f t="shared" si="11"/>
        <v>0</v>
      </c>
      <c r="Q45" s="46">
        <f t="shared" si="11"/>
        <v>0</v>
      </c>
      <c r="R45" s="46">
        <f t="shared" si="11"/>
        <v>0</v>
      </c>
      <c r="S45" s="46">
        <f t="shared" si="11"/>
        <v>0</v>
      </c>
      <c r="T45" s="46">
        <f t="shared" si="11"/>
        <v>0</v>
      </c>
      <c r="U45" s="46">
        <f t="shared" si="11"/>
        <v>0</v>
      </c>
      <c r="V45" s="46">
        <f t="shared" si="11"/>
        <v>0</v>
      </c>
      <c r="W45" s="46">
        <f t="shared" si="11"/>
        <v>0</v>
      </c>
      <c r="X45" s="46">
        <f t="shared" si="11"/>
        <v>0</v>
      </c>
      <c r="Y45" s="46">
        <f t="shared" si="11"/>
        <v>0</v>
      </c>
      <c r="Z45" s="46">
        <f t="shared" si="11"/>
        <v>0</v>
      </c>
      <c r="AA45" s="46">
        <f t="shared" si="11"/>
        <v>0</v>
      </c>
      <c r="AB45" s="46">
        <f t="shared" si="11"/>
        <v>0</v>
      </c>
      <c r="AC45" s="46">
        <f t="shared" si="11"/>
        <v>0</v>
      </c>
      <c r="AD45" s="46">
        <f t="shared" si="11"/>
        <v>0</v>
      </c>
      <c r="AE45" s="46">
        <f t="shared" si="11"/>
        <v>0</v>
      </c>
      <c r="AF45" s="46">
        <f t="shared" si="11"/>
        <v>0</v>
      </c>
      <c r="AG45" s="46">
        <f t="shared" si="11"/>
        <v>0</v>
      </c>
      <c r="AH45" s="46">
        <f t="shared" si="11"/>
        <v>0</v>
      </c>
      <c r="AI45" s="46">
        <f t="shared" si="11"/>
        <v>0</v>
      </c>
      <c r="AJ45" s="46">
        <f t="shared" si="11"/>
        <v>0</v>
      </c>
      <c r="AK45" s="46">
        <f t="shared" si="11"/>
        <v>0</v>
      </c>
      <c r="AL45" s="46">
        <f t="shared" si="11"/>
        <v>0</v>
      </c>
      <c r="AM45" s="46">
        <f t="shared" si="11"/>
        <v>0</v>
      </c>
      <c r="AN45" s="46">
        <f t="shared" si="11"/>
        <v>0</v>
      </c>
      <c r="AO45" s="46">
        <f t="shared" si="11"/>
        <v>0</v>
      </c>
      <c r="AP45" s="46">
        <f t="shared" si="11"/>
        <v>0</v>
      </c>
      <c r="AQ45" s="46">
        <f t="shared" si="11"/>
        <v>0</v>
      </c>
      <c r="AR45" s="46">
        <f t="shared" si="11"/>
        <v>0</v>
      </c>
      <c r="AS45" s="46">
        <f t="shared" si="11"/>
        <v>0</v>
      </c>
      <c r="AT45" s="46">
        <f t="shared" si="11"/>
        <v>0</v>
      </c>
      <c r="AU45" s="46">
        <f t="shared" si="11"/>
        <v>0</v>
      </c>
      <c r="AV45" s="46">
        <f t="shared" si="11"/>
        <v>0</v>
      </c>
      <c r="AW45" s="46">
        <f t="shared" si="11"/>
        <v>0</v>
      </c>
      <c r="AX45" s="46">
        <f t="shared" si="11"/>
        <v>0</v>
      </c>
      <c r="AY45" s="46">
        <f t="shared" si="11"/>
        <v>0</v>
      </c>
      <c r="AZ45" s="46">
        <f t="shared" si="11"/>
        <v>0</v>
      </c>
      <c r="BA45" s="46">
        <f t="shared" si="11"/>
        <v>0</v>
      </c>
      <c r="BB45" s="46">
        <f t="shared" si="11"/>
        <v>0</v>
      </c>
      <c r="BC45" s="46">
        <f t="shared" si="11"/>
        <v>0</v>
      </c>
      <c r="BD45" s="46">
        <f t="shared" si="11"/>
        <v>0</v>
      </c>
      <c r="BE45" s="46">
        <f t="shared" si="11"/>
        <v>0</v>
      </c>
      <c r="BF45" s="46">
        <f t="shared" si="11"/>
        <v>0</v>
      </c>
      <c r="BG45" s="46">
        <f t="shared" si="11"/>
        <v>0</v>
      </c>
      <c r="BH45" s="46">
        <f t="shared" si="11"/>
        <v>0</v>
      </c>
      <c r="BI45" s="46">
        <f t="shared" si="11"/>
        <v>0</v>
      </c>
      <c r="BJ45" s="46">
        <f t="shared" si="11"/>
        <v>0</v>
      </c>
      <c r="BK45" s="46">
        <f t="shared" si="11"/>
        <v>0</v>
      </c>
      <c r="BL45" s="46">
        <f t="shared" si="11"/>
        <v>0</v>
      </c>
      <c r="BM45" s="50">
        <f t="shared" si="7"/>
        <v>0</v>
      </c>
    </row>
    <row r="46" spans="6:65" ht="21" x14ac:dyDescent="0.15">
      <c r="F46" s="12" t="s">
        <v>930</v>
      </c>
      <c r="G46" s="206" t="s">
        <v>90</v>
      </c>
      <c r="H46" s="4" t="s">
        <v>91</v>
      </c>
      <c r="I46" s="45">
        <f t="shared" si="1"/>
        <v>0</v>
      </c>
      <c r="J46" s="56">
        <f t="shared" si="2"/>
        <v>0</v>
      </c>
      <c r="K46" s="56">
        <f t="shared" si="3"/>
        <v>0</v>
      </c>
      <c r="L46" s="56">
        <f t="shared" si="4"/>
        <v>0</v>
      </c>
      <c r="M46" s="56">
        <f t="shared" si="5"/>
        <v>0</v>
      </c>
      <c r="N46" s="56">
        <f t="shared" si="6"/>
        <v>0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50">
        <f t="shared" si="7"/>
        <v>0</v>
      </c>
    </row>
    <row r="47" spans="6:65" x14ac:dyDescent="0.15">
      <c r="F47" s="12" t="s">
        <v>930</v>
      </c>
      <c r="G47" s="206" t="s">
        <v>92</v>
      </c>
      <c r="H47" s="53" t="s">
        <v>93</v>
      </c>
      <c r="I47" s="45">
        <f t="shared" si="1"/>
        <v>0</v>
      </c>
      <c r="J47" s="56">
        <f t="shared" si="2"/>
        <v>0</v>
      </c>
      <c r="K47" s="56">
        <f t="shared" si="3"/>
        <v>0</v>
      </c>
      <c r="L47" s="56">
        <f t="shared" si="4"/>
        <v>0</v>
      </c>
      <c r="M47" s="56">
        <f t="shared" si="5"/>
        <v>0</v>
      </c>
      <c r="N47" s="56">
        <f t="shared" si="6"/>
        <v>0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50">
        <f t="shared" si="7"/>
        <v>0</v>
      </c>
    </row>
    <row r="48" spans="6:65" x14ac:dyDescent="0.15">
      <c r="F48" s="12" t="s">
        <v>930</v>
      </c>
      <c r="G48" s="206" t="s">
        <v>94</v>
      </c>
      <c r="H48" s="4" t="s">
        <v>95</v>
      </c>
      <c r="I48" s="45">
        <f t="shared" si="1"/>
        <v>0</v>
      </c>
      <c r="J48" s="56">
        <f t="shared" si="2"/>
        <v>0</v>
      </c>
      <c r="K48" s="56">
        <f t="shared" si="3"/>
        <v>0</v>
      </c>
      <c r="L48" s="56">
        <f t="shared" si="4"/>
        <v>0</v>
      </c>
      <c r="M48" s="56">
        <f t="shared" si="5"/>
        <v>0</v>
      </c>
      <c r="N48" s="56">
        <f t="shared" si="6"/>
        <v>0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50">
        <f t="shared" si="7"/>
        <v>0</v>
      </c>
    </row>
    <row r="49" spans="6:65" x14ac:dyDescent="0.15">
      <c r="F49" s="12" t="s">
        <v>930</v>
      </c>
      <c r="G49" s="206" t="s">
        <v>96</v>
      </c>
      <c r="H49" s="4" t="s">
        <v>97</v>
      </c>
      <c r="I49" s="45">
        <f t="shared" si="1"/>
        <v>0</v>
      </c>
      <c r="J49" s="56">
        <f t="shared" si="2"/>
        <v>0</v>
      </c>
      <c r="K49" s="56">
        <f t="shared" si="3"/>
        <v>0</v>
      </c>
      <c r="L49" s="56">
        <f t="shared" si="4"/>
        <v>0</v>
      </c>
      <c r="M49" s="56">
        <f t="shared" si="5"/>
        <v>0</v>
      </c>
      <c r="N49" s="56">
        <f t="shared" si="6"/>
        <v>0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50">
        <f t="shared" si="7"/>
        <v>0</v>
      </c>
    </row>
    <row r="50" spans="6:65" x14ac:dyDescent="0.15">
      <c r="F50" s="12" t="s">
        <v>930</v>
      </c>
      <c r="G50" s="206" t="s">
        <v>98</v>
      </c>
      <c r="H50" s="53" t="s">
        <v>99</v>
      </c>
      <c r="I50" s="45">
        <f t="shared" si="1"/>
        <v>0</v>
      </c>
      <c r="J50" s="56">
        <f t="shared" si="2"/>
        <v>0</v>
      </c>
      <c r="K50" s="56">
        <f t="shared" si="3"/>
        <v>0</v>
      </c>
      <c r="L50" s="56">
        <f t="shared" si="4"/>
        <v>0</v>
      </c>
      <c r="M50" s="56">
        <f t="shared" si="5"/>
        <v>0</v>
      </c>
      <c r="N50" s="56">
        <f t="shared" si="6"/>
        <v>0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50">
        <f t="shared" si="7"/>
        <v>0</v>
      </c>
    </row>
    <row r="51" spans="6:65" x14ac:dyDescent="0.15">
      <c r="F51" s="12" t="s">
        <v>930</v>
      </c>
      <c r="G51" s="206" t="s">
        <v>100</v>
      </c>
      <c r="H51" s="4" t="s">
        <v>101</v>
      </c>
      <c r="I51" s="45">
        <f t="shared" si="1"/>
        <v>0</v>
      </c>
      <c r="J51" s="56">
        <f t="shared" si="2"/>
        <v>0</v>
      </c>
      <c r="K51" s="56">
        <f t="shared" si="3"/>
        <v>0</v>
      </c>
      <c r="L51" s="56">
        <f t="shared" si="4"/>
        <v>0</v>
      </c>
      <c r="M51" s="56">
        <f t="shared" si="5"/>
        <v>0</v>
      </c>
      <c r="N51" s="56">
        <f t="shared" si="6"/>
        <v>0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50">
        <f t="shared" si="7"/>
        <v>0</v>
      </c>
    </row>
    <row r="52" spans="6:65" x14ac:dyDescent="0.15">
      <c r="F52" s="12" t="s">
        <v>928</v>
      </c>
      <c r="G52" s="205" t="s">
        <v>102</v>
      </c>
      <c r="H52" s="4" t="s">
        <v>638</v>
      </c>
      <c r="I52" s="45">
        <f t="shared" si="1"/>
        <v>0</v>
      </c>
      <c r="J52" s="56">
        <f t="shared" si="2"/>
        <v>0</v>
      </c>
      <c r="K52" s="56">
        <f t="shared" si="3"/>
        <v>0</v>
      </c>
      <c r="L52" s="56">
        <f t="shared" si="4"/>
        <v>0</v>
      </c>
      <c r="M52" s="56">
        <f t="shared" si="5"/>
        <v>0</v>
      </c>
      <c r="N52" s="56">
        <f t="shared" si="6"/>
        <v>0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50">
        <f t="shared" si="7"/>
        <v>0</v>
      </c>
    </row>
    <row r="53" spans="6:65" x14ac:dyDescent="0.15">
      <c r="F53" s="12" t="s">
        <v>930</v>
      </c>
      <c r="G53" s="205" t="s">
        <v>103</v>
      </c>
      <c r="H53" s="53" t="s">
        <v>104</v>
      </c>
      <c r="I53" s="45">
        <f t="shared" si="1"/>
        <v>0</v>
      </c>
      <c r="J53" s="56">
        <f t="shared" si="2"/>
        <v>0</v>
      </c>
      <c r="K53" s="56">
        <f t="shared" si="3"/>
        <v>0</v>
      </c>
      <c r="L53" s="56">
        <f t="shared" si="4"/>
        <v>0</v>
      </c>
      <c r="M53" s="56">
        <f t="shared" si="5"/>
        <v>0</v>
      </c>
      <c r="N53" s="56">
        <f t="shared" si="6"/>
        <v>0</v>
      </c>
      <c r="O53" s="46">
        <f t="shared" ref="O53:BL53" si="12">SUM(O54:O55)</f>
        <v>0</v>
      </c>
      <c r="P53" s="46">
        <f t="shared" si="12"/>
        <v>0</v>
      </c>
      <c r="Q53" s="46">
        <f t="shared" si="12"/>
        <v>0</v>
      </c>
      <c r="R53" s="46">
        <f t="shared" si="12"/>
        <v>0</v>
      </c>
      <c r="S53" s="46">
        <f t="shared" si="12"/>
        <v>0</v>
      </c>
      <c r="T53" s="46">
        <f t="shared" si="12"/>
        <v>0</v>
      </c>
      <c r="U53" s="46">
        <f t="shared" si="12"/>
        <v>0</v>
      </c>
      <c r="V53" s="46">
        <f t="shared" si="12"/>
        <v>0</v>
      </c>
      <c r="W53" s="46">
        <f t="shared" si="12"/>
        <v>0</v>
      </c>
      <c r="X53" s="46">
        <f t="shared" si="12"/>
        <v>0</v>
      </c>
      <c r="Y53" s="46">
        <f t="shared" si="12"/>
        <v>0</v>
      </c>
      <c r="Z53" s="46">
        <f t="shared" si="12"/>
        <v>0</v>
      </c>
      <c r="AA53" s="46">
        <f t="shared" si="12"/>
        <v>0</v>
      </c>
      <c r="AB53" s="46">
        <f t="shared" si="12"/>
        <v>0</v>
      </c>
      <c r="AC53" s="46">
        <f t="shared" si="12"/>
        <v>0</v>
      </c>
      <c r="AD53" s="46">
        <f t="shared" si="12"/>
        <v>0</v>
      </c>
      <c r="AE53" s="46">
        <f t="shared" si="12"/>
        <v>0</v>
      </c>
      <c r="AF53" s="46">
        <f t="shared" si="12"/>
        <v>0</v>
      </c>
      <c r="AG53" s="46">
        <f t="shared" si="12"/>
        <v>0</v>
      </c>
      <c r="AH53" s="46">
        <f t="shared" si="12"/>
        <v>0</v>
      </c>
      <c r="AI53" s="46">
        <f t="shared" si="12"/>
        <v>0</v>
      </c>
      <c r="AJ53" s="46">
        <f t="shared" si="12"/>
        <v>0</v>
      </c>
      <c r="AK53" s="46">
        <f t="shared" si="12"/>
        <v>0</v>
      </c>
      <c r="AL53" s="46">
        <f t="shared" si="12"/>
        <v>0</v>
      </c>
      <c r="AM53" s="46">
        <f t="shared" si="12"/>
        <v>0</v>
      </c>
      <c r="AN53" s="46">
        <f t="shared" si="12"/>
        <v>0</v>
      </c>
      <c r="AO53" s="46">
        <f t="shared" si="12"/>
        <v>0</v>
      </c>
      <c r="AP53" s="46">
        <f t="shared" si="12"/>
        <v>0</v>
      </c>
      <c r="AQ53" s="46">
        <f t="shared" si="12"/>
        <v>0</v>
      </c>
      <c r="AR53" s="46">
        <f t="shared" si="12"/>
        <v>0</v>
      </c>
      <c r="AS53" s="46">
        <f t="shared" si="12"/>
        <v>0</v>
      </c>
      <c r="AT53" s="46">
        <f t="shared" si="12"/>
        <v>0</v>
      </c>
      <c r="AU53" s="46">
        <f t="shared" si="12"/>
        <v>0</v>
      </c>
      <c r="AV53" s="46">
        <f t="shared" si="12"/>
        <v>0</v>
      </c>
      <c r="AW53" s="46">
        <f t="shared" si="12"/>
        <v>0</v>
      </c>
      <c r="AX53" s="46">
        <f t="shared" si="12"/>
        <v>0</v>
      </c>
      <c r="AY53" s="46">
        <f t="shared" si="12"/>
        <v>0</v>
      </c>
      <c r="AZ53" s="46">
        <f t="shared" si="12"/>
        <v>0</v>
      </c>
      <c r="BA53" s="46">
        <f t="shared" si="12"/>
        <v>0</v>
      </c>
      <c r="BB53" s="46">
        <f t="shared" si="12"/>
        <v>0</v>
      </c>
      <c r="BC53" s="46">
        <f t="shared" si="12"/>
        <v>0</v>
      </c>
      <c r="BD53" s="46">
        <f t="shared" si="12"/>
        <v>0</v>
      </c>
      <c r="BE53" s="46">
        <f t="shared" si="12"/>
        <v>0</v>
      </c>
      <c r="BF53" s="46">
        <f t="shared" si="12"/>
        <v>0</v>
      </c>
      <c r="BG53" s="46">
        <f t="shared" si="12"/>
        <v>0</v>
      </c>
      <c r="BH53" s="46">
        <f t="shared" si="12"/>
        <v>0</v>
      </c>
      <c r="BI53" s="46">
        <f t="shared" si="12"/>
        <v>0</v>
      </c>
      <c r="BJ53" s="46">
        <f t="shared" si="12"/>
        <v>0</v>
      </c>
      <c r="BK53" s="46">
        <f t="shared" si="12"/>
        <v>0</v>
      </c>
      <c r="BL53" s="46">
        <f t="shared" si="12"/>
        <v>0</v>
      </c>
      <c r="BM53" s="50">
        <f t="shared" si="7"/>
        <v>0</v>
      </c>
    </row>
    <row r="54" spans="6:65" ht="21" x14ac:dyDescent="0.15">
      <c r="F54" s="12" t="s">
        <v>930</v>
      </c>
      <c r="G54" s="206" t="s">
        <v>866</v>
      </c>
      <c r="H54" s="4" t="s">
        <v>105</v>
      </c>
      <c r="I54" s="45">
        <f t="shared" si="1"/>
        <v>0</v>
      </c>
      <c r="J54" s="56">
        <f t="shared" si="2"/>
        <v>0</v>
      </c>
      <c r="K54" s="56">
        <f t="shared" si="3"/>
        <v>0</v>
      </c>
      <c r="L54" s="56">
        <f t="shared" si="4"/>
        <v>0</v>
      </c>
      <c r="M54" s="56">
        <f t="shared" si="5"/>
        <v>0</v>
      </c>
      <c r="N54" s="56">
        <f t="shared" si="6"/>
        <v>0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50">
        <f t="shared" si="7"/>
        <v>0</v>
      </c>
    </row>
    <row r="55" spans="6:65" ht="21" x14ac:dyDescent="0.15">
      <c r="F55" s="12" t="s">
        <v>930</v>
      </c>
      <c r="G55" s="206" t="s">
        <v>106</v>
      </c>
      <c r="H55" s="4" t="s">
        <v>107</v>
      </c>
      <c r="I55" s="45">
        <f t="shared" si="1"/>
        <v>0</v>
      </c>
      <c r="J55" s="56">
        <f t="shared" si="2"/>
        <v>0</v>
      </c>
      <c r="K55" s="56">
        <f t="shared" si="3"/>
        <v>0</v>
      </c>
      <c r="L55" s="56">
        <f t="shared" si="4"/>
        <v>0</v>
      </c>
      <c r="M55" s="56">
        <f t="shared" si="5"/>
        <v>0</v>
      </c>
      <c r="N55" s="56">
        <f t="shared" si="6"/>
        <v>0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50">
        <f t="shared" si="7"/>
        <v>0</v>
      </c>
    </row>
    <row r="56" spans="6:65" x14ac:dyDescent="0.15">
      <c r="F56" s="12" t="s">
        <v>928</v>
      </c>
      <c r="G56" s="205" t="s">
        <v>108</v>
      </c>
      <c r="H56" s="53" t="s">
        <v>109</v>
      </c>
      <c r="I56" s="45">
        <f t="shared" si="1"/>
        <v>0</v>
      </c>
      <c r="J56" s="56">
        <f t="shared" si="2"/>
        <v>0</v>
      </c>
      <c r="K56" s="56">
        <f t="shared" si="3"/>
        <v>0</v>
      </c>
      <c r="L56" s="56">
        <f t="shared" si="4"/>
        <v>0</v>
      </c>
      <c r="M56" s="56">
        <f t="shared" si="5"/>
        <v>0</v>
      </c>
      <c r="N56" s="56">
        <f t="shared" si="6"/>
        <v>0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50">
        <f t="shared" si="7"/>
        <v>0</v>
      </c>
    </row>
    <row r="57" spans="6:65" x14ac:dyDescent="0.15">
      <c r="F57" s="12" t="s">
        <v>928</v>
      </c>
      <c r="G57" s="205" t="s">
        <v>110</v>
      </c>
      <c r="H57" s="4" t="s">
        <v>111</v>
      </c>
      <c r="I57" s="45">
        <f t="shared" si="1"/>
        <v>0</v>
      </c>
      <c r="J57" s="56">
        <f t="shared" si="2"/>
        <v>0</v>
      </c>
      <c r="K57" s="56">
        <f t="shared" si="3"/>
        <v>0</v>
      </c>
      <c r="L57" s="56">
        <f t="shared" si="4"/>
        <v>0</v>
      </c>
      <c r="M57" s="56">
        <f t="shared" si="5"/>
        <v>0</v>
      </c>
      <c r="N57" s="56">
        <f t="shared" si="6"/>
        <v>0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50">
        <f t="shared" si="7"/>
        <v>0</v>
      </c>
    </row>
    <row r="58" spans="6:65" x14ac:dyDescent="0.15">
      <c r="F58" s="12" t="s">
        <v>928</v>
      </c>
      <c r="G58" s="205" t="s">
        <v>112</v>
      </c>
      <c r="H58" s="4" t="s">
        <v>113</v>
      </c>
      <c r="I58" s="45">
        <f t="shared" si="1"/>
        <v>0</v>
      </c>
      <c r="J58" s="56">
        <f t="shared" si="2"/>
        <v>0</v>
      </c>
      <c r="K58" s="56">
        <f t="shared" si="3"/>
        <v>0</v>
      </c>
      <c r="L58" s="56">
        <f t="shared" si="4"/>
        <v>0</v>
      </c>
      <c r="M58" s="56">
        <f t="shared" si="5"/>
        <v>0</v>
      </c>
      <c r="N58" s="56">
        <f t="shared" si="6"/>
        <v>0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50">
        <f t="shared" si="7"/>
        <v>0</v>
      </c>
    </row>
    <row r="59" spans="6:65" x14ac:dyDescent="0.15">
      <c r="F59" s="12" t="s">
        <v>931</v>
      </c>
      <c r="G59" s="205" t="s">
        <v>114</v>
      </c>
      <c r="H59" s="53" t="s">
        <v>115</v>
      </c>
      <c r="I59" s="45">
        <f t="shared" si="1"/>
        <v>0</v>
      </c>
      <c r="J59" s="56">
        <f t="shared" si="2"/>
        <v>0</v>
      </c>
      <c r="K59" s="56">
        <f t="shared" si="3"/>
        <v>0</v>
      </c>
      <c r="L59" s="56">
        <f t="shared" si="4"/>
        <v>0</v>
      </c>
      <c r="M59" s="56">
        <f t="shared" si="5"/>
        <v>0</v>
      </c>
      <c r="N59" s="56">
        <f t="shared" si="6"/>
        <v>0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50">
        <f t="shared" si="7"/>
        <v>0</v>
      </c>
    </row>
    <row r="60" spans="6:65" x14ac:dyDescent="0.15">
      <c r="F60" s="12" t="s">
        <v>931</v>
      </c>
      <c r="G60" s="205" t="s">
        <v>116</v>
      </c>
      <c r="H60" s="4" t="s">
        <v>117</v>
      </c>
      <c r="I60" s="45">
        <f t="shared" si="1"/>
        <v>0</v>
      </c>
      <c r="J60" s="56">
        <f t="shared" si="2"/>
        <v>0</v>
      </c>
      <c r="K60" s="56">
        <f t="shared" si="3"/>
        <v>0</v>
      </c>
      <c r="L60" s="56">
        <f t="shared" si="4"/>
        <v>0</v>
      </c>
      <c r="M60" s="56">
        <f t="shared" si="5"/>
        <v>0</v>
      </c>
      <c r="N60" s="56">
        <f t="shared" si="6"/>
        <v>0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50">
        <f t="shared" si="7"/>
        <v>0</v>
      </c>
    </row>
    <row r="61" spans="6:65" x14ac:dyDescent="0.15">
      <c r="F61" s="12" t="s">
        <v>928</v>
      </c>
      <c r="G61" s="205" t="s">
        <v>118</v>
      </c>
      <c r="H61" s="4" t="s">
        <v>119</v>
      </c>
      <c r="I61" s="45">
        <f t="shared" si="1"/>
        <v>0</v>
      </c>
      <c r="J61" s="56">
        <f t="shared" si="2"/>
        <v>0</v>
      </c>
      <c r="K61" s="56">
        <f t="shared" si="3"/>
        <v>0</v>
      </c>
      <c r="L61" s="56">
        <f t="shared" si="4"/>
        <v>0</v>
      </c>
      <c r="M61" s="56">
        <f t="shared" si="5"/>
        <v>0</v>
      </c>
      <c r="N61" s="56">
        <f t="shared" si="6"/>
        <v>0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50">
        <f t="shared" si="7"/>
        <v>0</v>
      </c>
    </row>
    <row r="62" spans="6:65" x14ac:dyDescent="0.15">
      <c r="F62" s="12" t="s">
        <v>928</v>
      </c>
      <c r="G62" s="205" t="s">
        <v>120</v>
      </c>
      <c r="H62" s="53" t="s">
        <v>121</v>
      </c>
      <c r="I62" s="45">
        <f t="shared" si="1"/>
        <v>0</v>
      </c>
      <c r="J62" s="56">
        <f t="shared" si="2"/>
        <v>0</v>
      </c>
      <c r="K62" s="56">
        <f t="shared" si="3"/>
        <v>0</v>
      </c>
      <c r="L62" s="56">
        <f t="shared" si="4"/>
        <v>0</v>
      </c>
      <c r="M62" s="56">
        <f t="shared" si="5"/>
        <v>0</v>
      </c>
      <c r="N62" s="56">
        <f t="shared" si="6"/>
        <v>0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50">
        <f t="shared" si="7"/>
        <v>0</v>
      </c>
    </row>
    <row r="63" spans="6:65" x14ac:dyDescent="0.15">
      <c r="F63" s="12" t="s">
        <v>928</v>
      </c>
      <c r="G63" s="205" t="s">
        <v>122</v>
      </c>
      <c r="H63" s="4" t="s">
        <v>123</v>
      </c>
      <c r="I63" s="45">
        <f t="shared" si="1"/>
        <v>0</v>
      </c>
      <c r="J63" s="56">
        <f t="shared" si="2"/>
        <v>0</v>
      </c>
      <c r="K63" s="56">
        <f t="shared" si="3"/>
        <v>0</v>
      </c>
      <c r="L63" s="56">
        <f t="shared" si="4"/>
        <v>0</v>
      </c>
      <c r="M63" s="56">
        <f t="shared" si="5"/>
        <v>0</v>
      </c>
      <c r="N63" s="56">
        <f t="shared" si="6"/>
        <v>0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50">
        <f t="shared" si="7"/>
        <v>0</v>
      </c>
    </row>
    <row r="64" spans="6:65" x14ac:dyDescent="0.15">
      <c r="F64" s="12" t="s">
        <v>930</v>
      </c>
      <c r="G64" s="205" t="s">
        <v>124</v>
      </c>
      <c r="H64" s="4" t="s">
        <v>125</v>
      </c>
      <c r="I64" s="45">
        <f t="shared" si="1"/>
        <v>0</v>
      </c>
      <c r="J64" s="56">
        <f t="shared" si="2"/>
        <v>0</v>
      </c>
      <c r="K64" s="56">
        <f t="shared" si="3"/>
        <v>0</v>
      </c>
      <c r="L64" s="56">
        <f t="shared" si="4"/>
        <v>0</v>
      </c>
      <c r="M64" s="56">
        <f t="shared" si="5"/>
        <v>0</v>
      </c>
      <c r="N64" s="56">
        <f t="shared" si="6"/>
        <v>0</v>
      </c>
      <c r="O64" s="46">
        <f t="shared" ref="O64:BL64" si="13">SUM(O65:O67)</f>
        <v>0</v>
      </c>
      <c r="P64" s="46">
        <f t="shared" si="13"/>
        <v>0</v>
      </c>
      <c r="Q64" s="46">
        <f t="shared" si="13"/>
        <v>0</v>
      </c>
      <c r="R64" s="46">
        <f t="shared" si="13"/>
        <v>0</v>
      </c>
      <c r="S64" s="46">
        <f t="shared" si="13"/>
        <v>0</v>
      </c>
      <c r="T64" s="46">
        <f t="shared" si="13"/>
        <v>0</v>
      </c>
      <c r="U64" s="46">
        <f t="shared" si="13"/>
        <v>0</v>
      </c>
      <c r="V64" s="46">
        <f t="shared" si="13"/>
        <v>0</v>
      </c>
      <c r="W64" s="46">
        <f t="shared" si="13"/>
        <v>0</v>
      </c>
      <c r="X64" s="46">
        <f t="shared" si="13"/>
        <v>0</v>
      </c>
      <c r="Y64" s="46">
        <f t="shared" si="13"/>
        <v>0</v>
      </c>
      <c r="Z64" s="46">
        <f t="shared" si="13"/>
        <v>0</v>
      </c>
      <c r="AA64" s="46">
        <f t="shared" si="13"/>
        <v>0</v>
      </c>
      <c r="AB64" s="46">
        <f t="shared" si="13"/>
        <v>0</v>
      </c>
      <c r="AC64" s="46">
        <f t="shared" si="13"/>
        <v>0</v>
      </c>
      <c r="AD64" s="46">
        <f t="shared" si="13"/>
        <v>0</v>
      </c>
      <c r="AE64" s="46">
        <f t="shared" si="13"/>
        <v>0</v>
      </c>
      <c r="AF64" s="46">
        <f t="shared" si="13"/>
        <v>0</v>
      </c>
      <c r="AG64" s="46">
        <f t="shared" si="13"/>
        <v>0</v>
      </c>
      <c r="AH64" s="46">
        <f t="shared" si="13"/>
        <v>0</v>
      </c>
      <c r="AI64" s="46">
        <f t="shared" si="13"/>
        <v>0</v>
      </c>
      <c r="AJ64" s="46">
        <f t="shared" si="13"/>
        <v>0</v>
      </c>
      <c r="AK64" s="46">
        <f t="shared" si="13"/>
        <v>0</v>
      </c>
      <c r="AL64" s="46">
        <f t="shared" si="13"/>
        <v>0</v>
      </c>
      <c r="AM64" s="46">
        <f t="shared" si="13"/>
        <v>0</v>
      </c>
      <c r="AN64" s="46">
        <f t="shared" si="13"/>
        <v>0</v>
      </c>
      <c r="AO64" s="46">
        <f t="shared" si="13"/>
        <v>0</v>
      </c>
      <c r="AP64" s="46">
        <f t="shared" si="13"/>
        <v>0</v>
      </c>
      <c r="AQ64" s="46">
        <f t="shared" si="13"/>
        <v>0</v>
      </c>
      <c r="AR64" s="46">
        <f t="shared" si="13"/>
        <v>0</v>
      </c>
      <c r="AS64" s="46">
        <f t="shared" si="13"/>
        <v>0</v>
      </c>
      <c r="AT64" s="46">
        <f t="shared" si="13"/>
        <v>0</v>
      </c>
      <c r="AU64" s="46">
        <f t="shared" si="13"/>
        <v>0</v>
      </c>
      <c r="AV64" s="46">
        <f t="shared" si="13"/>
        <v>0</v>
      </c>
      <c r="AW64" s="46">
        <f t="shared" si="13"/>
        <v>0</v>
      </c>
      <c r="AX64" s="46">
        <f t="shared" si="13"/>
        <v>0</v>
      </c>
      <c r="AY64" s="46">
        <f t="shared" si="13"/>
        <v>0</v>
      </c>
      <c r="AZ64" s="46">
        <f t="shared" si="13"/>
        <v>0</v>
      </c>
      <c r="BA64" s="46">
        <f t="shared" si="13"/>
        <v>0</v>
      </c>
      <c r="BB64" s="46">
        <f t="shared" si="13"/>
        <v>0</v>
      </c>
      <c r="BC64" s="46">
        <f t="shared" si="13"/>
        <v>0</v>
      </c>
      <c r="BD64" s="46">
        <f t="shared" si="13"/>
        <v>0</v>
      </c>
      <c r="BE64" s="46">
        <f t="shared" si="13"/>
        <v>0</v>
      </c>
      <c r="BF64" s="46">
        <f t="shared" si="13"/>
        <v>0</v>
      </c>
      <c r="BG64" s="46">
        <f t="shared" si="13"/>
        <v>0</v>
      </c>
      <c r="BH64" s="46">
        <f t="shared" si="13"/>
        <v>0</v>
      </c>
      <c r="BI64" s="46">
        <f t="shared" si="13"/>
        <v>0</v>
      </c>
      <c r="BJ64" s="46">
        <f t="shared" si="13"/>
        <v>0</v>
      </c>
      <c r="BK64" s="46">
        <f t="shared" si="13"/>
        <v>0</v>
      </c>
      <c r="BL64" s="46">
        <f t="shared" si="13"/>
        <v>0</v>
      </c>
      <c r="BM64" s="50">
        <f t="shared" si="7"/>
        <v>0</v>
      </c>
    </row>
    <row r="65" spans="6:65" ht="21" x14ac:dyDescent="0.15">
      <c r="F65" s="12" t="s">
        <v>930</v>
      </c>
      <c r="G65" s="206" t="s">
        <v>867</v>
      </c>
      <c r="H65" s="53" t="s">
        <v>126</v>
      </c>
      <c r="I65" s="45">
        <f t="shared" si="1"/>
        <v>0</v>
      </c>
      <c r="J65" s="56">
        <f t="shared" si="2"/>
        <v>0</v>
      </c>
      <c r="K65" s="56">
        <f t="shared" si="3"/>
        <v>0</v>
      </c>
      <c r="L65" s="56">
        <f t="shared" si="4"/>
        <v>0</v>
      </c>
      <c r="M65" s="56">
        <f t="shared" si="5"/>
        <v>0</v>
      </c>
      <c r="N65" s="56">
        <f t="shared" si="6"/>
        <v>0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50">
        <f t="shared" si="7"/>
        <v>0</v>
      </c>
    </row>
    <row r="66" spans="6:65" x14ac:dyDescent="0.15">
      <c r="F66" s="12" t="s">
        <v>930</v>
      </c>
      <c r="G66" s="206" t="s">
        <v>127</v>
      </c>
      <c r="H66" s="4" t="s">
        <v>128</v>
      </c>
      <c r="I66" s="45">
        <f t="shared" si="1"/>
        <v>0</v>
      </c>
      <c r="J66" s="56">
        <f t="shared" si="2"/>
        <v>0</v>
      </c>
      <c r="K66" s="56">
        <f t="shared" si="3"/>
        <v>0</v>
      </c>
      <c r="L66" s="56">
        <f t="shared" si="4"/>
        <v>0</v>
      </c>
      <c r="M66" s="56">
        <f t="shared" si="5"/>
        <v>0</v>
      </c>
      <c r="N66" s="56">
        <f t="shared" si="6"/>
        <v>0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50">
        <f t="shared" si="7"/>
        <v>0</v>
      </c>
    </row>
    <row r="67" spans="6:65" x14ac:dyDescent="0.15">
      <c r="F67" s="12" t="s">
        <v>930</v>
      </c>
      <c r="G67" s="206" t="s">
        <v>129</v>
      </c>
      <c r="H67" s="4" t="s">
        <v>130</v>
      </c>
      <c r="I67" s="45">
        <f t="shared" si="1"/>
        <v>0</v>
      </c>
      <c r="J67" s="56">
        <f t="shared" si="2"/>
        <v>0</v>
      </c>
      <c r="K67" s="56">
        <f t="shared" si="3"/>
        <v>0</v>
      </c>
      <c r="L67" s="56">
        <f t="shared" si="4"/>
        <v>0</v>
      </c>
      <c r="M67" s="56">
        <f t="shared" si="5"/>
        <v>0</v>
      </c>
      <c r="N67" s="56">
        <f t="shared" si="6"/>
        <v>0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50">
        <f t="shared" si="7"/>
        <v>0</v>
      </c>
    </row>
    <row r="68" spans="6:65" x14ac:dyDescent="0.15">
      <c r="F68" s="12" t="s">
        <v>928</v>
      </c>
      <c r="G68" s="205" t="s">
        <v>131</v>
      </c>
      <c r="H68" s="53" t="s">
        <v>132</v>
      </c>
      <c r="I68" s="45">
        <f t="shared" si="1"/>
        <v>0</v>
      </c>
      <c r="J68" s="56">
        <f t="shared" si="2"/>
        <v>0</v>
      </c>
      <c r="K68" s="56">
        <f t="shared" si="3"/>
        <v>0</v>
      </c>
      <c r="L68" s="56">
        <f t="shared" si="4"/>
        <v>0</v>
      </c>
      <c r="M68" s="56">
        <f t="shared" si="5"/>
        <v>0</v>
      </c>
      <c r="N68" s="56">
        <f t="shared" si="6"/>
        <v>0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50">
        <f t="shared" si="7"/>
        <v>0</v>
      </c>
    </row>
    <row r="69" spans="6:65" x14ac:dyDescent="0.15">
      <c r="F69" s="12" t="s">
        <v>928</v>
      </c>
      <c r="G69" s="205" t="s">
        <v>133</v>
      </c>
      <c r="H69" s="4" t="s">
        <v>134</v>
      </c>
      <c r="I69" s="45">
        <f t="shared" si="1"/>
        <v>0</v>
      </c>
      <c r="J69" s="56">
        <f t="shared" si="2"/>
        <v>0</v>
      </c>
      <c r="K69" s="56">
        <f t="shared" si="3"/>
        <v>0</v>
      </c>
      <c r="L69" s="56">
        <f t="shared" si="4"/>
        <v>0</v>
      </c>
      <c r="M69" s="56">
        <f t="shared" si="5"/>
        <v>0</v>
      </c>
      <c r="N69" s="56">
        <f t="shared" si="6"/>
        <v>0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50">
        <f t="shared" si="7"/>
        <v>0</v>
      </c>
    </row>
    <row r="70" spans="6:65" x14ac:dyDescent="0.15">
      <c r="F70" s="12" t="s">
        <v>930</v>
      </c>
      <c r="G70" s="205" t="s">
        <v>135</v>
      </c>
      <c r="H70" s="4" t="s">
        <v>136</v>
      </c>
      <c r="I70" s="45">
        <f t="shared" si="1"/>
        <v>0</v>
      </c>
      <c r="J70" s="56">
        <f t="shared" si="2"/>
        <v>0</v>
      </c>
      <c r="K70" s="56">
        <f t="shared" si="3"/>
        <v>0</v>
      </c>
      <c r="L70" s="56">
        <f t="shared" si="4"/>
        <v>0</v>
      </c>
      <c r="M70" s="56">
        <f t="shared" si="5"/>
        <v>0</v>
      </c>
      <c r="N70" s="56">
        <f t="shared" si="6"/>
        <v>0</v>
      </c>
      <c r="O70" s="46">
        <f t="shared" ref="O70:BL70" si="14">SUM(O71:O72)</f>
        <v>0</v>
      </c>
      <c r="P70" s="46">
        <f t="shared" si="14"/>
        <v>0</v>
      </c>
      <c r="Q70" s="46">
        <f t="shared" si="14"/>
        <v>0</v>
      </c>
      <c r="R70" s="46">
        <f t="shared" si="14"/>
        <v>0</v>
      </c>
      <c r="S70" s="46">
        <f t="shared" si="14"/>
        <v>0</v>
      </c>
      <c r="T70" s="46">
        <f t="shared" si="14"/>
        <v>0</v>
      </c>
      <c r="U70" s="46">
        <f t="shared" si="14"/>
        <v>0</v>
      </c>
      <c r="V70" s="46">
        <f t="shared" si="14"/>
        <v>0</v>
      </c>
      <c r="W70" s="46">
        <f t="shared" si="14"/>
        <v>0</v>
      </c>
      <c r="X70" s="46">
        <f t="shared" si="14"/>
        <v>0</v>
      </c>
      <c r="Y70" s="46">
        <f t="shared" si="14"/>
        <v>0</v>
      </c>
      <c r="Z70" s="46">
        <f t="shared" si="14"/>
        <v>0</v>
      </c>
      <c r="AA70" s="46">
        <f t="shared" si="14"/>
        <v>0</v>
      </c>
      <c r="AB70" s="46">
        <f t="shared" si="14"/>
        <v>0</v>
      </c>
      <c r="AC70" s="46">
        <f t="shared" si="14"/>
        <v>0</v>
      </c>
      <c r="AD70" s="46">
        <f t="shared" si="14"/>
        <v>0</v>
      </c>
      <c r="AE70" s="46">
        <f t="shared" si="14"/>
        <v>0</v>
      </c>
      <c r="AF70" s="46">
        <f t="shared" si="14"/>
        <v>0</v>
      </c>
      <c r="AG70" s="46">
        <f t="shared" si="14"/>
        <v>0</v>
      </c>
      <c r="AH70" s="46">
        <f t="shared" si="14"/>
        <v>0</v>
      </c>
      <c r="AI70" s="46">
        <f t="shared" si="14"/>
        <v>0</v>
      </c>
      <c r="AJ70" s="46">
        <f t="shared" si="14"/>
        <v>0</v>
      </c>
      <c r="AK70" s="46">
        <f t="shared" si="14"/>
        <v>0</v>
      </c>
      <c r="AL70" s="46">
        <f t="shared" si="14"/>
        <v>0</v>
      </c>
      <c r="AM70" s="46">
        <f t="shared" si="14"/>
        <v>0</v>
      </c>
      <c r="AN70" s="46">
        <f t="shared" si="14"/>
        <v>0</v>
      </c>
      <c r="AO70" s="46">
        <f t="shared" si="14"/>
        <v>0</v>
      </c>
      <c r="AP70" s="46">
        <f t="shared" si="14"/>
        <v>0</v>
      </c>
      <c r="AQ70" s="46">
        <f t="shared" si="14"/>
        <v>0</v>
      </c>
      <c r="AR70" s="46">
        <f t="shared" si="14"/>
        <v>0</v>
      </c>
      <c r="AS70" s="46">
        <f t="shared" si="14"/>
        <v>0</v>
      </c>
      <c r="AT70" s="46">
        <f t="shared" si="14"/>
        <v>0</v>
      </c>
      <c r="AU70" s="46">
        <f t="shared" si="14"/>
        <v>0</v>
      </c>
      <c r="AV70" s="46">
        <f t="shared" si="14"/>
        <v>0</v>
      </c>
      <c r="AW70" s="46">
        <f t="shared" si="14"/>
        <v>0</v>
      </c>
      <c r="AX70" s="46">
        <f t="shared" si="14"/>
        <v>0</v>
      </c>
      <c r="AY70" s="46">
        <f t="shared" si="14"/>
        <v>0</v>
      </c>
      <c r="AZ70" s="46">
        <f t="shared" si="14"/>
        <v>0</v>
      </c>
      <c r="BA70" s="46">
        <f t="shared" si="14"/>
        <v>0</v>
      </c>
      <c r="BB70" s="46">
        <f t="shared" si="14"/>
        <v>0</v>
      </c>
      <c r="BC70" s="46">
        <f t="shared" si="14"/>
        <v>0</v>
      </c>
      <c r="BD70" s="46">
        <f t="shared" si="14"/>
        <v>0</v>
      </c>
      <c r="BE70" s="46">
        <f t="shared" si="14"/>
        <v>0</v>
      </c>
      <c r="BF70" s="46">
        <f t="shared" si="14"/>
        <v>0</v>
      </c>
      <c r="BG70" s="46">
        <f t="shared" si="14"/>
        <v>0</v>
      </c>
      <c r="BH70" s="46">
        <f t="shared" si="14"/>
        <v>0</v>
      </c>
      <c r="BI70" s="46">
        <f t="shared" si="14"/>
        <v>0</v>
      </c>
      <c r="BJ70" s="46">
        <f t="shared" si="14"/>
        <v>0</v>
      </c>
      <c r="BK70" s="46">
        <f t="shared" si="14"/>
        <v>0</v>
      </c>
      <c r="BL70" s="46">
        <f t="shared" si="14"/>
        <v>0</v>
      </c>
      <c r="BM70" s="50">
        <f t="shared" si="7"/>
        <v>0</v>
      </c>
    </row>
    <row r="71" spans="6:65" ht="21" x14ac:dyDescent="0.15">
      <c r="F71" s="12" t="s">
        <v>930</v>
      </c>
      <c r="G71" s="206" t="s">
        <v>868</v>
      </c>
      <c r="H71" s="53" t="s">
        <v>137</v>
      </c>
      <c r="I71" s="45">
        <f t="shared" si="1"/>
        <v>0</v>
      </c>
      <c r="J71" s="56">
        <f t="shared" si="2"/>
        <v>0</v>
      </c>
      <c r="K71" s="56">
        <f t="shared" si="3"/>
        <v>0</v>
      </c>
      <c r="L71" s="56">
        <f t="shared" si="4"/>
        <v>0</v>
      </c>
      <c r="M71" s="56">
        <f t="shared" si="5"/>
        <v>0</v>
      </c>
      <c r="N71" s="56">
        <f t="shared" si="6"/>
        <v>0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50">
        <f t="shared" si="7"/>
        <v>0</v>
      </c>
    </row>
    <row r="72" spans="6:65" x14ac:dyDescent="0.15">
      <c r="F72" s="12" t="s">
        <v>930</v>
      </c>
      <c r="G72" s="206" t="s">
        <v>138</v>
      </c>
      <c r="H72" s="4" t="s">
        <v>139</v>
      </c>
      <c r="I72" s="45">
        <f t="shared" si="1"/>
        <v>0</v>
      </c>
      <c r="J72" s="56">
        <f t="shared" si="2"/>
        <v>0</v>
      </c>
      <c r="K72" s="56">
        <f t="shared" si="3"/>
        <v>0</v>
      </c>
      <c r="L72" s="56">
        <f t="shared" si="4"/>
        <v>0</v>
      </c>
      <c r="M72" s="56">
        <f t="shared" si="5"/>
        <v>0</v>
      </c>
      <c r="N72" s="56">
        <f t="shared" si="6"/>
        <v>0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50">
        <f t="shared" si="7"/>
        <v>0</v>
      </c>
    </row>
    <row r="73" spans="6:65" x14ac:dyDescent="0.15">
      <c r="F73" s="12" t="s">
        <v>928</v>
      </c>
      <c r="G73" s="205" t="s">
        <v>140</v>
      </c>
      <c r="H73" s="4" t="s">
        <v>141</v>
      </c>
      <c r="I73" s="45">
        <f t="shared" si="1"/>
        <v>0</v>
      </c>
      <c r="J73" s="56">
        <f t="shared" si="2"/>
        <v>0</v>
      </c>
      <c r="K73" s="56">
        <f t="shared" si="3"/>
        <v>0</v>
      </c>
      <c r="L73" s="56">
        <f t="shared" si="4"/>
        <v>0</v>
      </c>
      <c r="M73" s="56">
        <f t="shared" si="5"/>
        <v>0</v>
      </c>
      <c r="N73" s="56">
        <f t="shared" si="6"/>
        <v>0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50">
        <f t="shared" si="7"/>
        <v>0</v>
      </c>
    </row>
    <row r="74" spans="6:65" x14ac:dyDescent="0.15">
      <c r="F74" s="12" t="s">
        <v>928</v>
      </c>
      <c r="G74" s="205" t="s">
        <v>142</v>
      </c>
      <c r="H74" s="53" t="s">
        <v>143</v>
      </c>
      <c r="I74" s="45">
        <f t="shared" si="1"/>
        <v>0</v>
      </c>
      <c r="J74" s="56">
        <f t="shared" si="2"/>
        <v>0</v>
      </c>
      <c r="K74" s="56">
        <f t="shared" si="3"/>
        <v>0</v>
      </c>
      <c r="L74" s="56">
        <f t="shared" si="4"/>
        <v>0</v>
      </c>
      <c r="M74" s="56">
        <f t="shared" si="5"/>
        <v>0</v>
      </c>
      <c r="N74" s="56">
        <f t="shared" si="6"/>
        <v>0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50">
        <f t="shared" si="7"/>
        <v>0</v>
      </c>
    </row>
    <row r="75" spans="6:65" x14ac:dyDescent="0.15">
      <c r="F75" s="12" t="s">
        <v>930</v>
      </c>
      <c r="G75" s="205" t="s">
        <v>144</v>
      </c>
      <c r="H75" s="4" t="s">
        <v>145</v>
      </c>
      <c r="I75" s="45">
        <f t="shared" si="1"/>
        <v>0</v>
      </c>
      <c r="J75" s="56">
        <f t="shared" si="2"/>
        <v>0</v>
      </c>
      <c r="K75" s="56">
        <f t="shared" si="3"/>
        <v>0</v>
      </c>
      <c r="L75" s="56">
        <f t="shared" si="4"/>
        <v>0</v>
      </c>
      <c r="M75" s="56">
        <f t="shared" si="5"/>
        <v>0</v>
      </c>
      <c r="N75" s="56">
        <f t="shared" si="6"/>
        <v>0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50">
        <f t="shared" si="7"/>
        <v>0</v>
      </c>
    </row>
    <row r="76" spans="6:65" ht="21" x14ac:dyDescent="0.15">
      <c r="F76" s="12" t="s">
        <v>928</v>
      </c>
      <c r="G76" s="205" t="s">
        <v>146</v>
      </c>
      <c r="H76" s="4" t="s">
        <v>147</v>
      </c>
      <c r="I76" s="45">
        <f t="shared" ref="I76:I140" si="15">SUM(J76:L76)</f>
        <v>0</v>
      </c>
      <c r="J76" s="56">
        <f t="shared" ref="J76:J140" si="16">O76+T76+Y76+AD76+AI76+AN76+AS76+AX76+BC76+BH76</f>
        <v>0</v>
      </c>
      <c r="K76" s="56">
        <f t="shared" ref="K76:K140" si="17">P76+U76+Z76+AE76+AJ76+AO76+AT76+AY76+BD76+BI76</f>
        <v>0</v>
      </c>
      <c r="L76" s="56">
        <f t="shared" ref="L76:L140" si="18">Q76+V76+AA76+AF76+AK76+AP76+AU76+AZ76+BE76+BJ76</f>
        <v>0</v>
      </c>
      <c r="M76" s="56">
        <f t="shared" ref="M76:M140" si="19">R76+W76+AB76+AG76+AL76+AQ76+AV76+BA76+BF76+BK76</f>
        <v>0</v>
      </c>
      <c r="N76" s="56">
        <f t="shared" ref="N76:N140" si="20">S76+X76+AC76+AH76+AM76+AR76+AW76+BB76+BG76+BL76</f>
        <v>0</v>
      </c>
      <c r="O76" s="48">
        <f t="shared" ref="O76:BL76" si="21">SUM(O77:O80)</f>
        <v>0</v>
      </c>
      <c r="P76" s="48">
        <f t="shared" si="21"/>
        <v>0</v>
      </c>
      <c r="Q76" s="48">
        <f t="shared" si="21"/>
        <v>0</v>
      </c>
      <c r="R76" s="48">
        <f t="shared" si="21"/>
        <v>0</v>
      </c>
      <c r="S76" s="48">
        <f t="shared" si="21"/>
        <v>0</v>
      </c>
      <c r="T76" s="48">
        <f t="shared" si="21"/>
        <v>0</v>
      </c>
      <c r="U76" s="48">
        <f t="shared" si="21"/>
        <v>0</v>
      </c>
      <c r="V76" s="48">
        <f t="shared" si="21"/>
        <v>0</v>
      </c>
      <c r="W76" s="48">
        <f t="shared" si="21"/>
        <v>0</v>
      </c>
      <c r="X76" s="48">
        <f t="shared" si="21"/>
        <v>0</v>
      </c>
      <c r="Y76" s="48">
        <f t="shared" si="21"/>
        <v>0</v>
      </c>
      <c r="Z76" s="48">
        <f t="shared" si="21"/>
        <v>0</v>
      </c>
      <c r="AA76" s="48">
        <f t="shared" si="21"/>
        <v>0</v>
      </c>
      <c r="AB76" s="48">
        <f t="shared" si="21"/>
        <v>0</v>
      </c>
      <c r="AC76" s="48">
        <f t="shared" si="21"/>
        <v>0</v>
      </c>
      <c r="AD76" s="48">
        <f t="shared" si="21"/>
        <v>0</v>
      </c>
      <c r="AE76" s="48">
        <f t="shared" si="21"/>
        <v>0</v>
      </c>
      <c r="AF76" s="48">
        <f t="shared" si="21"/>
        <v>0</v>
      </c>
      <c r="AG76" s="48">
        <f t="shared" si="21"/>
        <v>0</v>
      </c>
      <c r="AH76" s="48">
        <f t="shared" si="21"/>
        <v>0</v>
      </c>
      <c r="AI76" s="48">
        <f t="shared" si="21"/>
        <v>0</v>
      </c>
      <c r="AJ76" s="48">
        <f t="shared" si="21"/>
        <v>0</v>
      </c>
      <c r="AK76" s="48">
        <f t="shared" si="21"/>
        <v>0</v>
      </c>
      <c r="AL76" s="48">
        <f t="shared" si="21"/>
        <v>0</v>
      </c>
      <c r="AM76" s="48">
        <f t="shared" si="21"/>
        <v>0</v>
      </c>
      <c r="AN76" s="48">
        <f t="shared" si="21"/>
        <v>0</v>
      </c>
      <c r="AO76" s="48">
        <f t="shared" si="21"/>
        <v>0</v>
      </c>
      <c r="AP76" s="48">
        <f t="shared" si="21"/>
        <v>0</v>
      </c>
      <c r="AQ76" s="48">
        <f t="shared" si="21"/>
        <v>0</v>
      </c>
      <c r="AR76" s="48">
        <f t="shared" si="21"/>
        <v>0</v>
      </c>
      <c r="AS76" s="48">
        <f t="shared" si="21"/>
        <v>0</v>
      </c>
      <c r="AT76" s="48">
        <f t="shared" si="21"/>
        <v>0</v>
      </c>
      <c r="AU76" s="48">
        <f t="shared" si="21"/>
        <v>0</v>
      </c>
      <c r="AV76" s="48">
        <f t="shared" si="21"/>
        <v>0</v>
      </c>
      <c r="AW76" s="48">
        <f t="shared" si="21"/>
        <v>0</v>
      </c>
      <c r="AX76" s="48">
        <f t="shared" si="21"/>
        <v>0</v>
      </c>
      <c r="AY76" s="48">
        <f t="shared" si="21"/>
        <v>0</v>
      </c>
      <c r="AZ76" s="48">
        <f t="shared" si="21"/>
        <v>0</v>
      </c>
      <c r="BA76" s="48">
        <f t="shared" si="21"/>
        <v>0</v>
      </c>
      <c r="BB76" s="48">
        <f t="shared" si="21"/>
        <v>0</v>
      </c>
      <c r="BC76" s="48">
        <f t="shared" si="21"/>
        <v>0</v>
      </c>
      <c r="BD76" s="48">
        <f t="shared" si="21"/>
        <v>0</v>
      </c>
      <c r="BE76" s="48">
        <f t="shared" si="21"/>
        <v>0</v>
      </c>
      <c r="BF76" s="48">
        <f t="shared" si="21"/>
        <v>0</v>
      </c>
      <c r="BG76" s="48">
        <f t="shared" si="21"/>
        <v>0</v>
      </c>
      <c r="BH76" s="48">
        <f t="shared" si="21"/>
        <v>0</v>
      </c>
      <c r="BI76" s="48">
        <f t="shared" si="21"/>
        <v>0</v>
      </c>
      <c r="BJ76" s="48">
        <f t="shared" si="21"/>
        <v>0</v>
      </c>
      <c r="BK76" s="48">
        <f t="shared" si="21"/>
        <v>0</v>
      </c>
      <c r="BL76" s="48">
        <f t="shared" si="21"/>
        <v>0</v>
      </c>
      <c r="BM76" s="50">
        <f t="shared" ref="BM76:BM140" si="22">SUM(I76:BL76)</f>
        <v>0</v>
      </c>
    </row>
    <row r="77" spans="6:65" ht="21" x14ac:dyDescent="0.15">
      <c r="F77" s="12" t="s">
        <v>928</v>
      </c>
      <c r="G77" s="206" t="s">
        <v>148</v>
      </c>
      <c r="H77" s="53" t="s">
        <v>149</v>
      </c>
      <c r="I77" s="45">
        <f t="shared" si="15"/>
        <v>0</v>
      </c>
      <c r="J77" s="56">
        <f t="shared" si="16"/>
        <v>0</v>
      </c>
      <c r="K77" s="56">
        <f t="shared" si="17"/>
        <v>0</v>
      </c>
      <c r="L77" s="56">
        <f t="shared" si="18"/>
        <v>0</v>
      </c>
      <c r="M77" s="56">
        <f t="shared" si="19"/>
        <v>0</v>
      </c>
      <c r="N77" s="56">
        <f t="shared" si="20"/>
        <v>0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50">
        <f t="shared" si="22"/>
        <v>0</v>
      </c>
    </row>
    <row r="78" spans="6:65" x14ac:dyDescent="0.15">
      <c r="F78" s="12" t="s">
        <v>928</v>
      </c>
      <c r="G78" s="206" t="s">
        <v>150</v>
      </c>
      <c r="H78" s="4" t="s">
        <v>151</v>
      </c>
      <c r="I78" s="45">
        <f t="shared" si="15"/>
        <v>0</v>
      </c>
      <c r="J78" s="56">
        <f t="shared" si="16"/>
        <v>0</v>
      </c>
      <c r="K78" s="56">
        <f t="shared" si="17"/>
        <v>0</v>
      </c>
      <c r="L78" s="56">
        <f t="shared" si="18"/>
        <v>0</v>
      </c>
      <c r="M78" s="56">
        <f t="shared" si="19"/>
        <v>0</v>
      </c>
      <c r="N78" s="56">
        <f t="shared" si="20"/>
        <v>0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50">
        <f t="shared" si="22"/>
        <v>0</v>
      </c>
    </row>
    <row r="79" spans="6:65" x14ac:dyDescent="0.15">
      <c r="F79" s="12" t="s">
        <v>928</v>
      </c>
      <c r="G79" s="206" t="s">
        <v>152</v>
      </c>
      <c r="H79" s="4" t="s">
        <v>153</v>
      </c>
      <c r="I79" s="45">
        <f t="shared" si="15"/>
        <v>0</v>
      </c>
      <c r="J79" s="56">
        <f t="shared" si="16"/>
        <v>0</v>
      </c>
      <c r="K79" s="56">
        <f t="shared" si="17"/>
        <v>0</v>
      </c>
      <c r="L79" s="56">
        <f t="shared" si="18"/>
        <v>0</v>
      </c>
      <c r="M79" s="56">
        <f t="shared" si="19"/>
        <v>0</v>
      </c>
      <c r="N79" s="56">
        <f t="shared" si="20"/>
        <v>0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50">
        <f t="shared" si="22"/>
        <v>0</v>
      </c>
    </row>
    <row r="80" spans="6:65" x14ac:dyDescent="0.15">
      <c r="F80" s="12" t="s">
        <v>928</v>
      </c>
      <c r="G80" s="206" t="s">
        <v>154</v>
      </c>
      <c r="H80" s="53" t="s">
        <v>155</v>
      </c>
      <c r="I80" s="45">
        <f t="shared" si="15"/>
        <v>0</v>
      </c>
      <c r="J80" s="56">
        <f t="shared" si="16"/>
        <v>0</v>
      </c>
      <c r="K80" s="56">
        <f t="shared" si="17"/>
        <v>0</v>
      </c>
      <c r="L80" s="56">
        <f t="shared" si="18"/>
        <v>0</v>
      </c>
      <c r="M80" s="56">
        <f t="shared" si="19"/>
        <v>0</v>
      </c>
      <c r="N80" s="56">
        <f t="shared" si="20"/>
        <v>0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50">
        <f t="shared" si="22"/>
        <v>0</v>
      </c>
    </row>
    <row r="81" spans="6:65" x14ac:dyDescent="0.15">
      <c r="F81" s="12" t="s">
        <v>932</v>
      </c>
      <c r="G81" s="205" t="s">
        <v>156</v>
      </c>
      <c r="H81" s="4" t="s">
        <v>157</v>
      </c>
      <c r="I81" s="45">
        <f t="shared" si="15"/>
        <v>0</v>
      </c>
      <c r="J81" s="56">
        <f t="shared" si="16"/>
        <v>0</v>
      </c>
      <c r="K81" s="56">
        <f t="shared" si="17"/>
        <v>0</v>
      </c>
      <c r="L81" s="56">
        <f t="shared" si="18"/>
        <v>0</v>
      </c>
      <c r="M81" s="56">
        <f t="shared" si="19"/>
        <v>0</v>
      </c>
      <c r="N81" s="56">
        <f t="shared" si="20"/>
        <v>0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50">
        <f t="shared" si="22"/>
        <v>0</v>
      </c>
    </row>
    <row r="82" spans="6:65" x14ac:dyDescent="0.15">
      <c r="F82" s="12" t="s">
        <v>928</v>
      </c>
      <c r="G82" s="205" t="s">
        <v>158</v>
      </c>
      <c r="H82" s="4" t="s">
        <v>159</v>
      </c>
      <c r="I82" s="45">
        <f t="shared" si="15"/>
        <v>0</v>
      </c>
      <c r="J82" s="56">
        <f t="shared" si="16"/>
        <v>0</v>
      </c>
      <c r="K82" s="56">
        <f t="shared" si="17"/>
        <v>0</v>
      </c>
      <c r="L82" s="56">
        <f t="shared" si="18"/>
        <v>0</v>
      </c>
      <c r="M82" s="56">
        <f t="shared" si="19"/>
        <v>0</v>
      </c>
      <c r="N82" s="56">
        <f t="shared" si="20"/>
        <v>0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50">
        <f t="shared" si="22"/>
        <v>0</v>
      </c>
    </row>
    <row r="83" spans="6:65" x14ac:dyDescent="0.15">
      <c r="F83" s="12" t="s">
        <v>929</v>
      </c>
      <c r="G83" s="205" t="s">
        <v>160</v>
      </c>
      <c r="H83" s="53" t="s">
        <v>161</v>
      </c>
      <c r="I83" s="45">
        <f t="shared" si="15"/>
        <v>0</v>
      </c>
      <c r="J83" s="56">
        <f t="shared" si="16"/>
        <v>0</v>
      </c>
      <c r="K83" s="56">
        <f t="shared" si="17"/>
        <v>0</v>
      </c>
      <c r="L83" s="56">
        <f t="shared" si="18"/>
        <v>0</v>
      </c>
      <c r="M83" s="56">
        <f t="shared" si="19"/>
        <v>0</v>
      </c>
      <c r="N83" s="56">
        <f t="shared" si="20"/>
        <v>0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50">
        <f t="shared" si="22"/>
        <v>0</v>
      </c>
    </row>
    <row r="84" spans="6:65" x14ac:dyDescent="0.15">
      <c r="F84" s="12" t="s">
        <v>928</v>
      </c>
      <c r="G84" s="205" t="s">
        <v>162</v>
      </c>
      <c r="H84" s="4" t="s">
        <v>163</v>
      </c>
      <c r="I84" s="45">
        <f t="shared" si="15"/>
        <v>0</v>
      </c>
      <c r="J84" s="56">
        <f t="shared" si="16"/>
        <v>0</v>
      </c>
      <c r="K84" s="56">
        <f t="shared" si="17"/>
        <v>0</v>
      </c>
      <c r="L84" s="56">
        <f t="shared" si="18"/>
        <v>0</v>
      </c>
      <c r="M84" s="56">
        <f t="shared" si="19"/>
        <v>0</v>
      </c>
      <c r="N84" s="56">
        <f t="shared" si="20"/>
        <v>0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50">
        <f t="shared" si="22"/>
        <v>0</v>
      </c>
    </row>
    <row r="85" spans="6:65" x14ac:dyDescent="0.15">
      <c r="F85" s="12" t="s">
        <v>930</v>
      </c>
      <c r="G85" s="205" t="s">
        <v>164</v>
      </c>
      <c r="H85" s="4" t="s">
        <v>165</v>
      </c>
      <c r="I85" s="45">
        <f t="shared" si="15"/>
        <v>0</v>
      </c>
      <c r="J85" s="56">
        <f t="shared" si="16"/>
        <v>0</v>
      </c>
      <c r="K85" s="56">
        <f t="shared" si="17"/>
        <v>0</v>
      </c>
      <c r="L85" s="56">
        <f t="shared" si="18"/>
        <v>0</v>
      </c>
      <c r="M85" s="56">
        <f t="shared" si="19"/>
        <v>0</v>
      </c>
      <c r="N85" s="56">
        <f t="shared" si="20"/>
        <v>0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50">
        <f t="shared" si="22"/>
        <v>0</v>
      </c>
    </row>
    <row r="86" spans="6:65" x14ac:dyDescent="0.15">
      <c r="F86" s="12" t="s">
        <v>931</v>
      </c>
      <c r="G86" s="205" t="s">
        <v>166</v>
      </c>
      <c r="H86" s="53" t="s">
        <v>167</v>
      </c>
      <c r="I86" s="45">
        <f t="shared" si="15"/>
        <v>0</v>
      </c>
      <c r="J86" s="56">
        <f t="shared" si="16"/>
        <v>0</v>
      </c>
      <c r="K86" s="56">
        <f t="shared" si="17"/>
        <v>0</v>
      </c>
      <c r="L86" s="56">
        <f t="shared" si="18"/>
        <v>0</v>
      </c>
      <c r="M86" s="56">
        <f t="shared" si="19"/>
        <v>0</v>
      </c>
      <c r="N86" s="56">
        <f t="shared" si="20"/>
        <v>0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50">
        <f t="shared" si="22"/>
        <v>0</v>
      </c>
    </row>
    <row r="87" spans="6:65" x14ac:dyDescent="0.15">
      <c r="F87" s="12" t="s">
        <v>930</v>
      </c>
      <c r="G87" s="205" t="s">
        <v>168</v>
      </c>
      <c r="H87" s="4" t="s">
        <v>169</v>
      </c>
      <c r="I87" s="45">
        <f t="shared" si="15"/>
        <v>0</v>
      </c>
      <c r="J87" s="56">
        <f t="shared" si="16"/>
        <v>0</v>
      </c>
      <c r="K87" s="56">
        <f t="shared" si="17"/>
        <v>0</v>
      </c>
      <c r="L87" s="56">
        <f t="shared" si="18"/>
        <v>0</v>
      </c>
      <c r="M87" s="56">
        <f t="shared" si="19"/>
        <v>0</v>
      </c>
      <c r="N87" s="56">
        <f t="shared" si="20"/>
        <v>0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50">
        <f t="shared" si="22"/>
        <v>0</v>
      </c>
    </row>
    <row r="88" spans="6:65" x14ac:dyDescent="0.15">
      <c r="F88" s="12" t="s">
        <v>930</v>
      </c>
      <c r="G88" s="205" t="s">
        <v>170</v>
      </c>
      <c r="H88" s="4" t="s">
        <v>171</v>
      </c>
      <c r="I88" s="45">
        <f t="shared" si="15"/>
        <v>0</v>
      </c>
      <c r="J88" s="56">
        <f t="shared" si="16"/>
        <v>0</v>
      </c>
      <c r="K88" s="56">
        <f t="shared" si="17"/>
        <v>0</v>
      </c>
      <c r="L88" s="56">
        <f t="shared" si="18"/>
        <v>0</v>
      </c>
      <c r="M88" s="56">
        <f t="shared" si="19"/>
        <v>0</v>
      </c>
      <c r="N88" s="56">
        <f t="shared" si="20"/>
        <v>0</v>
      </c>
      <c r="O88" s="46">
        <f t="shared" ref="O88:BL88" si="23">SUM(O89:O90)</f>
        <v>0</v>
      </c>
      <c r="P88" s="46">
        <f t="shared" si="23"/>
        <v>0</v>
      </c>
      <c r="Q88" s="46">
        <f t="shared" si="23"/>
        <v>0</v>
      </c>
      <c r="R88" s="46">
        <f t="shared" si="23"/>
        <v>0</v>
      </c>
      <c r="S88" s="46">
        <f t="shared" si="23"/>
        <v>0</v>
      </c>
      <c r="T88" s="46">
        <f t="shared" si="23"/>
        <v>0</v>
      </c>
      <c r="U88" s="46">
        <f t="shared" si="23"/>
        <v>0</v>
      </c>
      <c r="V88" s="46">
        <f t="shared" si="23"/>
        <v>0</v>
      </c>
      <c r="W88" s="46">
        <f t="shared" si="23"/>
        <v>0</v>
      </c>
      <c r="X88" s="46">
        <f t="shared" si="23"/>
        <v>0</v>
      </c>
      <c r="Y88" s="46">
        <f t="shared" si="23"/>
        <v>0</v>
      </c>
      <c r="Z88" s="46">
        <f t="shared" si="23"/>
        <v>0</v>
      </c>
      <c r="AA88" s="46">
        <f t="shared" si="23"/>
        <v>0</v>
      </c>
      <c r="AB88" s="46">
        <f t="shared" si="23"/>
        <v>0</v>
      </c>
      <c r="AC88" s="46">
        <f t="shared" si="23"/>
        <v>0</v>
      </c>
      <c r="AD88" s="46">
        <f t="shared" si="23"/>
        <v>0</v>
      </c>
      <c r="AE88" s="46">
        <f t="shared" si="23"/>
        <v>0</v>
      </c>
      <c r="AF88" s="46">
        <f t="shared" si="23"/>
        <v>0</v>
      </c>
      <c r="AG88" s="46">
        <f t="shared" si="23"/>
        <v>0</v>
      </c>
      <c r="AH88" s="46">
        <f t="shared" si="23"/>
        <v>0</v>
      </c>
      <c r="AI88" s="46">
        <f t="shared" si="23"/>
        <v>0</v>
      </c>
      <c r="AJ88" s="46">
        <f t="shared" si="23"/>
        <v>0</v>
      </c>
      <c r="AK88" s="46">
        <f t="shared" si="23"/>
        <v>0</v>
      </c>
      <c r="AL88" s="46">
        <f t="shared" si="23"/>
        <v>0</v>
      </c>
      <c r="AM88" s="46">
        <f t="shared" si="23"/>
        <v>0</v>
      </c>
      <c r="AN88" s="46">
        <f t="shared" si="23"/>
        <v>0</v>
      </c>
      <c r="AO88" s="46">
        <f t="shared" si="23"/>
        <v>0</v>
      </c>
      <c r="AP88" s="46">
        <f t="shared" si="23"/>
        <v>0</v>
      </c>
      <c r="AQ88" s="46">
        <f t="shared" si="23"/>
        <v>0</v>
      </c>
      <c r="AR88" s="46">
        <f t="shared" si="23"/>
        <v>0</v>
      </c>
      <c r="AS88" s="46">
        <f t="shared" si="23"/>
        <v>0</v>
      </c>
      <c r="AT88" s="46">
        <f t="shared" si="23"/>
        <v>0</v>
      </c>
      <c r="AU88" s="46">
        <f t="shared" si="23"/>
        <v>0</v>
      </c>
      <c r="AV88" s="46">
        <f t="shared" si="23"/>
        <v>0</v>
      </c>
      <c r="AW88" s="46">
        <f t="shared" si="23"/>
        <v>0</v>
      </c>
      <c r="AX88" s="46">
        <f t="shared" si="23"/>
        <v>0</v>
      </c>
      <c r="AY88" s="46">
        <f t="shared" si="23"/>
        <v>0</v>
      </c>
      <c r="AZ88" s="46">
        <f t="shared" si="23"/>
        <v>0</v>
      </c>
      <c r="BA88" s="46">
        <f t="shared" si="23"/>
        <v>0</v>
      </c>
      <c r="BB88" s="46">
        <f t="shared" si="23"/>
        <v>0</v>
      </c>
      <c r="BC88" s="46">
        <f t="shared" si="23"/>
        <v>0</v>
      </c>
      <c r="BD88" s="46">
        <f t="shared" si="23"/>
        <v>0</v>
      </c>
      <c r="BE88" s="46">
        <f t="shared" si="23"/>
        <v>0</v>
      </c>
      <c r="BF88" s="46">
        <f t="shared" si="23"/>
        <v>0</v>
      </c>
      <c r="BG88" s="46">
        <f t="shared" si="23"/>
        <v>0</v>
      </c>
      <c r="BH88" s="46">
        <f t="shared" si="23"/>
        <v>0</v>
      </c>
      <c r="BI88" s="46">
        <f t="shared" si="23"/>
        <v>0</v>
      </c>
      <c r="BJ88" s="46">
        <f t="shared" si="23"/>
        <v>0</v>
      </c>
      <c r="BK88" s="46">
        <f t="shared" si="23"/>
        <v>0</v>
      </c>
      <c r="BL88" s="46">
        <f t="shared" si="23"/>
        <v>0</v>
      </c>
      <c r="BM88" s="50">
        <f t="shared" si="22"/>
        <v>0</v>
      </c>
    </row>
    <row r="89" spans="6:65" ht="21" x14ac:dyDescent="0.15">
      <c r="F89" s="12" t="s">
        <v>930</v>
      </c>
      <c r="G89" s="206" t="s">
        <v>172</v>
      </c>
      <c r="H89" s="53" t="s">
        <v>173</v>
      </c>
      <c r="I89" s="45">
        <f t="shared" si="15"/>
        <v>0</v>
      </c>
      <c r="J89" s="56">
        <f t="shared" si="16"/>
        <v>0</v>
      </c>
      <c r="K89" s="56">
        <f t="shared" si="17"/>
        <v>0</v>
      </c>
      <c r="L89" s="56">
        <f t="shared" si="18"/>
        <v>0</v>
      </c>
      <c r="M89" s="56">
        <f t="shared" si="19"/>
        <v>0</v>
      </c>
      <c r="N89" s="56">
        <f t="shared" si="20"/>
        <v>0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50">
        <f t="shared" si="22"/>
        <v>0</v>
      </c>
    </row>
    <row r="90" spans="6:65" ht="21" x14ac:dyDescent="0.15">
      <c r="F90" s="12" t="s">
        <v>930</v>
      </c>
      <c r="G90" s="206" t="s">
        <v>174</v>
      </c>
      <c r="H90" s="4" t="s">
        <v>175</v>
      </c>
      <c r="I90" s="45">
        <f t="shared" si="15"/>
        <v>0</v>
      </c>
      <c r="J90" s="56">
        <f t="shared" si="16"/>
        <v>0</v>
      </c>
      <c r="K90" s="56">
        <f t="shared" si="17"/>
        <v>0</v>
      </c>
      <c r="L90" s="56">
        <f t="shared" si="18"/>
        <v>0</v>
      </c>
      <c r="M90" s="56">
        <f t="shared" si="19"/>
        <v>0</v>
      </c>
      <c r="N90" s="56">
        <f t="shared" si="20"/>
        <v>0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50">
        <f t="shared" si="22"/>
        <v>0</v>
      </c>
    </row>
    <row r="91" spans="6:65" x14ac:dyDescent="0.15">
      <c r="F91" s="12" t="s">
        <v>931</v>
      </c>
      <c r="G91" s="205" t="s">
        <v>176</v>
      </c>
      <c r="H91" s="4" t="s">
        <v>177</v>
      </c>
      <c r="I91" s="45">
        <f t="shared" si="15"/>
        <v>0</v>
      </c>
      <c r="J91" s="56">
        <f t="shared" si="16"/>
        <v>0</v>
      </c>
      <c r="K91" s="56">
        <f t="shared" si="17"/>
        <v>0</v>
      </c>
      <c r="L91" s="56">
        <f t="shared" si="18"/>
        <v>0</v>
      </c>
      <c r="M91" s="56">
        <f t="shared" si="19"/>
        <v>0</v>
      </c>
      <c r="N91" s="56">
        <f t="shared" si="20"/>
        <v>0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50">
        <f t="shared" si="22"/>
        <v>0</v>
      </c>
    </row>
    <row r="92" spans="6:65" x14ac:dyDescent="0.15">
      <c r="F92" s="12" t="s">
        <v>928</v>
      </c>
      <c r="G92" s="205" t="s">
        <v>178</v>
      </c>
      <c r="H92" s="53" t="s">
        <v>179</v>
      </c>
      <c r="I92" s="45">
        <f t="shared" si="15"/>
        <v>0</v>
      </c>
      <c r="J92" s="56">
        <f t="shared" si="16"/>
        <v>0</v>
      </c>
      <c r="K92" s="56">
        <f t="shared" si="17"/>
        <v>0</v>
      </c>
      <c r="L92" s="56">
        <f t="shared" si="18"/>
        <v>0</v>
      </c>
      <c r="M92" s="56">
        <f t="shared" si="19"/>
        <v>0</v>
      </c>
      <c r="N92" s="56">
        <f t="shared" si="20"/>
        <v>0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50">
        <f t="shared" si="22"/>
        <v>0</v>
      </c>
    </row>
    <row r="93" spans="6:65" x14ac:dyDescent="0.15">
      <c r="F93" s="12" t="s">
        <v>928</v>
      </c>
      <c r="G93" s="205" t="s">
        <v>180</v>
      </c>
      <c r="H93" s="4" t="s">
        <v>181</v>
      </c>
      <c r="I93" s="45">
        <f t="shared" si="15"/>
        <v>0</v>
      </c>
      <c r="J93" s="56">
        <f t="shared" si="16"/>
        <v>0</v>
      </c>
      <c r="K93" s="56">
        <f t="shared" si="17"/>
        <v>0</v>
      </c>
      <c r="L93" s="56">
        <f t="shared" si="18"/>
        <v>0</v>
      </c>
      <c r="M93" s="56">
        <f t="shared" si="19"/>
        <v>0</v>
      </c>
      <c r="N93" s="56">
        <f t="shared" si="20"/>
        <v>0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50">
        <f t="shared" si="22"/>
        <v>0</v>
      </c>
    </row>
    <row r="94" spans="6:65" x14ac:dyDescent="0.15">
      <c r="F94" s="12" t="s">
        <v>928</v>
      </c>
      <c r="G94" s="205" t="s">
        <v>182</v>
      </c>
      <c r="H94" s="4" t="s">
        <v>183</v>
      </c>
      <c r="I94" s="45">
        <f t="shared" si="15"/>
        <v>0</v>
      </c>
      <c r="J94" s="56">
        <f t="shared" si="16"/>
        <v>0</v>
      </c>
      <c r="K94" s="56">
        <f t="shared" si="17"/>
        <v>0</v>
      </c>
      <c r="L94" s="56">
        <f t="shared" si="18"/>
        <v>0</v>
      </c>
      <c r="M94" s="56">
        <f t="shared" si="19"/>
        <v>0</v>
      </c>
      <c r="N94" s="56">
        <f t="shared" si="20"/>
        <v>0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50">
        <f t="shared" si="22"/>
        <v>0</v>
      </c>
    </row>
    <row r="95" spans="6:65" x14ac:dyDescent="0.15">
      <c r="F95" s="12" t="s">
        <v>930</v>
      </c>
      <c r="G95" s="205" t="s">
        <v>184</v>
      </c>
      <c r="H95" s="53" t="s">
        <v>185</v>
      </c>
      <c r="I95" s="45">
        <f t="shared" si="15"/>
        <v>0</v>
      </c>
      <c r="J95" s="56">
        <f t="shared" si="16"/>
        <v>0</v>
      </c>
      <c r="K95" s="56">
        <f t="shared" si="17"/>
        <v>0</v>
      </c>
      <c r="L95" s="56">
        <f t="shared" si="18"/>
        <v>0</v>
      </c>
      <c r="M95" s="56">
        <f t="shared" si="19"/>
        <v>0</v>
      </c>
      <c r="N95" s="56">
        <f t="shared" si="20"/>
        <v>0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50">
        <f t="shared" si="22"/>
        <v>0</v>
      </c>
    </row>
    <row r="96" spans="6:65" x14ac:dyDescent="0.15">
      <c r="F96" s="12" t="s">
        <v>928</v>
      </c>
      <c r="G96" s="205" t="s">
        <v>186</v>
      </c>
      <c r="H96" s="4" t="s">
        <v>187</v>
      </c>
      <c r="I96" s="45">
        <f t="shared" si="15"/>
        <v>0</v>
      </c>
      <c r="J96" s="56">
        <f t="shared" si="16"/>
        <v>0</v>
      </c>
      <c r="K96" s="56">
        <f t="shared" si="17"/>
        <v>0</v>
      </c>
      <c r="L96" s="56">
        <f t="shared" si="18"/>
        <v>0</v>
      </c>
      <c r="M96" s="56">
        <f t="shared" si="19"/>
        <v>0</v>
      </c>
      <c r="N96" s="56">
        <f t="shared" si="20"/>
        <v>0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50">
        <f t="shared" si="22"/>
        <v>0</v>
      </c>
    </row>
    <row r="97" spans="6:65" x14ac:dyDescent="0.15">
      <c r="F97" s="12" t="s">
        <v>928</v>
      </c>
      <c r="G97" s="205" t="s">
        <v>188</v>
      </c>
      <c r="H97" s="4" t="s">
        <v>189</v>
      </c>
      <c r="I97" s="45">
        <f t="shared" si="15"/>
        <v>0</v>
      </c>
      <c r="J97" s="56">
        <f t="shared" si="16"/>
        <v>0</v>
      </c>
      <c r="K97" s="56">
        <f t="shared" si="17"/>
        <v>0</v>
      </c>
      <c r="L97" s="56">
        <f t="shared" si="18"/>
        <v>0</v>
      </c>
      <c r="M97" s="56">
        <f t="shared" si="19"/>
        <v>0</v>
      </c>
      <c r="N97" s="56">
        <f t="shared" si="20"/>
        <v>0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50">
        <f t="shared" si="22"/>
        <v>0</v>
      </c>
    </row>
    <row r="98" spans="6:65" x14ac:dyDescent="0.15">
      <c r="F98" s="12" t="s">
        <v>928</v>
      </c>
      <c r="G98" s="205" t="s">
        <v>190</v>
      </c>
      <c r="H98" s="53" t="s">
        <v>191</v>
      </c>
      <c r="I98" s="45">
        <f t="shared" si="15"/>
        <v>0</v>
      </c>
      <c r="J98" s="56">
        <f t="shared" si="16"/>
        <v>0</v>
      </c>
      <c r="K98" s="56">
        <f t="shared" si="17"/>
        <v>0</v>
      </c>
      <c r="L98" s="56">
        <f t="shared" si="18"/>
        <v>0</v>
      </c>
      <c r="M98" s="56">
        <f t="shared" si="19"/>
        <v>0</v>
      </c>
      <c r="N98" s="56">
        <f t="shared" si="20"/>
        <v>0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50">
        <f t="shared" si="22"/>
        <v>0</v>
      </c>
    </row>
    <row r="99" spans="6:65" x14ac:dyDescent="0.15">
      <c r="F99" s="12" t="s">
        <v>928</v>
      </c>
      <c r="G99" s="205" t="s">
        <v>192</v>
      </c>
      <c r="H99" s="4" t="s">
        <v>193</v>
      </c>
      <c r="I99" s="45">
        <f t="shared" si="15"/>
        <v>0</v>
      </c>
      <c r="J99" s="56">
        <f t="shared" si="16"/>
        <v>0</v>
      </c>
      <c r="K99" s="56">
        <f t="shared" si="17"/>
        <v>0</v>
      </c>
      <c r="L99" s="56">
        <f t="shared" si="18"/>
        <v>0</v>
      </c>
      <c r="M99" s="56">
        <f t="shared" si="19"/>
        <v>0</v>
      </c>
      <c r="N99" s="56">
        <f t="shared" si="20"/>
        <v>0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50">
        <f t="shared" si="22"/>
        <v>0</v>
      </c>
    </row>
    <row r="100" spans="6:65" x14ac:dyDescent="0.15">
      <c r="F100" s="12" t="s">
        <v>928</v>
      </c>
      <c r="G100" s="205" t="s">
        <v>194</v>
      </c>
      <c r="H100" s="4" t="s">
        <v>195</v>
      </c>
      <c r="I100" s="45">
        <f t="shared" si="15"/>
        <v>0</v>
      </c>
      <c r="J100" s="56">
        <f t="shared" si="16"/>
        <v>0</v>
      </c>
      <c r="K100" s="56">
        <f t="shared" si="17"/>
        <v>0</v>
      </c>
      <c r="L100" s="56">
        <f t="shared" si="18"/>
        <v>0</v>
      </c>
      <c r="M100" s="56">
        <f t="shared" si="19"/>
        <v>0</v>
      </c>
      <c r="N100" s="56">
        <f t="shared" si="20"/>
        <v>0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50">
        <f t="shared" si="22"/>
        <v>0</v>
      </c>
    </row>
    <row r="101" spans="6:65" x14ac:dyDescent="0.15">
      <c r="F101" s="12" t="s">
        <v>932</v>
      </c>
      <c r="G101" s="205" t="s">
        <v>196</v>
      </c>
      <c r="H101" s="53" t="s">
        <v>197</v>
      </c>
      <c r="I101" s="45">
        <f t="shared" si="15"/>
        <v>0</v>
      </c>
      <c r="J101" s="56">
        <f t="shared" si="16"/>
        <v>0</v>
      </c>
      <c r="K101" s="56">
        <f t="shared" si="17"/>
        <v>0</v>
      </c>
      <c r="L101" s="56">
        <f t="shared" si="18"/>
        <v>0</v>
      </c>
      <c r="M101" s="56">
        <f t="shared" si="19"/>
        <v>0</v>
      </c>
      <c r="N101" s="56">
        <f t="shared" si="20"/>
        <v>0</v>
      </c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50">
        <f t="shared" si="22"/>
        <v>0</v>
      </c>
    </row>
    <row r="102" spans="6:65" x14ac:dyDescent="0.15">
      <c r="F102" s="12" t="s">
        <v>929</v>
      </c>
      <c r="G102" s="205" t="s">
        <v>198</v>
      </c>
      <c r="H102" s="4" t="s">
        <v>199</v>
      </c>
      <c r="I102" s="45">
        <f t="shared" si="15"/>
        <v>0</v>
      </c>
      <c r="J102" s="56">
        <f t="shared" si="16"/>
        <v>0</v>
      </c>
      <c r="K102" s="56">
        <f t="shared" si="17"/>
        <v>0</v>
      </c>
      <c r="L102" s="56">
        <f t="shared" si="18"/>
        <v>0</v>
      </c>
      <c r="M102" s="56">
        <f t="shared" si="19"/>
        <v>0</v>
      </c>
      <c r="N102" s="56">
        <f t="shared" si="20"/>
        <v>0</v>
      </c>
      <c r="O102" s="46">
        <f t="shared" ref="O102:BL102" si="24">SUM(O103:O104)</f>
        <v>0</v>
      </c>
      <c r="P102" s="46">
        <f t="shared" si="24"/>
        <v>0</v>
      </c>
      <c r="Q102" s="46">
        <f t="shared" si="24"/>
        <v>0</v>
      </c>
      <c r="R102" s="46">
        <f t="shared" si="24"/>
        <v>0</v>
      </c>
      <c r="S102" s="46">
        <f t="shared" si="24"/>
        <v>0</v>
      </c>
      <c r="T102" s="46">
        <f t="shared" si="24"/>
        <v>0</v>
      </c>
      <c r="U102" s="46">
        <f t="shared" si="24"/>
        <v>0</v>
      </c>
      <c r="V102" s="46">
        <f t="shared" si="24"/>
        <v>0</v>
      </c>
      <c r="W102" s="46">
        <f t="shared" si="24"/>
        <v>0</v>
      </c>
      <c r="X102" s="46">
        <f t="shared" si="24"/>
        <v>0</v>
      </c>
      <c r="Y102" s="46">
        <f t="shared" si="24"/>
        <v>0</v>
      </c>
      <c r="Z102" s="46">
        <f t="shared" si="24"/>
        <v>0</v>
      </c>
      <c r="AA102" s="46">
        <f t="shared" si="24"/>
        <v>0</v>
      </c>
      <c r="AB102" s="46">
        <f t="shared" si="24"/>
        <v>0</v>
      </c>
      <c r="AC102" s="46">
        <f t="shared" si="24"/>
        <v>0</v>
      </c>
      <c r="AD102" s="46">
        <f t="shared" si="24"/>
        <v>0</v>
      </c>
      <c r="AE102" s="46">
        <f t="shared" si="24"/>
        <v>0</v>
      </c>
      <c r="AF102" s="46">
        <f t="shared" si="24"/>
        <v>0</v>
      </c>
      <c r="AG102" s="46">
        <f t="shared" si="24"/>
        <v>0</v>
      </c>
      <c r="AH102" s="46">
        <f t="shared" si="24"/>
        <v>0</v>
      </c>
      <c r="AI102" s="46">
        <f t="shared" si="24"/>
        <v>0</v>
      </c>
      <c r="AJ102" s="46">
        <f t="shared" si="24"/>
        <v>0</v>
      </c>
      <c r="AK102" s="46">
        <f t="shared" si="24"/>
        <v>0</v>
      </c>
      <c r="AL102" s="46">
        <f t="shared" si="24"/>
        <v>0</v>
      </c>
      <c r="AM102" s="46">
        <f t="shared" si="24"/>
        <v>0</v>
      </c>
      <c r="AN102" s="46">
        <f t="shared" si="24"/>
        <v>0</v>
      </c>
      <c r="AO102" s="46">
        <f t="shared" si="24"/>
        <v>0</v>
      </c>
      <c r="AP102" s="46">
        <f t="shared" si="24"/>
        <v>0</v>
      </c>
      <c r="AQ102" s="46">
        <f t="shared" si="24"/>
        <v>0</v>
      </c>
      <c r="AR102" s="46">
        <f t="shared" si="24"/>
        <v>0</v>
      </c>
      <c r="AS102" s="46">
        <f t="shared" si="24"/>
        <v>0</v>
      </c>
      <c r="AT102" s="46">
        <f t="shared" si="24"/>
        <v>0</v>
      </c>
      <c r="AU102" s="46">
        <f t="shared" si="24"/>
        <v>0</v>
      </c>
      <c r="AV102" s="46">
        <f t="shared" si="24"/>
        <v>0</v>
      </c>
      <c r="AW102" s="46">
        <f t="shared" si="24"/>
        <v>0</v>
      </c>
      <c r="AX102" s="46">
        <f t="shared" si="24"/>
        <v>0</v>
      </c>
      <c r="AY102" s="46">
        <f t="shared" si="24"/>
        <v>0</v>
      </c>
      <c r="AZ102" s="46">
        <f t="shared" si="24"/>
        <v>0</v>
      </c>
      <c r="BA102" s="46">
        <f t="shared" si="24"/>
        <v>0</v>
      </c>
      <c r="BB102" s="46">
        <f t="shared" si="24"/>
        <v>0</v>
      </c>
      <c r="BC102" s="46">
        <f t="shared" si="24"/>
        <v>0</v>
      </c>
      <c r="BD102" s="46">
        <f t="shared" si="24"/>
        <v>0</v>
      </c>
      <c r="BE102" s="46">
        <f t="shared" si="24"/>
        <v>0</v>
      </c>
      <c r="BF102" s="46">
        <f t="shared" si="24"/>
        <v>0</v>
      </c>
      <c r="BG102" s="46">
        <f t="shared" si="24"/>
        <v>0</v>
      </c>
      <c r="BH102" s="46">
        <f t="shared" si="24"/>
        <v>0</v>
      </c>
      <c r="BI102" s="46">
        <f t="shared" si="24"/>
        <v>0</v>
      </c>
      <c r="BJ102" s="46">
        <f t="shared" si="24"/>
        <v>0</v>
      </c>
      <c r="BK102" s="46">
        <f t="shared" si="24"/>
        <v>0</v>
      </c>
      <c r="BL102" s="46">
        <f t="shared" si="24"/>
        <v>0</v>
      </c>
      <c r="BM102" s="50">
        <f t="shared" si="22"/>
        <v>0</v>
      </c>
    </row>
    <row r="103" spans="6:65" ht="21" x14ac:dyDescent="0.15">
      <c r="F103" s="12" t="s">
        <v>929</v>
      </c>
      <c r="G103" s="206" t="s">
        <v>869</v>
      </c>
      <c r="H103" s="4" t="s">
        <v>200</v>
      </c>
      <c r="I103" s="45">
        <f t="shared" si="15"/>
        <v>0</v>
      </c>
      <c r="J103" s="56">
        <f t="shared" si="16"/>
        <v>0</v>
      </c>
      <c r="K103" s="56">
        <f t="shared" si="17"/>
        <v>0</v>
      </c>
      <c r="L103" s="56">
        <f t="shared" si="18"/>
        <v>0</v>
      </c>
      <c r="M103" s="56">
        <f t="shared" si="19"/>
        <v>0</v>
      </c>
      <c r="N103" s="56">
        <f t="shared" si="20"/>
        <v>0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50">
        <f t="shared" si="22"/>
        <v>0</v>
      </c>
    </row>
    <row r="104" spans="6:65" x14ac:dyDescent="0.15">
      <c r="F104" s="12" t="s">
        <v>929</v>
      </c>
      <c r="G104" s="206" t="s">
        <v>863</v>
      </c>
      <c r="H104" s="53" t="s">
        <v>201</v>
      </c>
      <c r="I104" s="45">
        <f t="shared" si="15"/>
        <v>0</v>
      </c>
      <c r="J104" s="56">
        <f t="shared" si="16"/>
        <v>0</v>
      </c>
      <c r="K104" s="56">
        <f t="shared" si="17"/>
        <v>0</v>
      </c>
      <c r="L104" s="56">
        <f t="shared" si="18"/>
        <v>0</v>
      </c>
      <c r="M104" s="56">
        <f t="shared" si="19"/>
        <v>0</v>
      </c>
      <c r="N104" s="56">
        <f t="shared" si="20"/>
        <v>0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50">
        <f t="shared" si="22"/>
        <v>0</v>
      </c>
    </row>
    <row r="105" spans="6:65" x14ac:dyDescent="0.15">
      <c r="F105" s="12" t="s">
        <v>928</v>
      </c>
      <c r="G105" s="205" t="s">
        <v>202</v>
      </c>
      <c r="H105" s="4" t="s">
        <v>203</v>
      </c>
      <c r="I105" s="45">
        <f t="shared" si="15"/>
        <v>0</v>
      </c>
      <c r="J105" s="56">
        <f t="shared" si="16"/>
        <v>0</v>
      </c>
      <c r="K105" s="56">
        <f t="shared" si="17"/>
        <v>0</v>
      </c>
      <c r="L105" s="56">
        <f t="shared" si="18"/>
        <v>0</v>
      </c>
      <c r="M105" s="56">
        <f t="shared" si="19"/>
        <v>0</v>
      </c>
      <c r="N105" s="56">
        <f t="shared" si="20"/>
        <v>0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50">
        <f t="shared" si="22"/>
        <v>0</v>
      </c>
    </row>
    <row r="106" spans="6:65" x14ac:dyDescent="0.15">
      <c r="F106" s="12" t="s">
        <v>928</v>
      </c>
      <c r="G106" s="205" t="s">
        <v>204</v>
      </c>
      <c r="H106" s="4" t="s">
        <v>205</v>
      </c>
      <c r="I106" s="45">
        <f t="shared" si="15"/>
        <v>0</v>
      </c>
      <c r="J106" s="56">
        <f t="shared" si="16"/>
        <v>0</v>
      </c>
      <c r="K106" s="56">
        <f t="shared" si="17"/>
        <v>0</v>
      </c>
      <c r="L106" s="56">
        <f t="shared" si="18"/>
        <v>0</v>
      </c>
      <c r="M106" s="56">
        <f t="shared" si="19"/>
        <v>0</v>
      </c>
      <c r="N106" s="56">
        <f t="shared" si="20"/>
        <v>0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50">
        <f t="shared" si="22"/>
        <v>0</v>
      </c>
    </row>
    <row r="107" spans="6:65" x14ac:dyDescent="0.15">
      <c r="F107" s="12" t="s">
        <v>928</v>
      </c>
      <c r="G107" s="205" t="s">
        <v>206</v>
      </c>
      <c r="H107" s="53" t="s">
        <v>207</v>
      </c>
      <c r="I107" s="45">
        <f t="shared" si="15"/>
        <v>0</v>
      </c>
      <c r="J107" s="56">
        <f t="shared" si="16"/>
        <v>0</v>
      </c>
      <c r="K107" s="56">
        <f t="shared" si="17"/>
        <v>0</v>
      </c>
      <c r="L107" s="56">
        <f t="shared" si="18"/>
        <v>0</v>
      </c>
      <c r="M107" s="56">
        <f t="shared" si="19"/>
        <v>0</v>
      </c>
      <c r="N107" s="56">
        <f t="shared" si="20"/>
        <v>0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50">
        <f t="shared" si="22"/>
        <v>0</v>
      </c>
    </row>
    <row r="108" spans="6:65" x14ac:dyDescent="0.15">
      <c r="F108" s="12" t="s">
        <v>928</v>
      </c>
      <c r="G108" s="205" t="s">
        <v>208</v>
      </c>
      <c r="H108" s="4" t="s">
        <v>209</v>
      </c>
      <c r="I108" s="45">
        <f t="shared" si="15"/>
        <v>0</v>
      </c>
      <c r="J108" s="56">
        <f t="shared" si="16"/>
        <v>0</v>
      </c>
      <c r="K108" s="56">
        <f t="shared" si="17"/>
        <v>0</v>
      </c>
      <c r="L108" s="56">
        <f t="shared" si="18"/>
        <v>0</v>
      </c>
      <c r="M108" s="56">
        <f t="shared" si="19"/>
        <v>0</v>
      </c>
      <c r="N108" s="56">
        <f t="shared" si="20"/>
        <v>0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50">
        <f t="shared" si="22"/>
        <v>0</v>
      </c>
    </row>
    <row r="109" spans="6:65" x14ac:dyDescent="0.15">
      <c r="F109" s="12" t="s">
        <v>931</v>
      </c>
      <c r="G109" s="205" t="s">
        <v>210</v>
      </c>
      <c r="H109" s="4" t="s">
        <v>211</v>
      </c>
      <c r="I109" s="45">
        <f t="shared" si="15"/>
        <v>0</v>
      </c>
      <c r="J109" s="56">
        <f t="shared" si="16"/>
        <v>0</v>
      </c>
      <c r="K109" s="56">
        <f t="shared" si="17"/>
        <v>0</v>
      </c>
      <c r="L109" s="56">
        <f t="shared" si="18"/>
        <v>0</v>
      </c>
      <c r="M109" s="56">
        <f t="shared" si="19"/>
        <v>0</v>
      </c>
      <c r="N109" s="56">
        <f t="shared" si="20"/>
        <v>0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50">
        <f t="shared" si="22"/>
        <v>0</v>
      </c>
    </row>
    <row r="110" spans="6:65" x14ac:dyDescent="0.15">
      <c r="F110" s="12" t="s">
        <v>928</v>
      </c>
      <c r="G110" s="205" t="s">
        <v>212</v>
      </c>
      <c r="H110" s="53" t="s">
        <v>213</v>
      </c>
      <c r="I110" s="45">
        <f t="shared" si="15"/>
        <v>0</v>
      </c>
      <c r="J110" s="56">
        <f t="shared" si="16"/>
        <v>0</v>
      </c>
      <c r="K110" s="56">
        <f t="shared" si="17"/>
        <v>0</v>
      </c>
      <c r="L110" s="56">
        <f t="shared" si="18"/>
        <v>0</v>
      </c>
      <c r="M110" s="56">
        <f t="shared" si="19"/>
        <v>0</v>
      </c>
      <c r="N110" s="56">
        <f t="shared" si="20"/>
        <v>0</v>
      </c>
      <c r="O110" s="48">
        <f t="shared" ref="O110:BL110" si="25">SUM(O111:O117)</f>
        <v>0</v>
      </c>
      <c r="P110" s="48">
        <f t="shared" si="25"/>
        <v>0</v>
      </c>
      <c r="Q110" s="48">
        <f t="shared" si="25"/>
        <v>0</v>
      </c>
      <c r="R110" s="48">
        <f t="shared" si="25"/>
        <v>0</v>
      </c>
      <c r="S110" s="48">
        <f t="shared" si="25"/>
        <v>0</v>
      </c>
      <c r="T110" s="48">
        <f t="shared" si="25"/>
        <v>0</v>
      </c>
      <c r="U110" s="48">
        <f t="shared" si="25"/>
        <v>0</v>
      </c>
      <c r="V110" s="48">
        <f t="shared" si="25"/>
        <v>0</v>
      </c>
      <c r="W110" s="48">
        <f t="shared" si="25"/>
        <v>0</v>
      </c>
      <c r="X110" s="48">
        <f t="shared" si="25"/>
        <v>0</v>
      </c>
      <c r="Y110" s="48">
        <f t="shared" si="25"/>
        <v>0</v>
      </c>
      <c r="Z110" s="48">
        <f t="shared" si="25"/>
        <v>0</v>
      </c>
      <c r="AA110" s="48">
        <f t="shared" si="25"/>
        <v>0</v>
      </c>
      <c r="AB110" s="48">
        <f t="shared" si="25"/>
        <v>0</v>
      </c>
      <c r="AC110" s="48">
        <f t="shared" si="25"/>
        <v>0</v>
      </c>
      <c r="AD110" s="48">
        <f t="shared" si="25"/>
        <v>0</v>
      </c>
      <c r="AE110" s="48">
        <f t="shared" si="25"/>
        <v>0</v>
      </c>
      <c r="AF110" s="48">
        <f t="shared" si="25"/>
        <v>0</v>
      </c>
      <c r="AG110" s="48">
        <f t="shared" si="25"/>
        <v>0</v>
      </c>
      <c r="AH110" s="48">
        <f t="shared" si="25"/>
        <v>0</v>
      </c>
      <c r="AI110" s="48">
        <f t="shared" si="25"/>
        <v>0</v>
      </c>
      <c r="AJ110" s="48">
        <f t="shared" si="25"/>
        <v>0</v>
      </c>
      <c r="AK110" s="48">
        <f t="shared" si="25"/>
        <v>0</v>
      </c>
      <c r="AL110" s="48">
        <f t="shared" si="25"/>
        <v>0</v>
      </c>
      <c r="AM110" s="48">
        <f t="shared" si="25"/>
        <v>0</v>
      </c>
      <c r="AN110" s="48">
        <f t="shared" si="25"/>
        <v>0</v>
      </c>
      <c r="AO110" s="48">
        <f t="shared" si="25"/>
        <v>0</v>
      </c>
      <c r="AP110" s="48">
        <f t="shared" si="25"/>
        <v>0</v>
      </c>
      <c r="AQ110" s="48">
        <f t="shared" si="25"/>
        <v>0</v>
      </c>
      <c r="AR110" s="48">
        <f t="shared" si="25"/>
        <v>0</v>
      </c>
      <c r="AS110" s="48">
        <f t="shared" si="25"/>
        <v>0</v>
      </c>
      <c r="AT110" s="48">
        <f t="shared" si="25"/>
        <v>0</v>
      </c>
      <c r="AU110" s="48">
        <f t="shared" si="25"/>
        <v>0</v>
      </c>
      <c r="AV110" s="48">
        <f t="shared" si="25"/>
        <v>0</v>
      </c>
      <c r="AW110" s="48">
        <f t="shared" si="25"/>
        <v>0</v>
      </c>
      <c r="AX110" s="48">
        <f t="shared" si="25"/>
        <v>0</v>
      </c>
      <c r="AY110" s="48">
        <f t="shared" si="25"/>
        <v>0</v>
      </c>
      <c r="AZ110" s="48">
        <f t="shared" si="25"/>
        <v>0</v>
      </c>
      <c r="BA110" s="48">
        <f t="shared" si="25"/>
        <v>0</v>
      </c>
      <c r="BB110" s="48">
        <f t="shared" si="25"/>
        <v>0</v>
      </c>
      <c r="BC110" s="48">
        <f t="shared" si="25"/>
        <v>0</v>
      </c>
      <c r="BD110" s="48">
        <f t="shared" si="25"/>
        <v>0</v>
      </c>
      <c r="BE110" s="48">
        <f t="shared" si="25"/>
        <v>0</v>
      </c>
      <c r="BF110" s="48">
        <f t="shared" si="25"/>
        <v>0</v>
      </c>
      <c r="BG110" s="48">
        <f t="shared" si="25"/>
        <v>0</v>
      </c>
      <c r="BH110" s="48">
        <f t="shared" si="25"/>
        <v>0</v>
      </c>
      <c r="BI110" s="48">
        <f t="shared" si="25"/>
        <v>0</v>
      </c>
      <c r="BJ110" s="48">
        <f t="shared" si="25"/>
        <v>0</v>
      </c>
      <c r="BK110" s="48">
        <f t="shared" si="25"/>
        <v>0</v>
      </c>
      <c r="BL110" s="48">
        <f t="shared" si="25"/>
        <v>0</v>
      </c>
      <c r="BM110" s="50">
        <f t="shared" si="22"/>
        <v>0</v>
      </c>
    </row>
    <row r="111" spans="6:65" ht="21" x14ac:dyDescent="0.15">
      <c r="F111" s="12" t="s">
        <v>928</v>
      </c>
      <c r="G111" s="206" t="s">
        <v>214</v>
      </c>
      <c r="H111" s="4" t="s">
        <v>215</v>
      </c>
      <c r="I111" s="45">
        <f t="shared" si="15"/>
        <v>0</v>
      </c>
      <c r="J111" s="56">
        <f t="shared" si="16"/>
        <v>0</v>
      </c>
      <c r="K111" s="56">
        <f t="shared" si="17"/>
        <v>0</v>
      </c>
      <c r="L111" s="56">
        <f t="shared" si="18"/>
        <v>0</v>
      </c>
      <c r="M111" s="56">
        <f t="shared" si="19"/>
        <v>0</v>
      </c>
      <c r="N111" s="56">
        <f t="shared" si="20"/>
        <v>0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50">
        <f t="shared" si="22"/>
        <v>0</v>
      </c>
    </row>
    <row r="112" spans="6:65" x14ac:dyDescent="0.15">
      <c r="F112" s="12" t="s">
        <v>928</v>
      </c>
      <c r="G112" s="206" t="s">
        <v>216</v>
      </c>
      <c r="H112" s="4" t="s">
        <v>217</v>
      </c>
      <c r="I112" s="45">
        <f t="shared" si="15"/>
        <v>0</v>
      </c>
      <c r="J112" s="56">
        <f t="shared" si="16"/>
        <v>0</v>
      </c>
      <c r="K112" s="56">
        <f t="shared" si="17"/>
        <v>0</v>
      </c>
      <c r="L112" s="56">
        <f t="shared" si="18"/>
        <v>0</v>
      </c>
      <c r="M112" s="56">
        <f t="shared" si="19"/>
        <v>0</v>
      </c>
      <c r="N112" s="56">
        <f t="shared" si="20"/>
        <v>0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50">
        <f t="shared" si="22"/>
        <v>0</v>
      </c>
    </row>
    <row r="113" spans="6:65" x14ac:dyDescent="0.15">
      <c r="F113" s="12" t="s">
        <v>928</v>
      </c>
      <c r="G113" s="206" t="s">
        <v>218</v>
      </c>
      <c r="H113" s="53" t="s">
        <v>219</v>
      </c>
      <c r="I113" s="45">
        <f t="shared" si="15"/>
        <v>0</v>
      </c>
      <c r="J113" s="56">
        <f t="shared" si="16"/>
        <v>0</v>
      </c>
      <c r="K113" s="56">
        <f t="shared" si="17"/>
        <v>0</v>
      </c>
      <c r="L113" s="56">
        <f t="shared" si="18"/>
        <v>0</v>
      </c>
      <c r="M113" s="56">
        <f t="shared" si="19"/>
        <v>0</v>
      </c>
      <c r="N113" s="56">
        <f t="shared" si="20"/>
        <v>0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50">
        <f t="shared" si="22"/>
        <v>0</v>
      </c>
    </row>
    <row r="114" spans="6:65" x14ac:dyDescent="0.15">
      <c r="F114" s="12" t="s">
        <v>928</v>
      </c>
      <c r="G114" s="206" t="s">
        <v>220</v>
      </c>
      <c r="H114" s="4" t="s">
        <v>221</v>
      </c>
      <c r="I114" s="45">
        <f t="shared" si="15"/>
        <v>0</v>
      </c>
      <c r="J114" s="56">
        <f t="shared" si="16"/>
        <v>0</v>
      </c>
      <c r="K114" s="56">
        <f t="shared" si="17"/>
        <v>0</v>
      </c>
      <c r="L114" s="56">
        <f t="shared" si="18"/>
        <v>0</v>
      </c>
      <c r="M114" s="56">
        <f t="shared" si="19"/>
        <v>0</v>
      </c>
      <c r="N114" s="56">
        <f t="shared" si="20"/>
        <v>0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50">
        <f t="shared" si="22"/>
        <v>0</v>
      </c>
    </row>
    <row r="115" spans="6:65" x14ac:dyDescent="0.15">
      <c r="F115" s="12" t="s">
        <v>928</v>
      </c>
      <c r="G115" s="206" t="s">
        <v>222</v>
      </c>
      <c r="H115" s="4" t="s">
        <v>223</v>
      </c>
      <c r="I115" s="45">
        <f t="shared" si="15"/>
        <v>0</v>
      </c>
      <c r="J115" s="56">
        <f t="shared" si="16"/>
        <v>0</v>
      </c>
      <c r="K115" s="56">
        <f t="shared" si="17"/>
        <v>0</v>
      </c>
      <c r="L115" s="56">
        <f t="shared" si="18"/>
        <v>0</v>
      </c>
      <c r="M115" s="56">
        <f t="shared" si="19"/>
        <v>0</v>
      </c>
      <c r="N115" s="56">
        <f t="shared" si="20"/>
        <v>0</v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50">
        <f t="shared" si="22"/>
        <v>0</v>
      </c>
    </row>
    <row r="116" spans="6:65" x14ac:dyDescent="0.15">
      <c r="F116" s="12" t="s">
        <v>928</v>
      </c>
      <c r="G116" s="206" t="s">
        <v>154</v>
      </c>
      <c r="H116" s="53" t="s">
        <v>224</v>
      </c>
      <c r="I116" s="45">
        <f t="shared" si="15"/>
        <v>0</v>
      </c>
      <c r="J116" s="56">
        <f t="shared" si="16"/>
        <v>0</v>
      </c>
      <c r="K116" s="56">
        <f t="shared" si="17"/>
        <v>0</v>
      </c>
      <c r="L116" s="56">
        <f t="shared" si="18"/>
        <v>0</v>
      </c>
      <c r="M116" s="56">
        <f t="shared" si="19"/>
        <v>0</v>
      </c>
      <c r="N116" s="56">
        <f t="shared" si="20"/>
        <v>0</v>
      </c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50">
        <f t="shared" si="22"/>
        <v>0</v>
      </c>
    </row>
    <row r="117" spans="6:65" x14ac:dyDescent="0.15">
      <c r="F117" s="12" t="s">
        <v>928</v>
      </c>
      <c r="G117" s="206" t="s">
        <v>225</v>
      </c>
      <c r="H117" s="4" t="s">
        <v>226</v>
      </c>
      <c r="I117" s="45">
        <f t="shared" si="15"/>
        <v>0</v>
      </c>
      <c r="J117" s="56">
        <f t="shared" si="16"/>
        <v>0</v>
      </c>
      <c r="K117" s="56">
        <f t="shared" si="17"/>
        <v>0</v>
      </c>
      <c r="L117" s="56">
        <f t="shared" si="18"/>
        <v>0</v>
      </c>
      <c r="M117" s="56">
        <f t="shared" si="19"/>
        <v>0</v>
      </c>
      <c r="N117" s="56">
        <f t="shared" si="20"/>
        <v>0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50">
        <f t="shared" si="22"/>
        <v>0</v>
      </c>
    </row>
    <row r="118" spans="6:65" x14ac:dyDescent="0.15">
      <c r="F118" s="12" t="s">
        <v>930</v>
      </c>
      <c r="G118" s="205" t="s">
        <v>227</v>
      </c>
      <c r="H118" s="4" t="s">
        <v>228</v>
      </c>
      <c r="I118" s="45">
        <f t="shared" si="15"/>
        <v>0</v>
      </c>
      <c r="J118" s="56">
        <f t="shared" si="16"/>
        <v>0</v>
      </c>
      <c r="K118" s="56">
        <f t="shared" si="17"/>
        <v>0</v>
      </c>
      <c r="L118" s="56">
        <f t="shared" si="18"/>
        <v>0</v>
      </c>
      <c r="M118" s="56">
        <f t="shared" si="19"/>
        <v>0</v>
      </c>
      <c r="N118" s="56">
        <f t="shared" si="20"/>
        <v>0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50">
        <f t="shared" si="22"/>
        <v>0</v>
      </c>
    </row>
    <row r="119" spans="6:65" x14ac:dyDescent="0.15">
      <c r="F119" s="12" t="s">
        <v>929</v>
      </c>
      <c r="G119" s="205" t="s">
        <v>229</v>
      </c>
      <c r="H119" s="53" t="s">
        <v>230</v>
      </c>
      <c r="I119" s="45">
        <f t="shared" si="15"/>
        <v>0</v>
      </c>
      <c r="J119" s="56">
        <f t="shared" si="16"/>
        <v>0</v>
      </c>
      <c r="K119" s="56">
        <f t="shared" si="17"/>
        <v>0</v>
      </c>
      <c r="L119" s="56">
        <f t="shared" si="18"/>
        <v>0</v>
      </c>
      <c r="M119" s="56">
        <f t="shared" si="19"/>
        <v>0</v>
      </c>
      <c r="N119" s="56">
        <f t="shared" si="20"/>
        <v>0</v>
      </c>
      <c r="O119" s="46">
        <f t="shared" ref="O119:BL119" si="26">SUM(O120:O123)</f>
        <v>0</v>
      </c>
      <c r="P119" s="46">
        <f t="shared" si="26"/>
        <v>0</v>
      </c>
      <c r="Q119" s="46">
        <f t="shared" si="26"/>
        <v>0</v>
      </c>
      <c r="R119" s="46">
        <f t="shared" si="26"/>
        <v>0</v>
      </c>
      <c r="S119" s="46">
        <f t="shared" si="26"/>
        <v>0</v>
      </c>
      <c r="T119" s="46">
        <f t="shared" si="26"/>
        <v>0</v>
      </c>
      <c r="U119" s="46">
        <f t="shared" si="26"/>
        <v>0</v>
      </c>
      <c r="V119" s="46">
        <f t="shared" si="26"/>
        <v>0</v>
      </c>
      <c r="W119" s="46">
        <f t="shared" si="26"/>
        <v>0</v>
      </c>
      <c r="X119" s="46">
        <f t="shared" si="26"/>
        <v>0</v>
      </c>
      <c r="Y119" s="46">
        <f t="shared" si="26"/>
        <v>0</v>
      </c>
      <c r="Z119" s="46">
        <f t="shared" si="26"/>
        <v>0</v>
      </c>
      <c r="AA119" s="46">
        <f t="shared" si="26"/>
        <v>0</v>
      </c>
      <c r="AB119" s="46">
        <f t="shared" si="26"/>
        <v>0</v>
      </c>
      <c r="AC119" s="46">
        <f t="shared" si="26"/>
        <v>0</v>
      </c>
      <c r="AD119" s="46">
        <f t="shared" si="26"/>
        <v>0</v>
      </c>
      <c r="AE119" s="46">
        <f t="shared" si="26"/>
        <v>0</v>
      </c>
      <c r="AF119" s="46">
        <f t="shared" si="26"/>
        <v>0</v>
      </c>
      <c r="AG119" s="46">
        <f t="shared" si="26"/>
        <v>0</v>
      </c>
      <c r="AH119" s="46">
        <f t="shared" si="26"/>
        <v>0</v>
      </c>
      <c r="AI119" s="46">
        <f t="shared" si="26"/>
        <v>0</v>
      </c>
      <c r="AJ119" s="46">
        <f t="shared" si="26"/>
        <v>0</v>
      </c>
      <c r="AK119" s="46">
        <f t="shared" si="26"/>
        <v>0</v>
      </c>
      <c r="AL119" s="46">
        <f t="shared" si="26"/>
        <v>0</v>
      </c>
      <c r="AM119" s="46">
        <f t="shared" si="26"/>
        <v>0</v>
      </c>
      <c r="AN119" s="46">
        <f t="shared" si="26"/>
        <v>0</v>
      </c>
      <c r="AO119" s="46">
        <f t="shared" si="26"/>
        <v>0</v>
      </c>
      <c r="AP119" s="46">
        <f t="shared" si="26"/>
        <v>0</v>
      </c>
      <c r="AQ119" s="46">
        <f t="shared" si="26"/>
        <v>0</v>
      </c>
      <c r="AR119" s="46">
        <f t="shared" si="26"/>
        <v>0</v>
      </c>
      <c r="AS119" s="46">
        <f t="shared" si="26"/>
        <v>0</v>
      </c>
      <c r="AT119" s="46">
        <f t="shared" si="26"/>
        <v>0</v>
      </c>
      <c r="AU119" s="46">
        <f t="shared" si="26"/>
        <v>0</v>
      </c>
      <c r="AV119" s="46">
        <f t="shared" si="26"/>
        <v>0</v>
      </c>
      <c r="AW119" s="46">
        <f t="shared" si="26"/>
        <v>0</v>
      </c>
      <c r="AX119" s="46">
        <f t="shared" si="26"/>
        <v>0</v>
      </c>
      <c r="AY119" s="46">
        <f t="shared" si="26"/>
        <v>0</v>
      </c>
      <c r="AZ119" s="46">
        <f t="shared" si="26"/>
        <v>0</v>
      </c>
      <c r="BA119" s="46">
        <f t="shared" si="26"/>
        <v>0</v>
      </c>
      <c r="BB119" s="46">
        <f t="shared" si="26"/>
        <v>0</v>
      </c>
      <c r="BC119" s="46">
        <f t="shared" si="26"/>
        <v>0</v>
      </c>
      <c r="BD119" s="46">
        <f t="shared" si="26"/>
        <v>0</v>
      </c>
      <c r="BE119" s="46">
        <f t="shared" si="26"/>
        <v>0</v>
      </c>
      <c r="BF119" s="46">
        <f t="shared" si="26"/>
        <v>0</v>
      </c>
      <c r="BG119" s="46">
        <f t="shared" si="26"/>
        <v>0</v>
      </c>
      <c r="BH119" s="46">
        <f t="shared" si="26"/>
        <v>0</v>
      </c>
      <c r="BI119" s="46">
        <f t="shared" si="26"/>
        <v>0</v>
      </c>
      <c r="BJ119" s="46">
        <f t="shared" si="26"/>
        <v>0</v>
      </c>
      <c r="BK119" s="46">
        <f t="shared" si="26"/>
        <v>0</v>
      </c>
      <c r="BL119" s="46">
        <f t="shared" si="26"/>
        <v>0</v>
      </c>
      <c r="BM119" s="50">
        <f t="shared" si="22"/>
        <v>0</v>
      </c>
    </row>
    <row r="120" spans="6:65" ht="21" x14ac:dyDescent="0.15">
      <c r="F120" s="12" t="s">
        <v>929</v>
      </c>
      <c r="G120" s="206" t="s">
        <v>870</v>
      </c>
      <c r="H120" s="4" t="s">
        <v>231</v>
      </c>
      <c r="I120" s="45">
        <f t="shared" si="15"/>
        <v>0</v>
      </c>
      <c r="J120" s="56">
        <f t="shared" si="16"/>
        <v>0</v>
      </c>
      <c r="K120" s="56">
        <f t="shared" si="17"/>
        <v>0</v>
      </c>
      <c r="L120" s="56">
        <f t="shared" si="18"/>
        <v>0</v>
      </c>
      <c r="M120" s="56">
        <f t="shared" si="19"/>
        <v>0</v>
      </c>
      <c r="N120" s="56">
        <f t="shared" si="20"/>
        <v>0</v>
      </c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50">
        <f t="shared" si="22"/>
        <v>0</v>
      </c>
    </row>
    <row r="121" spans="6:65" x14ac:dyDescent="0.15">
      <c r="F121" s="12" t="s">
        <v>929</v>
      </c>
      <c r="G121" s="206" t="s">
        <v>232</v>
      </c>
      <c r="H121" s="4" t="s">
        <v>233</v>
      </c>
      <c r="I121" s="45">
        <f t="shared" si="15"/>
        <v>0</v>
      </c>
      <c r="J121" s="56">
        <f t="shared" si="16"/>
        <v>0</v>
      </c>
      <c r="K121" s="56">
        <f t="shared" si="17"/>
        <v>0</v>
      </c>
      <c r="L121" s="56">
        <f t="shared" si="18"/>
        <v>0</v>
      </c>
      <c r="M121" s="56">
        <f t="shared" si="19"/>
        <v>0</v>
      </c>
      <c r="N121" s="56">
        <f t="shared" si="20"/>
        <v>0</v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50">
        <f t="shared" si="22"/>
        <v>0</v>
      </c>
    </row>
    <row r="122" spans="6:65" x14ac:dyDescent="0.15">
      <c r="F122" s="12" t="s">
        <v>929</v>
      </c>
      <c r="G122" s="206" t="s">
        <v>234</v>
      </c>
      <c r="H122" s="53" t="s">
        <v>235</v>
      </c>
      <c r="I122" s="45">
        <f t="shared" si="15"/>
        <v>0</v>
      </c>
      <c r="J122" s="56">
        <f t="shared" si="16"/>
        <v>0</v>
      </c>
      <c r="K122" s="56">
        <f t="shared" si="17"/>
        <v>0</v>
      </c>
      <c r="L122" s="56">
        <f t="shared" si="18"/>
        <v>0</v>
      </c>
      <c r="M122" s="56">
        <f t="shared" si="19"/>
        <v>0</v>
      </c>
      <c r="N122" s="56">
        <f t="shared" si="20"/>
        <v>0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50">
        <f t="shared" si="22"/>
        <v>0</v>
      </c>
    </row>
    <row r="123" spans="6:65" ht="21" x14ac:dyDescent="0.15">
      <c r="F123" s="12" t="s">
        <v>929</v>
      </c>
      <c r="G123" s="206" t="s">
        <v>236</v>
      </c>
      <c r="H123" s="4" t="s">
        <v>237</v>
      </c>
      <c r="I123" s="45">
        <f t="shared" si="15"/>
        <v>0</v>
      </c>
      <c r="J123" s="56">
        <f t="shared" si="16"/>
        <v>0</v>
      </c>
      <c r="K123" s="56">
        <f t="shared" si="17"/>
        <v>0</v>
      </c>
      <c r="L123" s="56">
        <f t="shared" si="18"/>
        <v>0</v>
      </c>
      <c r="M123" s="56">
        <f t="shared" si="19"/>
        <v>0</v>
      </c>
      <c r="N123" s="56">
        <f t="shared" si="20"/>
        <v>0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50">
        <f t="shared" si="22"/>
        <v>0</v>
      </c>
    </row>
    <row r="124" spans="6:65" x14ac:dyDescent="0.15">
      <c r="F124" s="12" t="s">
        <v>928</v>
      </c>
      <c r="G124" s="205" t="s">
        <v>238</v>
      </c>
      <c r="H124" s="4" t="s">
        <v>239</v>
      </c>
      <c r="I124" s="45">
        <f t="shared" si="15"/>
        <v>0</v>
      </c>
      <c r="J124" s="56">
        <f t="shared" si="16"/>
        <v>0</v>
      </c>
      <c r="K124" s="56">
        <f t="shared" si="17"/>
        <v>0</v>
      </c>
      <c r="L124" s="56">
        <f t="shared" si="18"/>
        <v>0</v>
      </c>
      <c r="M124" s="56">
        <f t="shared" si="19"/>
        <v>0</v>
      </c>
      <c r="N124" s="56">
        <f t="shared" si="20"/>
        <v>0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50">
        <f t="shared" si="22"/>
        <v>0</v>
      </c>
    </row>
    <row r="125" spans="6:65" x14ac:dyDescent="0.15">
      <c r="F125" s="12" t="s">
        <v>928</v>
      </c>
      <c r="G125" s="205" t="s">
        <v>240</v>
      </c>
      <c r="H125" s="53" t="s">
        <v>241</v>
      </c>
      <c r="I125" s="45">
        <f t="shared" si="15"/>
        <v>0</v>
      </c>
      <c r="J125" s="56">
        <f t="shared" si="16"/>
        <v>0</v>
      </c>
      <c r="K125" s="56">
        <f t="shared" si="17"/>
        <v>0</v>
      </c>
      <c r="L125" s="56">
        <f t="shared" si="18"/>
        <v>0</v>
      </c>
      <c r="M125" s="56">
        <f t="shared" si="19"/>
        <v>0</v>
      </c>
      <c r="N125" s="56">
        <f t="shared" si="20"/>
        <v>0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50">
        <f t="shared" si="22"/>
        <v>0</v>
      </c>
    </row>
    <row r="126" spans="6:65" x14ac:dyDescent="0.15">
      <c r="F126" s="12" t="s">
        <v>928</v>
      </c>
      <c r="G126" s="205" t="s">
        <v>242</v>
      </c>
      <c r="H126" s="4" t="s">
        <v>243</v>
      </c>
      <c r="I126" s="45">
        <f t="shared" si="15"/>
        <v>0</v>
      </c>
      <c r="J126" s="56">
        <f t="shared" si="16"/>
        <v>0</v>
      </c>
      <c r="K126" s="56">
        <f t="shared" si="17"/>
        <v>0</v>
      </c>
      <c r="L126" s="56">
        <f t="shared" si="18"/>
        <v>0</v>
      </c>
      <c r="M126" s="56">
        <f t="shared" si="19"/>
        <v>0</v>
      </c>
      <c r="N126" s="56">
        <f t="shared" si="20"/>
        <v>0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50">
        <f t="shared" si="22"/>
        <v>0</v>
      </c>
    </row>
    <row r="127" spans="6:65" x14ac:dyDescent="0.15">
      <c r="F127" s="12" t="s">
        <v>928</v>
      </c>
      <c r="G127" s="205" t="s">
        <v>244</v>
      </c>
      <c r="H127" s="4" t="s">
        <v>245</v>
      </c>
      <c r="I127" s="45">
        <f t="shared" si="15"/>
        <v>0</v>
      </c>
      <c r="J127" s="56">
        <f t="shared" si="16"/>
        <v>0</v>
      </c>
      <c r="K127" s="56">
        <f t="shared" si="17"/>
        <v>0</v>
      </c>
      <c r="L127" s="56">
        <f t="shared" si="18"/>
        <v>0</v>
      </c>
      <c r="M127" s="56">
        <f t="shared" si="19"/>
        <v>0</v>
      </c>
      <c r="N127" s="56">
        <f t="shared" si="20"/>
        <v>0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50">
        <f t="shared" si="22"/>
        <v>0</v>
      </c>
    </row>
    <row r="128" spans="6:65" x14ac:dyDescent="0.15">
      <c r="F128" s="12" t="s">
        <v>928</v>
      </c>
      <c r="G128" s="205" t="s">
        <v>246</v>
      </c>
      <c r="H128" s="53" t="s">
        <v>247</v>
      </c>
      <c r="I128" s="45">
        <f t="shared" si="15"/>
        <v>0</v>
      </c>
      <c r="J128" s="56">
        <f t="shared" si="16"/>
        <v>0</v>
      </c>
      <c r="K128" s="56">
        <f t="shared" si="17"/>
        <v>0</v>
      </c>
      <c r="L128" s="56">
        <f t="shared" si="18"/>
        <v>0</v>
      </c>
      <c r="M128" s="56">
        <f t="shared" si="19"/>
        <v>0</v>
      </c>
      <c r="N128" s="56">
        <f t="shared" si="20"/>
        <v>0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50">
        <f t="shared" si="22"/>
        <v>0</v>
      </c>
    </row>
    <row r="129" spans="6:65" x14ac:dyDescent="0.15">
      <c r="F129" s="12" t="s">
        <v>930</v>
      </c>
      <c r="G129" s="205" t="s">
        <v>248</v>
      </c>
      <c r="H129" s="4" t="s">
        <v>249</v>
      </c>
      <c r="I129" s="45">
        <f t="shared" si="15"/>
        <v>0</v>
      </c>
      <c r="J129" s="56">
        <f t="shared" si="16"/>
        <v>0</v>
      </c>
      <c r="K129" s="56">
        <f t="shared" si="17"/>
        <v>0</v>
      </c>
      <c r="L129" s="56">
        <f t="shared" si="18"/>
        <v>0</v>
      </c>
      <c r="M129" s="56">
        <f t="shared" si="19"/>
        <v>0</v>
      </c>
      <c r="N129" s="56">
        <f t="shared" si="20"/>
        <v>0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50">
        <f t="shared" si="22"/>
        <v>0</v>
      </c>
    </row>
    <row r="130" spans="6:65" x14ac:dyDescent="0.15">
      <c r="F130" s="12" t="s">
        <v>928</v>
      </c>
      <c r="G130" s="205" t="s">
        <v>895</v>
      </c>
      <c r="H130" s="4" t="s">
        <v>251</v>
      </c>
      <c r="I130" s="45">
        <f t="shared" ref="I130" si="27">SUM(J130:L130)</f>
        <v>0</v>
      </c>
      <c r="J130" s="56">
        <f t="shared" ref="J130" si="28">O130+T130+Y130+AD130+AI130+AN130+AS130+AX130+BC130+BH130</f>
        <v>0</v>
      </c>
      <c r="K130" s="56">
        <f t="shared" ref="K130" si="29">P130+U130+Z130+AE130+AJ130+AO130+AT130+AY130+BD130+BI130</f>
        <v>0</v>
      </c>
      <c r="L130" s="56">
        <f t="shared" ref="L130" si="30">Q130+V130+AA130+AF130+AK130+AP130+AU130+AZ130+BE130+BJ130</f>
        <v>0</v>
      </c>
      <c r="M130" s="56">
        <f t="shared" ref="M130" si="31">R130+W130+AB130+AG130+AL130+AQ130+AV130+BA130+BF130+BK130</f>
        <v>0</v>
      </c>
      <c r="N130" s="56">
        <f t="shared" ref="N130" si="32">S130+X130+AC130+AH130+AM130+AR130+AW130+BB130+BG130+BL130</f>
        <v>0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50">
        <f t="shared" ref="BM130" si="33">SUM(I130:BL130)</f>
        <v>0</v>
      </c>
    </row>
    <row r="131" spans="6:65" x14ac:dyDescent="0.15">
      <c r="F131" s="12" t="s">
        <v>929</v>
      </c>
      <c r="G131" s="205" t="s">
        <v>250</v>
      </c>
      <c r="H131" s="53" t="s">
        <v>253</v>
      </c>
      <c r="I131" s="45">
        <f t="shared" si="15"/>
        <v>0</v>
      </c>
      <c r="J131" s="56">
        <f t="shared" si="16"/>
        <v>0</v>
      </c>
      <c r="K131" s="56">
        <f t="shared" si="17"/>
        <v>0</v>
      </c>
      <c r="L131" s="56">
        <f t="shared" si="18"/>
        <v>0</v>
      </c>
      <c r="M131" s="56">
        <f t="shared" si="19"/>
        <v>0</v>
      </c>
      <c r="N131" s="56">
        <f t="shared" si="20"/>
        <v>0</v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50">
        <f t="shared" si="22"/>
        <v>0</v>
      </c>
    </row>
    <row r="132" spans="6:65" x14ac:dyDescent="0.15">
      <c r="F132" s="12" t="s">
        <v>929</v>
      </c>
      <c r="G132" s="205" t="s">
        <v>252</v>
      </c>
      <c r="H132" s="4" t="s">
        <v>255</v>
      </c>
      <c r="I132" s="45">
        <f t="shared" si="15"/>
        <v>0</v>
      </c>
      <c r="J132" s="56">
        <f t="shared" si="16"/>
        <v>0</v>
      </c>
      <c r="K132" s="56">
        <f t="shared" si="17"/>
        <v>0</v>
      </c>
      <c r="L132" s="56">
        <f t="shared" si="18"/>
        <v>0</v>
      </c>
      <c r="M132" s="56">
        <f t="shared" si="19"/>
        <v>0</v>
      </c>
      <c r="N132" s="56">
        <f t="shared" si="20"/>
        <v>0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50">
        <f t="shared" si="22"/>
        <v>0</v>
      </c>
    </row>
    <row r="133" spans="6:65" x14ac:dyDescent="0.15">
      <c r="F133" s="12" t="s">
        <v>932</v>
      </c>
      <c r="G133" s="205" t="s">
        <v>254</v>
      </c>
      <c r="H133" s="4" t="s">
        <v>257</v>
      </c>
      <c r="I133" s="45">
        <f t="shared" si="15"/>
        <v>0</v>
      </c>
      <c r="J133" s="56">
        <f t="shared" si="16"/>
        <v>0</v>
      </c>
      <c r="K133" s="56">
        <f t="shared" si="17"/>
        <v>0</v>
      </c>
      <c r="L133" s="56">
        <f t="shared" si="18"/>
        <v>0</v>
      </c>
      <c r="M133" s="56">
        <f t="shared" si="19"/>
        <v>0</v>
      </c>
      <c r="N133" s="56">
        <f t="shared" si="20"/>
        <v>0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50">
        <f t="shared" si="22"/>
        <v>0</v>
      </c>
    </row>
    <row r="134" spans="6:65" ht="21" x14ac:dyDescent="0.15">
      <c r="F134" s="12" t="s">
        <v>931</v>
      </c>
      <c r="G134" s="207" t="s">
        <v>256</v>
      </c>
      <c r="H134" s="53" t="s">
        <v>259</v>
      </c>
      <c r="I134" s="45">
        <f t="shared" si="15"/>
        <v>0</v>
      </c>
      <c r="J134" s="56">
        <f t="shared" si="16"/>
        <v>0</v>
      </c>
      <c r="K134" s="56">
        <f t="shared" si="17"/>
        <v>0</v>
      </c>
      <c r="L134" s="56">
        <f t="shared" si="18"/>
        <v>0</v>
      </c>
      <c r="M134" s="56">
        <f t="shared" si="19"/>
        <v>0</v>
      </c>
      <c r="N134" s="56">
        <f t="shared" si="20"/>
        <v>0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50">
        <f t="shared" si="22"/>
        <v>0</v>
      </c>
    </row>
    <row r="135" spans="6:65" x14ac:dyDescent="0.15">
      <c r="F135" s="12" t="s">
        <v>928</v>
      </c>
      <c r="G135" s="207" t="s">
        <v>258</v>
      </c>
      <c r="H135" s="4" t="s">
        <v>261</v>
      </c>
      <c r="I135" s="45">
        <f t="shared" si="15"/>
        <v>0</v>
      </c>
      <c r="J135" s="56">
        <f t="shared" si="16"/>
        <v>0</v>
      </c>
      <c r="K135" s="56">
        <f t="shared" si="17"/>
        <v>0</v>
      </c>
      <c r="L135" s="56">
        <f t="shared" si="18"/>
        <v>0</v>
      </c>
      <c r="M135" s="56">
        <f t="shared" si="19"/>
        <v>0</v>
      </c>
      <c r="N135" s="56">
        <f t="shared" si="20"/>
        <v>0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50">
        <f t="shared" si="22"/>
        <v>0</v>
      </c>
    </row>
    <row r="136" spans="6:65" x14ac:dyDescent="0.15">
      <c r="F136" s="12" t="s">
        <v>928</v>
      </c>
      <c r="G136" s="207" t="s">
        <v>260</v>
      </c>
      <c r="H136" s="4" t="s">
        <v>263</v>
      </c>
      <c r="I136" s="45">
        <f t="shared" si="15"/>
        <v>0</v>
      </c>
      <c r="J136" s="56">
        <f t="shared" si="16"/>
        <v>0</v>
      </c>
      <c r="K136" s="56">
        <f t="shared" si="17"/>
        <v>0</v>
      </c>
      <c r="L136" s="56">
        <f t="shared" si="18"/>
        <v>0</v>
      </c>
      <c r="M136" s="56">
        <f t="shared" si="19"/>
        <v>0</v>
      </c>
      <c r="N136" s="56">
        <f t="shared" si="20"/>
        <v>0</v>
      </c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50">
        <f t="shared" si="22"/>
        <v>0</v>
      </c>
    </row>
    <row r="137" spans="6:65" x14ac:dyDescent="0.15">
      <c r="F137" s="12" t="s">
        <v>931</v>
      </c>
      <c r="G137" s="205" t="s">
        <v>262</v>
      </c>
      <c r="H137" s="53" t="s">
        <v>265</v>
      </c>
      <c r="I137" s="45">
        <f t="shared" si="15"/>
        <v>0</v>
      </c>
      <c r="J137" s="56">
        <f t="shared" si="16"/>
        <v>0</v>
      </c>
      <c r="K137" s="56">
        <f t="shared" si="17"/>
        <v>0</v>
      </c>
      <c r="L137" s="56">
        <f t="shared" si="18"/>
        <v>0</v>
      </c>
      <c r="M137" s="56">
        <f t="shared" si="19"/>
        <v>0</v>
      </c>
      <c r="N137" s="56">
        <f t="shared" si="20"/>
        <v>0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50">
        <f t="shared" si="22"/>
        <v>0</v>
      </c>
    </row>
    <row r="138" spans="6:65" x14ac:dyDescent="0.15">
      <c r="F138" s="12" t="s">
        <v>931</v>
      </c>
      <c r="G138" s="205" t="s">
        <v>264</v>
      </c>
      <c r="H138" s="4" t="s">
        <v>267</v>
      </c>
      <c r="I138" s="45">
        <f t="shared" si="15"/>
        <v>0</v>
      </c>
      <c r="J138" s="56">
        <f t="shared" si="16"/>
        <v>0</v>
      </c>
      <c r="K138" s="56">
        <f t="shared" si="17"/>
        <v>0</v>
      </c>
      <c r="L138" s="56">
        <f t="shared" si="18"/>
        <v>0</v>
      </c>
      <c r="M138" s="56">
        <f t="shared" si="19"/>
        <v>0</v>
      </c>
      <c r="N138" s="56">
        <f t="shared" si="20"/>
        <v>0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50">
        <f t="shared" si="22"/>
        <v>0</v>
      </c>
    </row>
    <row r="139" spans="6:65" x14ac:dyDescent="0.15">
      <c r="F139" s="12" t="s">
        <v>928</v>
      </c>
      <c r="G139" s="205" t="s">
        <v>266</v>
      </c>
      <c r="H139" s="4" t="s">
        <v>269</v>
      </c>
      <c r="I139" s="45">
        <f t="shared" si="15"/>
        <v>0</v>
      </c>
      <c r="J139" s="56">
        <f t="shared" si="16"/>
        <v>0</v>
      </c>
      <c r="K139" s="56">
        <f t="shared" si="17"/>
        <v>0</v>
      </c>
      <c r="L139" s="56">
        <f t="shared" si="18"/>
        <v>0</v>
      </c>
      <c r="M139" s="56">
        <f t="shared" si="19"/>
        <v>0</v>
      </c>
      <c r="N139" s="56">
        <f t="shared" si="20"/>
        <v>0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50">
        <f t="shared" si="22"/>
        <v>0</v>
      </c>
    </row>
    <row r="140" spans="6:65" x14ac:dyDescent="0.15">
      <c r="F140" s="12" t="s">
        <v>928</v>
      </c>
      <c r="G140" s="205" t="s">
        <v>268</v>
      </c>
      <c r="H140" s="53" t="s">
        <v>271</v>
      </c>
      <c r="I140" s="45">
        <f t="shared" si="15"/>
        <v>0</v>
      </c>
      <c r="J140" s="56">
        <f t="shared" si="16"/>
        <v>0</v>
      </c>
      <c r="K140" s="56">
        <f t="shared" si="17"/>
        <v>0</v>
      </c>
      <c r="L140" s="56">
        <f t="shared" si="18"/>
        <v>0</v>
      </c>
      <c r="M140" s="56">
        <f t="shared" si="19"/>
        <v>0</v>
      </c>
      <c r="N140" s="56">
        <f t="shared" si="20"/>
        <v>0</v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50">
        <f t="shared" si="22"/>
        <v>0</v>
      </c>
    </row>
    <row r="141" spans="6:65" x14ac:dyDescent="0.15">
      <c r="F141" s="12" t="s">
        <v>928</v>
      </c>
      <c r="G141" s="205" t="s">
        <v>270</v>
      </c>
      <c r="H141" s="4" t="s">
        <v>273</v>
      </c>
      <c r="I141" s="45">
        <f t="shared" ref="I141:I204" si="34">SUM(J141:L141)</f>
        <v>0</v>
      </c>
      <c r="J141" s="56">
        <f t="shared" ref="J141:J204" si="35">O141+T141+Y141+AD141+AI141+AN141+AS141+AX141+BC141+BH141</f>
        <v>0</v>
      </c>
      <c r="K141" s="56">
        <f t="shared" ref="K141:K204" si="36">P141+U141+Z141+AE141+AJ141+AO141+AT141+AY141+BD141+BI141</f>
        <v>0</v>
      </c>
      <c r="L141" s="56">
        <f t="shared" ref="L141:L204" si="37">Q141+V141+AA141+AF141+AK141+AP141+AU141+AZ141+BE141+BJ141</f>
        <v>0</v>
      </c>
      <c r="M141" s="56">
        <f t="shared" ref="M141:M204" si="38">R141+W141+AB141+AG141+AL141+AQ141+AV141+BA141+BF141+BK141</f>
        <v>0</v>
      </c>
      <c r="N141" s="56">
        <f t="shared" ref="N141:N204" si="39">S141+X141+AC141+AH141+AM141+AR141+AW141+BB141+BG141+BL141</f>
        <v>0</v>
      </c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50">
        <f t="shared" ref="BM141:BM204" si="40">SUM(I141:BL141)</f>
        <v>0</v>
      </c>
    </row>
    <row r="142" spans="6:65" x14ac:dyDescent="0.15">
      <c r="F142" s="12" t="s">
        <v>928</v>
      </c>
      <c r="G142" s="205" t="s">
        <v>272</v>
      </c>
      <c r="H142" s="4" t="s">
        <v>275</v>
      </c>
      <c r="I142" s="45">
        <f t="shared" si="34"/>
        <v>0</v>
      </c>
      <c r="J142" s="56">
        <f t="shared" si="35"/>
        <v>0</v>
      </c>
      <c r="K142" s="56">
        <f t="shared" si="36"/>
        <v>0</v>
      </c>
      <c r="L142" s="56">
        <f t="shared" si="37"/>
        <v>0</v>
      </c>
      <c r="M142" s="56">
        <f t="shared" si="38"/>
        <v>0</v>
      </c>
      <c r="N142" s="56">
        <f t="shared" si="39"/>
        <v>0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50">
        <f t="shared" si="40"/>
        <v>0</v>
      </c>
    </row>
    <row r="143" spans="6:65" x14ac:dyDescent="0.15">
      <c r="F143" s="12" t="s">
        <v>930</v>
      </c>
      <c r="G143" s="205" t="s">
        <v>274</v>
      </c>
      <c r="H143" s="53" t="s">
        <v>277</v>
      </c>
      <c r="I143" s="45">
        <f t="shared" si="34"/>
        <v>0</v>
      </c>
      <c r="J143" s="56">
        <f t="shared" si="35"/>
        <v>0</v>
      </c>
      <c r="K143" s="56">
        <f t="shared" si="36"/>
        <v>0</v>
      </c>
      <c r="L143" s="56">
        <f t="shared" si="37"/>
        <v>0</v>
      </c>
      <c r="M143" s="56">
        <f t="shared" si="38"/>
        <v>0</v>
      </c>
      <c r="N143" s="56">
        <f t="shared" si="39"/>
        <v>0</v>
      </c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50">
        <f t="shared" si="40"/>
        <v>0</v>
      </c>
    </row>
    <row r="144" spans="6:65" x14ac:dyDescent="0.15">
      <c r="F144" s="12" t="s">
        <v>928</v>
      </c>
      <c r="G144" s="205" t="s">
        <v>276</v>
      </c>
      <c r="H144" s="4" t="s">
        <v>279</v>
      </c>
      <c r="I144" s="45">
        <f t="shared" si="34"/>
        <v>0</v>
      </c>
      <c r="J144" s="56">
        <f t="shared" si="35"/>
        <v>0</v>
      </c>
      <c r="K144" s="56">
        <f t="shared" si="36"/>
        <v>0</v>
      </c>
      <c r="L144" s="56">
        <f t="shared" si="37"/>
        <v>0</v>
      </c>
      <c r="M144" s="56">
        <f t="shared" si="38"/>
        <v>0</v>
      </c>
      <c r="N144" s="56">
        <f t="shared" si="39"/>
        <v>0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50">
        <f t="shared" si="40"/>
        <v>0</v>
      </c>
    </row>
    <row r="145" spans="6:65" x14ac:dyDescent="0.15">
      <c r="F145" s="12" t="s">
        <v>928</v>
      </c>
      <c r="G145" s="205" t="s">
        <v>278</v>
      </c>
      <c r="H145" s="4" t="s">
        <v>281</v>
      </c>
      <c r="I145" s="45">
        <f t="shared" si="34"/>
        <v>0</v>
      </c>
      <c r="J145" s="56">
        <f t="shared" si="35"/>
        <v>0</v>
      </c>
      <c r="K145" s="56">
        <f t="shared" si="36"/>
        <v>0</v>
      </c>
      <c r="L145" s="56">
        <f t="shared" si="37"/>
        <v>0</v>
      </c>
      <c r="M145" s="56">
        <f t="shared" si="38"/>
        <v>0</v>
      </c>
      <c r="N145" s="56">
        <f t="shared" si="39"/>
        <v>0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50">
        <f t="shared" si="40"/>
        <v>0</v>
      </c>
    </row>
    <row r="146" spans="6:65" x14ac:dyDescent="0.15">
      <c r="F146" s="12" t="s">
        <v>930</v>
      </c>
      <c r="G146" s="205" t="s">
        <v>280</v>
      </c>
      <c r="H146" s="53" t="s">
        <v>283</v>
      </c>
      <c r="I146" s="45">
        <f t="shared" si="34"/>
        <v>0</v>
      </c>
      <c r="J146" s="56">
        <f t="shared" si="35"/>
        <v>0</v>
      </c>
      <c r="K146" s="56">
        <f t="shared" si="36"/>
        <v>0</v>
      </c>
      <c r="L146" s="56">
        <f t="shared" si="37"/>
        <v>0</v>
      </c>
      <c r="M146" s="56">
        <f t="shared" si="38"/>
        <v>0</v>
      </c>
      <c r="N146" s="56">
        <f t="shared" si="39"/>
        <v>0</v>
      </c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50">
        <f t="shared" si="40"/>
        <v>0</v>
      </c>
    </row>
    <row r="147" spans="6:65" x14ac:dyDescent="0.15">
      <c r="F147" s="12" t="s">
        <v>928</v>
      </c>
      <c r="G147" s="205" t="s">
        <v>282</v>
      </c>
      <c r="H147" s="4" t="s">
        <v>285</v>
      </c>
      <c r="I147" s="45">
        <f t="shared" si="34"/>
        <v>0</v>
      </c>
      <c r="J147" s="56">
        <f t="shared" si="35"/>
        <v>0</v>
      </c>
      <c r="K147" s="56">
        <f t="shared" si="36"/>
        <v>0</v>
      </c>
      <c r="L147" s="56">
        <f t="shared" si="37"/>
        <v>0</v>
      </c>
      <c r="M147" s="56">
        <f t="shared" si="38"/>
        <v>0</v>
      </c>
      <c r="N147" s="56">
        <f t="shared" si="39"/>
        <v>0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50">
        <f t="shared" si="40"/>
        <v>0</v>
      </c>
    </row>
    <row r="148" spans="6:65" x14ac:dyDescent="0.15">
      <c r="F148" s="12" t="s">
        <v>928</v>
      </c>
      <c r="G148" s="205" t="s">
        <v>284</v>
      </c>
      <c r="H148" s="4" t="s">
        <v>287</v>
      </c>
      <c r="I148" s="45">
        <f t="shared" si="34"/>
        <v>0</v>
      </c>
      <c r="J148" s="56">
        <f t="shared" si="35"/>
        <v>0</v>
      </c>
      <c r="K148" s="56">
        <f t="shared" si="36"/>
        <v>0</v>
      </c>
      <c r="L148" s="56">
        <f t="shared" si="37"/>
        <v>0</v>
      </c>
      <c r="M148" s="56">
        <f t="shared" si="38"/>
        <v>0</v>
      </c>
      <c r="N148" s="56">
        <f t="shared" si="39"/>
        <v>0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50">
        <f t="shared" si="40"/>
        <v>0</v>
      </c>
    </row>
    <row r="149" spans="6:65" x14ac:dyDescent="0.15">
      <c r="F149" s="12" t="s">
        <v>928</v>
      </c>
      <c r="G149" s="205" t="s">
        <v>286</v>
      </c>
      <c r="H149" s="53" t="s">
        <v>289</v>
      </c>
      <c r="I149" s="45">
        <f t="shared" si="34"/>
        <v>0</v>
      </c>
      <c r="J149" s="56">
        <f t="shared" si="35"/>
        <v>0</v>
      </c>
      <c r="K149" s="56">
        <f t="shared" si="36"/>
        <v>0</v>
      </c>
      <c r="L149" s="56">
        <f t="shared" si="37"/>
        <v>0</v>
      </c>
      <c r="M149" s="56">
        <f t="shared" si="38"/>
        <v>0</v>
      </c>
      <c r="N149" s="56">
        <f t="shared" si="39"/>
        <v>0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50">
        <f t="shared" si="40"/>
        <v>0</v>
      </c>
    </row>
    <row r="150" spans="6:65" x14ac:dyDescent="0.15">
      <c r="F150" s="12" t="s">
        <v>930</v>
      </c>
      <c r="G150" s="205" t="s">
        <v>288</v>
      </c>
      <c r="H150" s="4" t="s">
        <v>291</v>
      </c>
      <c r="I150" s="45">
        <f t="shared" si="34"/>
        <v>0</v>
      </c>
      <c r="J150" s="56">
        <f t="shared" si="35"/>
        <v>0</v>
      </c>
      <c r="K150" s="56">
        <f t="shared" si="36"/>
        <v>0</v>
      </c>
      <c r="L150" s="56">
        <f t="shared" si="37"/>
        <v>0</v>
      </c>
      <c r="M150" s="56">
        <f t="shared" si="38"/>
        <v>0</v>
      </c>
      <c r="N150" s="56">
        <f t="shared" si="39"/>
        <v>0</v>
      </c>
      <c r="O150" s="48">
        <f t="shared" ref="O150:BL150" si="41">SUM(O151:O152)</f>
        <v>0</v>
      </c>
      <c r="P150" s="48">
        <f t="shared" si="41"/>
        <v>0</v>
      </c>
      <c r="Q150" s="48">
        <f t="shared" si="41"/>
        <v>0</v>
      </c>
      <c r="R150" s="48">
        <f t="shared" si="41"/>
        <v>0</v>
      </c>
      <c r="S150" s="48">
        <f t="shared" si="41"/>
        <v>0</v>
      </c>
      <c r="T150" s="48">
        <f t="shared" si="41"/>
        <v>0</v>
      </c>
      <c r="U150" s="48">
        <f t="shared" si="41"/>
        <v>0</v>
      </c>
      <c r="V150" s="48">
        <f t="shared" si="41"/>
        <v>0</v>
      </c>
      <c r="W150" s="48">
        <f t="shared" si="41"/>
        <v>0</v>
      </c>
      <c r="X150" s="48">
        <f t="shared" si="41"/>
        <v>0</v>
      </c>
      <c r="Y150" s="48">
        <f t="shared" si="41"/>
        <v>0</v>
      </c>
      <c r="Z150" s="48">
        <f t="shared" si="41"/>
        <v>0</v>
      </c>
      <c r="AA150" s="48">
        <f t="shared" si="41"/>
        <v>0</v>
      </c>
      <c r="AB150" s="48">
        <f t="shared" si="41"/>
        <v>0</v>
      </c>
      <c r="AC150" s="48">
        <f t="shared" si="41"/>
        <v>0</v>
      </c>
      <c r="AD150" s="48">
        <f t="shared" si="41"/>
        <v>0</v>
      </c>
      <c r="AE150" s="48">
        <f t="shared" si="41"/>
        <v>0</v>
      </c>
      <c r="AF150" s="48">
        <f t="shared" si="41"/>
        <v>0</v>
      </c>
      <c r="AG150" s="48">
        <f t="shared" si="41"/>
        <v>0</v>
      </c>
      <c r="AH150" s="48">
        <f t="shared" si="41"/>
        <v>0</v>
      </c>
      <c r="AI150" s="48">
        <f t="shared" si="41"/>
        <v>0</v>
      </c>
      <c r="AJ150" s="48">
        <f t="shared" si="41"/>
        <v>0</v>
      </c>
      <c r="AK150" s="48">
        <f t="shared" si="41"/>
        <v>0</v>
      </c>
      <c r="AL150" s="48">
        <f t="shared" si="41"/>
        <v>0</v>
      </c>
      <c r="AM150" s="48">
        <f t="shared" si="41"/>
        <v>0</v>
      </c>
      <c r="AN150" s="48">
        <f t="shared" si="41"/>
        <v>0</v>
      </c>
      <c r="AO150" s="48">
        <f t="shared" si="41"/>
        <v>0</v>
      </c>
      <c r="AP150" s="48">
        <f t="shared" si="41"/>
        <v>0</v>
      </c>
      <c r="AQ150" s="48">
        <f t="shared" si="41"/>
        <v>0</v>
      </c>
      <c r="AR150" s="48">
        <f t="shared" si="41"/>
        <v>0</v>
      </c>
      <c r="AS150" s="48">
        <f t="shared" si="41"/>
        <v>0</v>
      </c>
      <c r="AT150" s="48">
        <f t="shared" si="41"/>
        <v>0</v>
      </c>
      <c r="AU150" s="48">
        <f t="shared" si="41"/>
        <v>0</v>
      </c>
      <c r="AV150" s="48">
        <f t="shared" si="41"/>
        <v>0</v>
      </c>
      <c r="AW150" s="48">
        <f t="shared" si="41"/>
        <v>0</v>
      </c>
      <c r="AX150" s="48">
        <f t="shared" si="41"/>
        <v>0</v>
      </c>
      <c r="AY150" s="48">
        <f t="shared" si="41"/>
        <v>0</v>
      </c>
      <c r="AZ150" s="48">
        <f t="shared" si="41"/>
        <v>0</v>
      </c>
      <c r="BA150" s="48">
        <f t="shared" si="41"/>
        <v>0</v>
      </c>
      <c r="BB150" s="48">
        <f t="shared" si="41"/>
        <v>0</v>
      </c>
      <c r="BC150" s="48">
        <f t="shared" si="41"/>
        <v>0</v>
      </c>
      <c r="BD150" s="48">
        <f t="shared" si="41"/>
        <v>0</v>
      </c>
      <c r="BE150" s="48">
        <f t="shared" si="41"/>
        <v>0</v>
      </c>
      <c r="BF150" s="48">
        <f t="shared" si="41"/>
        <v>0</v>
      </c>
      <c r="BG150" s="48">
        <f t="shared" si="41"/>
        <v>0</v>
      </c>
      <c r="BH150" s="48">
        <f t="shared" si="41"/>
        <v>0</v>
      </c>
      <c r="BI150" s="48">
        <f t="shared" si="41"/>
        <v>0</v>
      </c>
      <c r="BJ150" s="48">
        <f t="shared" si="41"/>
        <v>0</v>
      </c>
      <c r="BK150" s="48">
        <f t="shared" si="41"/>
        <v>0</v>
      </c>
      <c r="BL150" s="48">
        <f t="shared" si="41"/>
        <v>0</v>
      </c>
      <c r="BM150" s="50">
        <f t="shared" si="40"/>
        <v>0</v>
      </c>
    </row>
    <row r="151" spans="6:65" ht="21" x14ac:dyDescent="0.15">
      <c r="F151" s="12" t="s">
        <v>930</v>
      </c>
      <c r="G151" s="206" t="s">
        <v>290</v>
      </c>
      <c r="H151" s="4" t="s">
        <v>293</v>
      </c>
      <c r="I151" s="45">
        <f t="shared" si="34"/>
        <v>0</v>
      </c>
      <c r="J151" s="56">
        <f t="shared" si="35"/>
        <v>0</v>
      </c>
      <c r="K151" s="56">
        <f t="shared" si="36"/>
        <v>0</v>
      </c>
      <c r="L151" s="56">
        <f t="shared" si="37"/>
        <v>0</v>
      </c>
      <c r="M151" s="56">
        <f t="shared" si="38"/>
        <v>0</v>
      </c>
      <c r="N151" s="56">
        <f t="shared" si="39"/>
        <v>0</v>
      </c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50">
        <f t="shared" si="40"/>
        <v>0</v>
      </c>
    </row>
    <row r="152" spans="6:65" ht="21" x14ac:dyDescent="0.15">
      <c r="F152" s="12" t="s">
        <v>930</v>
      </c>
      <c r="G152" s="206" t="s">
        <v>292</v>
      </c>
      <c r="H152" s="53" t="s">
        <v>295</v>
      </c>
      <c r="I152" s="45">
        <f t="shared" si="34"/>
        <v>0</v>
      </c>
      <c r="J152" s="56">
        <f t="shared" si="35"/>
        <v>0</v>
      </c>
      <c r="K152" s="56">
        <f t="shared" si="36"/>
        <v>0</v>
      </c>
      <c r="L152" s="56">
        <f t="shared" si="37"/>
        <v>0</v>
      </c>
      <c r="M152" s="56">
        <f t="shared" si="38"/>
        <v>0</v>
      </c>
      <c r="N152" s="56">
        <f t="shared" si="39"/>
        <v>0</v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50">
        <f t="shared" si="40"/>
        <v>0</v>
      </c>
    </row>
    <row r="153" spans="6:65" x14ac:dyDescent="0.15">
      <c r="F153" s="12" t="s">
        <v>928</v>
      </c>
      <c r="G153" s="205" t="s">
        <v>294</v>
      </c>
      <c r="H153" s="4" t="s">
        <v>297</v>
      </c>
      <c r="I153" s="45">
        <f t="shared" si="34"/>
        <v>0</v>
      </c>
      <c r="J153" s="56">
        <f t="shared" si="35"/>
        <v>0</v>
      </c>
      <c r="K153" s="56">
        <f t="shared" si="36"/>
        <v>0</v>
      </c>
      <c r="L153" s="56">
        <f t="shared" si="37"/>
        <v>0</v>
      </c>
      <c r="M153" s="56">
        <f t="shared" si="38"/>
        <v>0</v>
      </c>
      <c r="N153" s="56">
        <f t="shared" si="39"/>
        <v>0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50">
        <f t="shared" si="40"/>
        <v>0</v>
      </c>
    </row>
    <row r="154" spans="6:65" x14ac:dyDescent="0.15">
      <c r="F154" s="12" t="s">
        <v>928</v>
      </c>
      <c r="G154" s="205" t="s">
        <v>296</v>
      </c>
      <c r="H154" s="4" t="s">
        <v>299</v>
      </c>
      <c r="I154" s="45">
        <f t="shared" si="34"/>
        <v>0</v>
      </c>
      <c r="J154" s="56">
        <f t="shared" si="35"/>
        <v>0</v>
      </c>
      <c r="K154" s="56">
        <f t="shared" si="36"/>
        <v>0</v>
      </c>
      <c r="L154" s="56">
        <f t="shared" si="37"/>
        <v>0</v>
      </c>
      <c r="M154" s="56">
        <f t="shared" si="38"/>
        <v>0</v>
      </c>
      <c r="N154" s="56">
        <f t="shared" si="39"/>
        <v>0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50">
        <f t="shared" si="40"/>
        <v>0</v>
      </c>
    </row>
    <row r="155" spans="6:65" x14ac:dyDescent="0.15">
      <c r="F155" s="12" t="s">
        <v>931</v>
      </c>
      <c r="G155" s="205" t="s">
        <v>298</v>
      </c>
      <c r="H155" s="53" t="s">
        <v>301</v>
      </c>
      <c r="I155" s="45">
        <f t="shared" si="34"/>
        <v>0</v>
      </c>
      <c r="J155" s="56">
        <f t="shared" si="35"/>
        <v>0</v>
      </c>
      <c r="K155" s="56">
        <f t="shared" si="36"/>
        <v>0</v>
      </c>
      <c r="L155" s="56">
        <f t="shared" si="37"/>
        <v>0</v>
      </c>
      <c r="M155" s="56">
        <f t="shared" si="38"/>
        <v>0</v>
      </c>
      <c r="N155" s="56">
        <f t="shared" si="39"/>
        <v>0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50">
        <f t="shared" si="40"/>
        <v>0</v>
      </c>
    </row>
    <row r="156" spans="6:65" x14ac:dyDescent="0.15">
      <c r="F156" s="12" t="s">
        <v>928</v>
      </c>
      <c r="G156" s="205" t="s">
        <v>300</v>
      </c>
      <c r="H156" s="4" t="s">
        <v>303</v>
      </c>
      <c r="I156" s="45">
        <f t="shared" si="34"/>
        <v>0</v>
      </c>
      <c r="J156" s="56">
        <f t="shared" si="35"/>
        <v>0</v>
      </c>
      <c r="K156" s="56">
        <f t="shared" si="36"/>
        <v>0</v>
      </c>
      <c r="L156" s="56">
        <f t="shared" si="37"/>
        <v>0</v>
      </c>
      <c r="M156" s="56">
        <f t="shared" si="38"/>
        <v>0</v>
      </c>
      <c r="N156" s="56">
        <f t="shared" si="39"/>
        <v>0</v>
      </c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50">
        <f t="shared" si="40"/>
        <v>0</v>
      </c>
    </row>
    <row r="157" spans="6:65" x14ac:dyDescent="0.15">
      <c r="F157" s="12" t="s">
        <v>928</v>
      </c>
      <c r="G157" s="205" t="s">
        <v>302</v>
      </c>
      <c r="H157" s="4" t="s">
        <v>305</v>
      </c>
      <c r="I157" s="45">
        <f t="shared" si="34"/>
        <v>0</v>
      </c>
      <c r="J157" s="56">
        <f t="shared" si="35"/>
        <v>0</v>
      </c>
      <c r="K157" s="56">
        <f t="shared" si="36"/>
        <v>0</v>
      </c>
      <c r="L157" s="56">
        <f t="shared" si="37"/>
        <v>0</v>
      </c>
      <c r="M157" s="56">
        <f t="shared" si="38"/>
        <v>0</v>
      </c>
      <c r="N157" s="56">
        <f t="shared" si="39"/>
        <v>0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50">
        <f t="shared" si="40"/>
        <v>0</v>
      </c>
    </row>
    <row r="158" spans="6:65" x14ac:dyDescent="0.15">
      <c r="F158" s="12" t="s">
        <v>930</v>
      </c>
      <c r="G158" s="205" t="s">
        <v>304</v>
      </c>
      <c r="H158" s="53" t="s">
        <v>307</v>
      </c>
      <c r="I158" s="45">
        <f t="shared" si="34"/>
        <v>0</v>
      </c>
      <c r="J158" s="56">
        <f t="shared" si="35"/>
        <v>0</v>
      </c>
      <c r="K158" s="56">
        <f t="shared" si="36"/>
        <v>0</v>
      </c>
      <c r="L158" s="56">
        <f t="shared" si="37"/>
        <v>0</v>
      </c>
      <c r="M158" s="56">
        <f t="shared" si="38"/>
        <v>0</v>
      </c>
      <c r="N158" s="56">
        <f t="shared" si="39"/>
        <v>0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50">
        <f t="shared" si="40"/>
        <v>0</v>
      </c>
    </row>
    <row r="159" spans="6:65" x14ac:dyDescent="0.15">
      <c r="F159" s="12" t="s">
        <v>930</v>
      </c>
      <c r="G159" s="205" t="s">
        <v>306</v>
      </c>
      <c r="H159" s="4" t="s">
        <v>309</v>
      </c>
      <c r="I159" s="45">
        <f t="shared" si="34"/>
        <v>0</v>
      </c>
      <c r="J159" s="56">
        <f t="shared" si="35"/>
        <v>0</v>
      </c>
      <c r="K159" s="56">
        <f t="shared" si="36"/>
        <v>0</v>
      </c>
      <c r="L159" s="56">
        <f t="shared" si="37"/>
        <v>0</v>
      </c>
      <c r="M159" s="56">
        <f t="shared" si="38"/>
        <v>0</v>
      </c>
      <c r="N159" s="56">
        <f t="shared" si="39"/>
        <v>0</v>
      </c>
      <c r="O159" s="46">
        <f t="shared" ref="O159:BL159" si="42">SUM(O160:O163)</f>
        <v>0</v>
      </c>
      <c r="P159" s="46">
        <f t="shared" si="42"/>
        <v>0</v>
      </c>
      <c r="Q159" s="46">
        <f t="shared" si="42"/>
        <v>0</v>
      </c>
      <c r="R159" s="46">
        <f t="shared" si="42"/>
        <v>0</v>
      </c>
      <c r="S159" s="46">
        <f t="shared" si="42"/>
        <v>0</v>
      </c>
      <c r="T159" s="46">
        <f t="shared" si="42"/>
        <v>0</v>
      </c>
      <c r="U159" s="46">
        <f t="shared" si="42"/>
        <v>0</v>
      </c>
      <c r="V159" s="46">
        <f t="shared" si="42"/>
        <v>0</v>
      </c>
      <c r="W159" s="46">
        <f t="shared" si="42"/>
        <v>0</v>
      </c>
      <c r="X159" s="46">
        <f t="shared" si="42"/>
        <v>0</v>
      </c>
      <c r="Y159" s="46">
        <f t="shared" si="42"/>
        <v>0</v>
      </c>
      <c r="Z159" s="46">
        <f t="shared" si="42"/>
        <v>0</v>
      </c>
      <c r="AA159" s="46">
        <f t="shared" si="42"/>
        <v>0</v>
      </c>
      <c r="AB159" s="46">
        <f t="shared" si="42"/>
        <v>0</v>
      </c>
      <c r="AC159" s="46">
        <f t="shared" si="42"/>
        <v>0</v>
      </c>
      <c r="AD159" s="46">
        <f t="shared" si="42"/>
        <v>0</v>
      </c>
      <c r="AE159" s="46">
        <f t="shared" si="42"/>
        <v>0</v>
      </c>
      <c r="AF159" s="46">
        <f t="shared" si="42"/>
        <v>0</v>
      </c>
      <c r="AG159" s="46">
        <f t="shared" si="42"/>
        <v>0</v>
      </c>
      <c r="AH159" s="46">
        <f t="shared" si="42"/>
        <v>0</v>
      </c>
      <c r="AI159" s="46">
        <f t="shared" si="42"/>
        <v>0</v>
      </c>
      <c r="AJ159" s="46">
        <f t="shared" si="42"/>
        <v>0</v>
      </c>
      <c r="AK159" s="46">
        <f t="shared" si="42"/>
        <v>0</v>
      </c>
      <c r="AL159" s="46">
        <f t="shared" si="42"/>
        <v>0</v>
      </c>
      <c r="AM159" s="46">
        <f t="shared" si="42"/>
        <v>0</v>
      </c>
      <c r="AN159" s="46">
        <f t="shared" si="42"/>
        <v>0</v>
      </c>
      <c r="AO159" s="46">
        <f t="shared" si="42"/>
        <v>0</v>
      </c>
      <c r="AP159" s="46">
        <f t="shared" si="42"/>
        <v>0</v>
      </c>
      <c r="AQ159" s="46">
        <f t="shared" si="42"/>
        <v>0</v>
      </c>
      <c r="AR159" s="46">
        <f t="shared" si="42"/>
        <v>0</v>
      </c>
      <c r="AS159" s="46">
        <f t="shared" si="42"/>
        <v>0</v>
      </c>
      <c r="AT159" s="46">
        <f t="shared" si="42"/>
        <v>0</v>
      </c>
      <c r="AU159" s="46">
        <f t="shared" si="42"/>
        <v>0</v>
      </c>
      <c r="AV159" s="46">
        <f t="shared" si="42"/>
        <v>0</v>
      </c>
      <c r="AW159" s="46">
        <f t="shared" si="42"/>
        <v>0</v>
      </c>
      <c r="AX159" s="46">
        <f t="shared" si="42"/>
        <v>0</v>
      </c>
      <c r="AY159" s="46">
        <f t="shared" si="42"/>
        <v>0</v>
      </c>
      <c r="AZ159" s="46">
        <f t="shared" si="42"/>
        <v>0</v>
      </c>
      <c r="BA159" s="46">
        <f t="shared" si="42"/>
        <v>0</v>
      </c>
      <c r="BB159" s="46">
        <f t="shared" si="42"/>
        <v>0</v>
      </c>
      <c r="BC159" s="46">
        <f t="shared" si="42"/>
        <v>0</v>
      </c>
      <c r="BD159" s="46">
        <f t="shared" si="42"/>
        <v>0</v>
      </c>
      <c r="BE159" s="46">
        <f t="shared" si="42"/>
        <v>0</v>
      </c>
      <c r="BF159" s="46">
        <f t="shared" si="42"/>
        <v>0</v>
      </c>
      <c r="BG159" s="46">
        <f t="shared" si="42"/>
        <v>0</v>
      </c>
      <c r="BH159" s="46">
        <f t="shared" si="42"/>
        <v>0</v>
      </c>
      <c r="BI159" s="46">
        <f t="shared" si="42"/>
        <v>0</v>
      </c>
      <c r="BJ159" s="46">
        <f t="shared" si="42"/>
        <v>0</v>
      </c>
      <c r="BK159" s="46">
        <f t="shared" si="42"/>
        <v>0</v>
      </c>
      <c r="BL159" s="46">
        <f t="shared" si="42"/>
        <v>0</v>
      </c>
      <c r="BM159" s="50">
        <f t="shared" si="40"/>
        <v>0</v>
      </c>
    </row>
    <row r="160" spans="6:65" ht="21" x14ac:dyDescent="0.15">
      <c r="F160" s="12" t="s">
        <v>930</v>
      </c>
      <c r="G160" s="206" t="s">
        <v>308</v>
      </c>
      <c r="H160" s="4" t="s">
        <v>311</v>
      </c>
      <c r="I160" s="45">
        <f t="shared" si="34"/>
        <v>0</v>
      </c>
      <c r="J160" s="56">
        <f t="shared" si="35"/>
        <v>0</v>
      </c>
      <c r="K160" s="56">
        <f t="shared" si="36"/>
        <v>0</v>
      </c>
      <c r="L160" s="56">
        <f t="shared" si="37"/>
        <v>0</v>
      </c>
      <c r="M160" s="56">
        <f t="shared" si="38"/>
        <v>0</v>
      </c>
      <c r="N160" s="56">
        <f t="shared" si="39"/>
        <v>0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50">
        <f t="shared" si="40"/>
        <v>0</v>
      </c>
    </row>
    <row r="161" spans="6:65" x14ac:dyDescent="0.15">
      <c r="F161" s="12" t="s">
        <v>930</v>
      </c>
      <c r="G161" s="206" t="s">
        <v>310</v>
      </c>
      <c r="H161" s="53" t="s">
        <v>313</v>
      </c>
      <c r="I161" s="45">
        <f t="shared" si="34"/>
        <v>0</v>
      </c>
      <c r="J161" s="56">
        <f t="shared" si="35"/>
        <v>0</v>
      </c>
      <c r="K161" s="56">
        <f t="shared" si="36"/>
        <v>0</v>
      </c>
      <c r="L161" s="56">
        <f t="shared" si="37"/>
        <v>0</v>
      </c>
      <c r="M161" s="56">
        <f t="shared" si="38"/>
        <v>0</v>
      </c>
      <c r="N161" s="56">
        <f t="shared" si="39"/>
        <v>0</v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50">
        <f t="shared" si="40"/>
        <v>0</v>
      </c>
    </row>
    <row r="162" spans="6:65" x14ac:dyDescent="0.15">
      <c r="F162" s="12" t="s">
        <v>930</v>
      </c>
      <c r="G162" s="206" t="s">
        <v>312</v>
      </c>
      <c r="H162" s="4" t="s">
        <v>315</v>
      </c>
      <c r="I162" s="45">
        <f t="shared" si="34"/>
        <v>0</v>
      </c>
      <c r="J162" s="56">
        <f t="shared" si="35"/>
        <v>0</v>
      </c>
      <c r="K162" s="56">
        <f t="shared" si="36"/>
        <v>0</v>
      </c>
      <c r="L162" s="56">
        <f t="shared" si="37"/>
        <v>0</v>
      </c>
      <c r="M162" s="56">
        <f t="shared" si="38"/>
        <v>0</v>
      </c>
      <c r="N162" s="56">
        <f t="shared" si="39"/>
        <v>0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50">
        <f t="shared" si="40"/>
        <v>0</v>
      </c>
    </row>
    <row r="163" spans="6:65" x14ac:dyDescent="0.15">
      <c r="F163" s="12" t="s">
        <v>930</v>
      </c>
      <c r="G163" s="206" t="s">
        <v>314</v>
      </c>
      <c r="H163" s="4" t="s">
        <v>317</v>
      </c>
      <c r="I163" s="45">
        <f t="shared" si="34"/>
        <v>0</v>
      </c>
      <c r="J163" s="56">
        <f t="shared" si="35"/>
        <v>0</v>
      </c>
      <c r="K163" s="56">
        <f t="shared" si="36"/>
        <v>0</v>
      </c>
      <c r="L163" s="56">
        <f t="shared" si="37"/>
        <v>0</v>
      </c>
      <c r="M163" s="56">
        <f t="shared" si="38"/>
        <v>0</v>
      </c>
      <c r="N163" s="56">
        <f t="shared" si="39"/>
        <v>0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50">
        <f t="shared" si="40"/>
        <v>0</v>
      </c>
    </row>
    <row r="164" spans="6:65" x14ac:dyDescent="0.15">
      <c r="F164" s="12" t="s">
        <v>929</v>
      </c>
      <c r="G164" s="205" t="s">
        <v>316</v>
      </c>
      <c r="H164" s="53" t="s">
        <v>319</v>
      </c>
      <c r="I164" s="45">
        <f t="shared" si="34"/>
        <v>0</v>
      </c>
      <c r="J164" s="56">
        <f t="shared" si="35"/>
        <v>0</v>
      </c>
      <c r="K164" s="56">
        <f t="shared" si="36"/>
        <v>0</v>
      </c>
      <c r="L164" s="56">
        <f t="shared" si="37"/>
        <v>0</v>
      </c>
      <c r="M164" s="56">
        <f t="shared" si="38"/>
        <v>0</v>
      </c>
      <c r="N164" s="56">
        <f t="shared" si="39"/>
        <v>0</v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50">
        <f t="shared" si="40"/>
        <v>0</v>
      </c>
    </row>
    <row r="165" spans="6:65" x14ac:dyDescent="0.15">
      <c r="F165" s="12" t="s">
        <v>930</v>
      </c>
      <c r="G165" s="205" t="s">
        <v>318</v>
      </c>
      <c r="H165" s="4" t="s">
        <v>321</v>
      </c>
      <c r="I165" s="45">
        <f t="shared" si="34"/>
        <v>0</v>
      </c>
      <c r="J165" s="56">
        <f t="shared" si="35"/>
        <v>0</v>
      </c>
      <c r="K165" s="56">
        <f t="shared" si="36"/>
        <v>0</v>
      </c>
      <c r="L165" s="56">
        <f t="shared" si="37"/>
        <v>0</v>
      </c>
      <c r="M165" s="56">
        <f t="shared" si="38"/>
        <v>0</v>
      </c>
      <c r="N165" s="56">
        <f t="shared" si="39"/>
        <v>0</v>
      </c>
      <c r="O165" s="46">
        <f t="shared" ref="O165:BL165" si="43">SUM(O166:O170)</f>
        <v>0</v>
      </c>
      <c r="P165" s="46">
        <f t="shared" si="43"/>
        <v>0</v>
      </c>
      <c r="Q165" s="46">
        <f t="shared" si="43"/>
        <v>0</v>
      </c>
      <c r="R165" s="46">
        <f t="shared" si="43"/>
        <v>0</v>
      </c>
      <c r="S165" s="46">
        <f t="shared" si="43"/>
        <v>0</v>
      </c>
      <c r="T165" s="46">
        <f t="shared" si="43"/>
        <v>0</v>
      </c>
      <c r="U165" s="46">
        <f t="shared" si="43"/>
        <v>0</v>
      </c>
      <c r="V165" s="46">
        <f t="shared" si="43"/>
        <v>0</v>
      </c>
      <c r="W165" s="46">
        <f t="shared" si="43"/>
        <v>0</v>
      </c>
      <c r="X165" s="46">
        <f t="shared" si="43"/>
        <v>0</v>
      </c>
      <c r="Y165" s="46">
        <f t="shared" si="43"/>
        <v>0</v>
      </c>
      <c r="Z165" s="46">
        <f t="shared" si="43"/>
        <v>0</v>
      </c>
      <c r="AA165" s="46">
        <f t="shared" si="43"/>
        <v>0</v>
      </c>
      <c r="AB165" s="46">
        <f t="shared" si="43"/>
        <v>0</v>
      </c>
      <c r="AC165" s="46">
        <f t="shared" si="43"/>
        <v>0</v>
      </c>
      <c r="AD165" s="46">
        <f t="shared" si="43"/>
        <v>0</v>
      </c>
      <c r="AE165" s="46">
        <f t="shared" si="43"/>
        <v>0</v>
      </c>
      <c r="AF165" s="46">
        <f t="shared" si="43"/>
        <v>0</v>
      </c>
      <c r="AG165" s="46">
        <f t="shared" si="43"/>
        <v>0</v>
      </c>
      <c r="AH165" s="46">
        <f t="shared" si="43"/>
        <v>0</v>
      </c>
      <c r="AI165" s="46">
        <f t="shared" si="43"/>
        <v>0</v>
      </c>
      <c r="AJ165" s="46">
        <f t="shared" si="43"/>
        <v>0</v>
      </c>
      <c r="AK165" s="46">
        <f t="shared" si="43"/>
        <v>0</v>
      </c>
      <c r="AL165" s="46">
        <f t="shared" si="43"/>
        <v>0</v>
      </c>
      <c r="AM165" s="46">
        <f t="shared" si="43"/>
        <v>0</v>
      </c>
      <c r="AN165" s="46">
        <f t="shared" si="43"/>
        <v>0</v>
      </c>
      <c r="AO165" s="46">
        <f t="shared" si="43"/>
        <v>0</v>
      </c>
      <c r="AP165" s="46">
        <f t="shared" si="43"/>
        <v>0</v>
      </c>
      <c r="AQ165" s="46">
        <f t="shared" si="43"/>
        <v>0</v>
      </c>
      <c r="AR165" s="46">
        <f t="shared" si="43"/>
        <v>0</v>
      </c>
      <c r="AS165" s="46">
        <f t="shared" si="43"/>
        <v>0</v>
      </c>
      <c r="AT165" s="46">
        <f t="shared" si="43"/>
        <v>0</v>
      </c>
      <c r="AU165" s="46">
        <f t="shared" si="43"/>
        <v>0</v>
      </c>
      <c r="AV165" s="46">
        <f t="shared" si="43"/>
        <v>0</v>
      </c>
      <c r="AW165" s="46">
        <f t="shared" si="43"/>
        <v>0</v>
      </c>
      <c r="AX165" s="46">
        <f t="shared" si="43"/>
        <v>0</v>
      </c>
      <c r="AY165" s="46">
        <f t="shared" si="43"/>
        <v>0</v>
      </c>
      <c r="AZ165" s="46">
        <f t="shared" si="43"/>
        <v>0</v>
      </c>
      <c r="BA165" s="46">
        <f t="shared" si="43"/>
        <v>0</v>
      </c>
      <c r="BB165" s="46">
        <f t="shared" si="43"/>
        <v>0</v>
      </c>
      <c r="BC165" s="46">
        <f t="shared" si="43"/>
        <v>0</v>
      </c>
      <c r="BD165" s="46">
        <f t="shared" si="43"/>
        <v>0</v>
      </c>
      <c r="BE165" s="46">
        <f t="shared" si="43"/>
        <v>0</v>
      </c>
      <c r="BF165" s="46">
        <f t="shared" si="43"/>
        <v>0</v>
      </c>
      <c r="BG165" s="46">
        <f t="shared" si="43"/>
        <v>0</v>
      </c>
      <c r="BH165" s="46">
        <f t="shared" si="43"/>
        <v>0</v>
      </c>
      <c r="BI165" s="46">
        <f t="shared" si="43"/>
        <v>0</v>
      </c>
      <c r="BJ165" s="46">
        <f t="shared" si="43"/>
        <v>0</v>
      </c>
      <c r="BK165" s="46">
        <f t="shared" si="43"/>
        <v>0</v>
      </c>
      <c r="BL165" s="46">
        <f t="shared" si="43"/>
        <v>0</v>
      </c>
      <c r="BM165" s="50">
        <f t="shared" si="40"/>
        <v>0</v>
      </c>
    </row>
    <row r="166" spans="6:65" ht="21" x14ac:dyDescent="0.15">
      <c r="F166" s="12" t="s">
        <v>930</v>
      </c>
      <c r="G166" s="206" t="s">
        <v>320</v>
      </c>
      <c r="H166" s="4" t="s">
        <v>323</v>
      </c>
      <c r="I166" s="45">
        <f t="shared" si="34"/>
        <v>0</v>
      </c>
      <c r="J166" s="56">
        <f t="shared" si="35"/>
        <v>0</v>
      </c>
      <c r="K166" s="56">
        <f t="shared" si="36"/>
        <v>0</v>
      </c>
      <c r="L166" s="56">
        <f t="shared" si="37"/>
        <v>0</v>
      </c>
      <c r="M166" s="56">
        <f t="shared" si="38"/>
        <v>0</v>
      </c>
      <c r="N166" s="56">
        <f t="shared" si="39"/>
        <v>0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50">
        <f t="shared" si="40"/>
        <v>0</v>
      </c>
    </row>
    <row r="167" spans="6:65" x14ac:dyDescent="0.15">
      <c r="F167" s="12" t="s">
        <v>930</v>
      </c>
      <c r="G167" s="206" t="s">
        <v>322</v>
      </c>
      <c r="H167" s="53" t="s">
        <v>325</v>
      </c>
      <c r="I167" s="45">
        <f t="shared" si="34"/>
        <v>0</v>
      </c>
      <c r="J167" s="56">
        <f t="shared" si="35"/>
        <v>0</v>
      </c>
      <c r="K167" s="56">
        <f t="shared" si="36"/>
        <v>0</v>
      </c>
      <c r="L167" s="56">
        <f t="shared" si="37"/>
        <v>0</v>
      </c>
      <c r="M167" s="56">
        <f t="shared" si="38"/>
        <v>0</v>
      </c>
      <c r="N167" s="56">
        <f t="shared" si="39"/>
        <v>0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50">
        <f t="shared" si="40"/>
        <v>0</v>
      </c>
    </row>
    <row r="168" spans="6:65" x14ac:dyDescent="0.15">
      <c r="F168" s="12" t="s">
        <v>930</v>
      </c>
      <c r="G168" s="206" t="s">
        <v>324</v>
      </c>
      <c r="H168" s="4" t="s">
        <v>327</v>
      </c>
      <c r="I168" s="45">
        <f t="shared" si="34"/>
        <v>0</v>
      </c>
      <c r="J168" s="56">
        <f t="shared" si="35"/>
        <v>0</v>
      </c>
      <c r="K168" s="56">
        <f t="shared" si="36"/>
        <v>0</v>
      </c>
      <c r="L168" s="56">
        <f t="shared" si="37"/>
        <v>0</v>
      </c>
      <c r="M168" s="56">
        <f t="shared" si="38"/>
        <v>0</v>
      </c>
      <c r="N168" s="56">
        <f t="shared" si="39"/>
        <v>0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50">
        <f t="shared" si="40"/>
        <v>0</v>
      </c>
    </row>
    <row r="169" spans="6:65" x14ac:dyDescent="0.15">
      <c r="F169" s="12" t="s">
        <v>930</v>
      </c>
      <c r="G169" s="206" t="s">
        <v>326</v>
      </c>
      <c r="H169" s="4" t="s">
        <v>329</v>
      </c>
      <c r="I169" s="45">
        <f t="shared" si="34"/>
        <v>0</v>
      </c>
      <c r="J169" s="56">
        <f t="shared" si="35"/>
        <v>0</v>
      </c>
      <c r="K169" s="56">
        <f t="shared" si="36"/>
        <v>0</v>
      </c>
      <c r="L169" s="56">
        <f t="shared" si="37"/>
        <v>0</v>
      </c>
      <c r="M169" s="56">
        <f t="shared" si="38"/>
        <v>0</v>
      </c>
      <c r="N169" s="56">
        <f t="shared" si="39"/>
        <v>0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50">
        <f t="shared" si="40"/>
        <v>0</v>
      </c>
    </row>
    <row r="170" spans="6:65" ht="21" x14ac:dyDescent="0.15">
      <c r="F170" s="12" t="s">
        <v>930</v>
      </c>
      <c r="G170" s="206" t="s">
        <v>328</v>
      </c>
      <c r="H170" s="53" t="s">
        <v>331</v>
      </c>
      <c r="I170" s="45">
        <f t="shared" si="34"/>
        <v>0</v>
      </c>
      <c r="J170" s="56">
        <f t="shared" si="35"/>
        <v>0</v>
      </c>
      <c r="K170" s="56">
        <f t="shared" si="36"/>
        <v>0</v>
      </c>
      <c r="L170" s="56">
        <f t="shared" si="37"/>
        <v>0</v>
      </c>
      <c r="M170" s="56">
        <f t="shared" si="38"/>
        <v>0</v>
      </c>
      <c r="N170" s="56">
        <f t="shared" si="39"/>
        <v>0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50">
        <f t="shared" si="40"/>
        <v>0</v>
      </c>
    </row>
    <row r="171" spans="6:65" x14ac:dyDescent="0.15">
      <c r="F171" s="12" t="s">
        <v>928</v>
      </c>
      <c r="G171" s="205" t="s">
        <v>330</v>
      </c>
      <c r="H171" s="4" t="s">
        <v>333</v>
      </c>
      <c r="I171" s="45">
        <f t="shared" si="34"/>
        <v>0</v>
      </c>
      <c r="J171" s="56">
        <f t="shared" si="35"/>
        <v>0</v>
      </c>
      <c r="K171" s="56">
        <f t="shared" si="36"/>
        <v>0</v>
      </c>
      <c r="L171" s="56">
        <f t="shared" si="37"/>
        <v>0</v>
      </c>
      <c r="M171" s="56">
        <f t="shared" si="38"/>
        <v>0</v>
      </c>
      <c r="N171" s="56">
        <f t="shared" si="39"/>
        <v>0</v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50">
        <f t="shared" si="40"/>
        <v>0</v>
      </c>
    </row>
    <row r="172" spans="6:65" x14ac:dyDescent="0.15">
      <c r="F172" s="12" t="s">
        <v>928</v>
      </c>
      <c r="G172" s="205" t="s">
        <v>332</v>
      </c>
      <c r="H172" s="4" t="s">
        <v>335</v>
      </c>
      <c r="I172" s="45">
        <f t="shared" si="34"/>
        <v>0</v>
      </c>
      <c r="J172" s="56">
        <f t="shared" si="35"/>
        <v>0</v>
      </c>
      <c r="K172" s="56">
        <f t="shared" si="36"/>
        <v>0</v>
      </c>
      <c r="L172" s="56">
        <f t="shared" si="37"/>
        <v>0</v>
      </c>
      <c r="M172" s="56">
        <f t="shared" si="38"/>
        <v>0</v>
      </c>
      <c r="N172" s="56">
        <f t="shared" si="39"/>
        <v>0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50">
        <f t="shared" si="40"/>
        <v>0</v>
      </c>
    </row>
    <row r="173" spans="6:65" x14ac:dyDescent="0.15">
      <c r="F173" s="12" t="s">
        <v>928</v>
      </c>
      <c r="G173" s="205" t="s">
        <v>334</v>
      </c>
      <c r="H173" s="53" t="s">
        <v>337</v>
      </c>
      <c r="I173" s="45">
        <f t="shared" si="34"/>
        <v>0</v>
      </c>
      <c r="J173" s="56">
        <f t="shared" si="35"/>
        <v>0</v>
      </c>
      <c r="K173" s="56">
        <f t="shared" si="36"/>
        <v>0</v>
      </c>
      <c r="L173" s="56">
        <f t="shared" si="37"/>
        <v>0</v>
      </c>
      <c r="M173" s="56">
        <f t="shared" si="38"/>
        <v>0</v>
      </c>
      <c r="N173" s="56">
        <f t="shared" si="39"/>
        <v>0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50">
        <f t="shared" si="40"/>
        <v>0</v>
      </c>
    </row>
    <row r="174" spans="6:65" x14ac:dyDescent="0.15">
      <c r="F174" s="12" t="s">
        <v>930</v>
      </c>
      <c r="G174" s="205" t="s">
        <v>336</v>
      </c>
      <c r="H174" s="4" t="s">
        <v>339</v>
      </c>
      <c r="I174" s="45">
        <f t="shared" si="34"/>
        <v>0</v>
      </c>
      <c r="J174" s="56">
        <f t="shared" si="35"/>
        <v>0</v>
      </c>
      <c r="K174" s="56">
        <f t="shared" si="36"/>
        <v>0</v>
      </c>
      <c r="L174" s="56">
        <f t="shared" si="37"/>
        <v>0</v>
      </c>
      <c r="M174" s="56">
        <f t="shared" si="38"/>
        <v>0</v>
      </c>
      <c r="N174" s="56">
        <f t="shared" si="39"/>
        <v>0</v>
      </c>
      <c r="O174" s="46">
        <f t="shared" ref="O174:BL174" si="44">SUM(O175:O179)</f>
        <v>0</v>
      </c>
      <c r="P174" s="46">
        <f t="shared" si="44"/>
        <v>0</v>
      </c>
      <c r="Q174" s="46">
        <f t="shared" si="44"/>
        <v>0</v>
      </c>
      <c r="R174" s="46">
        <f t="shared" si="44"/>
        <v>0</v>
      </c>
      <c r="S174" s="46">
        <f t="shared" si="44"/>
        <v>0</v>
      </c>
      <c r="T174" s="46">
        <f t="shared" si="44"/>
        <v>0</v>
      </c>
      <c r="U174" s="46">
        <f t="shared" si="44"/>
        <v>0</v>
      </c>
      <c r="V174" s="46">
        <f t="shared" si="44"/>
        <v>0</v>
      </c>
      <c r="W174" s="46">
        <f t="shared" si="44"/>
        <v>0</v>
      </c>
      <c r="X174" s="46">
        <f t="shared" si="44"/>
        <v>0</v>
      </c>
      <c r="Y174" s="46">
        <f t="shared" si="44"/>
        <v>0</v>
      </c>
      <c r="Z174" s="46">
        <f t="shared" si="44"/>
        <v>0</v>
      </c>
      <c r="AA174" s="46">
        <f t="shared" si="44"/>
        <v>0</v>
      </c>
      <c r="AB174" s="46">
        <f t="shared" si="44"/>
        <v>0</v>
      </c>
      <c r="AC174" s="46">
        <f t="shared" si="44"/>
        <v>0</v>
      </c>
      <c r="AD174" s="46">
        <f t="shared" si="44"/>
        <v>0</v>
      </c>
      <c r="AE174" s="46">
        <f t="shared" si="44"/>
        <v>0</v>
      </c>
      <c r="AF174" s="46">
        <f t="shared" si="44"/>
        <v>0</v>
      </c>
      <c r="AG174" s="46">
        <f t="shared" si="44"/>
        <v>0</v>
      </c>
      <c r="AH174" s="46">
        <f t="shared" si="44"/>
        <v>0</v>
      </c>
      <c r="AI174" s="46">
        <f t="shared" si="44"/>
        <v>0</v>
      </c>
      <c r="AJ174" s="46">
        <f t="shared" si="44"/>
        <v>0</v>
      </c>
      <c r="AK174" s="46">
        <f t="shared" si="44"/>
        <v>0</v>
      </c>
      <c r="AL174" s="46">
        <f t="shared" si="44"/>
        <v>0</v>
      </c>
      <c r="AM174" s="46">
        <f t="shared" si="44"/>
        <v>0</v>
      </c>
      <c r="AN174" s="46">
        <f t="shared" si="44"/>
        <v>0</v>
      </c>
      <c r="AO174" s="46">
        <f t="shared" si="44"/>
        <v>0</v>
      </c>
      <c r="AP174" s="46">
        <f t="shared" si="44"/>
        <v>0</v>
      </c>
      <c r="AQ174" s="46">
        <f t="shared" si="44"/>
        <v>0</v>
      </c>
      <c r="AR174" s="46">
        <f t="shared" si="44"/>
        <v>0</v>
      </c>
      <c r="AS174" s="46">
        <f t="shared" si="44"/>
        <v>0</v>
      </c>
      <c r="AT174" s="46">
        <f t="shared" si="44"/>
        <v>0</v>
      </c>
      <c r="AU174" s="46">
        <f t="shared" si="44"/>
        <v>0</v>
      </c>
      <c r="AV174" s="46">
        <f t="shared" si="44"/>
        <v>0</v>
      </c>
      <c r="AW174" s="46">
        <f t="shared" si="44"/>
        <v>0</v>
      </c>
      <c r="AX174" s="46">
        <f t="shared" si="44"/>
        <v>0</v>
      </c>
      <c r="AY174" s="46">
        <f t="shared" si="44"/>
        <v>0</v>
      </c>
      <c r="AZ174" s="46">
        <f t="shared" si="44"/>
        <v>0</v>
      </c>
      <c r="BA174" s="46">
        <f t="shared" si="44"/>
        <v>0</v>
      </c>
      <c r="BB174" s="46">
        <f t="shared" si="44"/>
        <v>0</v>
      </c>
      <c r="BC174" s="46">
        <f t="shared" si="44"/>
        <v>0</v>
      </c>
      <c r="BD174" s="46">
        <f t="shared" si="44"/>
        <v>0</v>
      </c>
      <c r="BE174" s="46">
        <f t="shared" si="44"/>
        <v>0</v>
      </c>
      <c r="BF174" s="46">
        <f t="shared" si="44"/>
        <v>0</v>
      </c>
      <c r="BG174" s="46">
        <f t="shared" si="44"/>
        <v>0</v>
      </c>
      <c r="BH174" s="46">
        <f t="shared" si="44"/>
        <v>0</v>
      </c>
      <c r="BI174" s="46">
        <f t="shared" si="44"/>
        <v>0</v>
      </c>
      <c r="BJ174" s="46">
        <f t="shared" si="44"/>
        <v>0</v>
      </c>
      <c r="BK174" s="46">
        <f t="shared" si="44"/>
        <v>0</v>
      </c>
      <c r="BL174" s="46">
        <f t="shared" si="44"/>
        <v>0</v>
      </c>
      <c r="BM174" s="50">
        <f t="shared" si="40"/>
        <v>0</v>
      </c>
    </row>
    <row r="175" spans="6:65" ht="21" x14ac:dyDescent="0.15">
      <c r="F175" s="12" t="s">
        <v>930</v>
      </c>
      <c r="G175" s="206" t="s">
        <v>338</v>
      </c>
      <c r="H175" s="4" t="s">
        <v>341</v>
      </c>
      <c r="I175" s="45">
        <f t="shared" si="34"/>
        <v>0</v>
      </c>
      <c r="J175" s="56">
        <f t="shared" si="35"/>
        <v>0</v>
      </c>
      <c r="K175" s="56">
        <f t="shared" si="36"/>
        <v>0</v>
      </c>
      <c r="L175" s="56">
        <f t="shared" si="37"/>
        <v>0</v>
      </c>
      <c r="M175" s="56">
        <f t="shared" si="38"/>
        <v>0</v>
      </c>
      <c r="N175" s="56">
        <f t="shared" si="39"/>
        <v>0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50">
        <f t="shared" si="40"/>
        <v>0</v>
      </c>
    </row>
    <row r="176" spans="6:65" x14ac:dyDescent="0.15">
      <c r="F176" s="12" t="s">
        <v>930</v>
      </c>
      <c r="G176" s="206" t="s">
        <v>340</v>
      </c>
      <c r="H176" s="53" t="s">
        <v>343</v>
      </c>
      <c r="I176" s="45">
        <f t="shared" si="34"/>
        <v>0</v>
      </c>
      <c r="J176" s="56">
        <f t="shared" si="35"/>
        <v>0</v>
      </c>
      <c r="K176" s="56">
        <f t="shared" si="36"/>
        <v>0</v>
      </c>
      <c r="L176" s="56">
        <f t="shared" si="37"/>
        <v>0</v>
      </c>
      <c r="M176" s="56">
        <f t="shared" si="38"/>
        <v>0</v>
      </c>
      <c r="N176" s="56">
        <f t="shared" si="39"/>
        <v>0</v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50">
        <f t="shared" si="40"/>
        <v>0</v>
      </c>
    </row>
    <row r="177" spans="6:65" x14ac:dyDescent="0.15">
      <c r="F177" s="12" t="s">
        <v>930</v>
      </c>
      <c r="G177" s="206" t="s">
        <v>342</v>
      </c>
      <c r="H177" s="4" t="s">
        <v>345</v>
      </c>
      <c r="I177" s="45">
        <f t="shared" si="34"/>
        <v>0</v>
      </c>
      <c r="J177" s="56">
        <f t="shared" si="35"/>
        <v>0</v>
      </c>
      <c r="K177" s="56">
        <f t="shared" si="36"/>
        <v>0</v>
      </c>
      <c r="L177" s="56">
        <f t="shared" si="37"/>
        <v>0</v>
      </c>
      <c r="M177" s="56">
        <f t="shared" si="38"/>
        <v>0</v>
      </c>
      <c r="N177" s="56">
        <f t="shared" si="39"/>
        <v>0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50">
        <f t="shared" si="40"/>
        <v>0</v>
      </c>
    </row>
    <row r="178" spans="6:65" x14ac:dyDescent="0.15">
      <c r="F178" s="12" t="s">
        <v>930</v>
      </c>
      <c r="G178" s="206" t="s">
        <v>344</v>
      </c>
      <c r="H178" s="4" t="s">
        <v>347</v>
      </c>
      <c r="I178" s="45">
        <f t="shared" si="34"/>
        <v>0</v>
      </c>
      <c r="J178" s="56">
        <f t="shared" si="35"/>
        <v>0</v>
      </c>
      <c r="K178" s="56">
        <f t="shared" si="36"/>
        <v>0</v>
      </c>
      <c r="L178" s="56">
        <f t="shared" si="37"/>
        <v>0</v>
      </c>
      <c r="M178" s="56">
        <f t="shared" si="38"/>
        <v>0</v>
      </c>
      <c r="N178" s="56">
        <f t="shared" si="39"/>
        <v>0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50">
        <f t="shared" si="40"/>
        <v>0</v>
      </c>
    </row>
    <row r="179" spans="6:65" x14ac:dyDescent="0.15">
      <c r="F179" s="12" t="s">
        <v>930</v>
      </c>
      <c r="G179" s="206" t="s">
        <v>346</v>
      </c>
      <c r="H179" s="53" t="s">
        <v>349</v>
      </c>
      <c r="I179" s="45">
        <f t="shared" si="34"/>
        <v>0</v>
      </c>
      <c r="J179" s="56">
        <f t="shared" si="35"/>
        <v>0</v>
      </c>
      <c r="K179" s="56">
        <f t="shared" si="36"/>
        <v>0</v>
      </c>
      <c r="L179" s="56">
        <f t="shared" si="37"/>
        <v>0</v>
      </c>
      <c r="M179" s="56">
        <f t="shared" si="38"/>
        <v>0</v>
      </c>
      <c r="N179" s="56">
        <f t="shared" si="39"/>
        <v>0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50">
        <f t="shared" si="40"/>
        <v>0</v>
      </c>
    </row>
    <row r="180" spans="6:65" x14ac:dyDescent="0.15">
      <c r="F180" s="12" t="s">
        <v>928</v>
      </c>
      <c r="G180" s="205" t="s">
        <v>348</v>
      </c>
      <c r="H180" s="4" t="s">
        <v>351</v>
      </c>
      <c r="I180" s="45">
        <f t="shared" si="34"/>
        <v>0</v>
      </c>
      <c r="J180" s="56">
        <f t="shared" si="35"/>
        <v>0</v>
      </c>
      <c r="K180" s="56">
        <f t="shared" si="36"/>
        <v>0</v>
      </c>
      <c r="L180" s="56">
        <f t="shared" si="37"/>
        <v>0</v>
      </c>
      <c r="M180" s="56">
        <f t="shared" si="38"/>
        <v>0</v>
      </c>
      <c r="N180" s="56">
        <f t="shared" si="39"/>
        <v>0</v>
      </c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50">
        <f t="shared" si="40"/>
        <v>0</v>
      </c>
    </row>
    <row r="181" spans="6:65" x14ac:dyDescent="0.15">
      <c r="F181" s="12" t="s">
        <v>928</v>
      </c>
      <c r="G181" s="205" t="s">
        <v>350</v>
      </c>
      <c r="H181" s="4" t="s">
        <v>353</v>
      </c>
      <c r="I181" s="45">
        <f t="shared" si="34"/>
        <v>0</v>
      </c>
      <c r="J181" s="56">
        <f t="shared" si="35"/>
        <v>0</v>
      </c>
      <c r="K181" s="56">
        <f t="shared" si="36"/>
        <v>0</v>
      </c>
      <c r="L181" s="56">
        <f t="shared" si="37"/>
        <v>0</v>
      </c>
      <c r="M181" s="56">
        <f t="shared" si="38"/>
        <v>0</v>
      </c>
      <c r="N181" s="56">
        <f t="shared" si="39"/>
        <v>0</v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50">
        <f t="shared" si="40"/>
        <v>0</v>
      </c>
    </row>
    <row r="182" spans="6:65" x14ac:dyDescent="0.15">
      <c r="F182" s="12" t="s">
        <v>928</v>
      </c>
      <c r="G182" s="205" t="s">
        <v>352</v>
      </c>
      <c r="H182" s="53" t="s">
        <v>355</v>
      </c>
      <c r="I182" s="45">
        <f t="shared" si="34"/>
        <v>0</v>
      </c>
      <c r="J182" s="56">
        <f t="shared" si="35"/>
        <v>0</v>
      </c>
      <c r="K182" s="56">
        <f t="shared" si="36"/>
        <v>0</v>
      </c>
      <c r="L182" s="56">
        <f t="shared" si="37"/>
        <v>0</v>
      </c>
      <c r="M182" s="56">
        <f t="shared" si="38"/>
        <v>0</v>
      </c>
      <c r="N182" s="56">
        <f t="shared" si="39"/>
        <v>0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50">
        <f t="shared" si="40"/>
        <v>0</v>
      </c>
    </row>
    <row r="183" spans="6:65" x14ac:dyDescent="0.15">
      <c r="F183" s="12" t="s">
        <v>928</v>
      </c>
      <c r="G183" s="205" t="s">
        <v>354</v>
      </c>
      <c r="H183" s="4" t="s">
        <v>357</v>
      </c>
      <c r="I183" s="45">
        <f t="shared" si="34"/>
        <v>0</v>
      </c>
      <c r="J183" s="56">
        <f t="shared" si="35"/>
        <v>0</v>
      </c>
      <c r="K183" s="56">
        <f t="shared" si="36"/>
        <v>0</v>
      </c>
      <c r="L183" s="56">
        <f t="shared" si="37"/>
        <v>0</v>
      </c>
      <c r="M183" s="56">
        <f t="shared" si="38"/>
        <v>0</v>
      </c>
      <c r="N183" s="56">
        <f t="shared" si="39"/>
        <v>0</v>
      </c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50">
        <f t="shared" si="40"/>
        <v>0</v>
      </c>
    </row>
    <row r="184" spans="6:65" x14ac:dyDescent="0.15">
      <c r="F184" s="12" t="s">
        <v>932</v>
      </c>
      <c r="G184" s="205" t="s">
        <v>356</v>
      </c>
      <c r="H184" s="4" t="s">
        <v>359</v>
      </c>
      <c r="I184" s="45">
        <f t="shared" si="34"/>
        <v>0</v>
      </c>
      <c r="J184" s="56">
        <f t="shared" si="35"/>
        <v>0</v>
      </c>
      <c r="K184" s="56">
        <f t="shared" si="36"/>
        <v>0</v>
      </c>
      <c r="L184" s="56">
        <f t="shared" si="37"/>
        <v>0</v>
      </c>
      <c r="M184" s="56">
        <f t="shared" si="38"/>
        <v>0</v>
      </c>
      <c r="N184" s="56">
        <f t="shared" si="39"/>
        <v>0</v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50">
        <f t="shared" si="40"/>
        <v>0</v>
      </c>
    </row>
    <row r="185" spans="6:65" x14ac:dyDescent="0.15">
      <c r="F185" s="12" t="s">
        <v>928</v>
      </c>
      <c r="G185" s="205" t="s">
        <v>358</v>
      </c>
      <c r="H185" s="53" t="s">
        <v>361</v>
      </c>
      <c r="I185" s="45">
        <f t="shared" si="34"/>
        <v>0</v>
      </c>
      <c r="J185" s="56">
        <f t="shared" si="35"/>
        <v>0</v>
      </c>
      <c r="K185" s="56">
        <f t="shared" si="36"/>
        <v>0</v>
      </c>
      <c r="L185" s="56">
        <f t="shared" si="37"/>
        <v>0</v>
      </c>
      <c r="M185" s="56">
        <f t="shared" si="38"/>
        <v>0</v>
      </c>
      <c r="N185" s="56">
        <f t="shared" si="39"/>
        <v>0</v>
      </c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50">
        <f t="shared" si="40"/>
        <v>0</v>
      </c>
    </row>
    <row r="186" spans="6:65" x14ac:dyDescent="0.15">
      <c r="F186" s="12" t="s">
        <v>928</v>
      </c>
      <c r="G186" s="205" t="s">
        <v>360</v>
      </c>
      <c r="H186" s="4" t="s">
        <v>363</v>
      </c>
      <c r="I186" s="45">
        <f t="shared" si="34"/>
        <v>0</v>
      </c>
      <c r="J186" s="56">
        <f t="shared" si="35"/>
        <v>0</v>
      </c>
      <c r="K186" s="56">
        <f t="shared" si="36"/>
        <v>0</v>
      </c>
      <c r="L186" s="56">
        <f t="shared" si="37"/>
        <v>0</v>
      </c>
      <c r="M186" s="56">
        <f t="shared" si="38"/>
        <v>0</v>
      </c>
      <c r="N186" s="56">
        <f t="shared" si="39"/>
        <v>0</v>
      </c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50">
        <f t="shared" si="40"/>
        <v>0</v>
      </c>
    </row>
    <row r="187" spans="6:65" x14ac:dyDescent="0.15">
      <c r="F187" s="12" t="s">
        <v>928</v>
      </c>
      <c r="G187" s="205" t="s">
        <v>362</v>
      </c>
      <c r="H187" s="4" t="s">
        <v>365</v>
      </c>
      <c r="I187" s="45">
        <f t="shared" si="34"/>
        <v>0</v>
      </c>
      <c r="J187" s="56">
        <f t="shared" si="35"/>
        <v>0</v>
      </c>
      <c r="K187" s="56">
        <f t="shared" si="36"/>
        <v>0</v>
      </c>
      <c r="L187" s="56">
        <f t="shared" si="37"/>
        <v>0</v>
      </c>
      <c r="M187" s="56">
        <f t="shared" si="38"/>
        <v>0</v>
      </c>
      <c r="N187" s="56">
        <f t="shared" si="39"/>
        <v>0</v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50">
        <f t="shared" si="40"/>
        <v>0</v>
      </c>
    </row>
    <row r="188" spans="6:65" x14ac:dyDescent="0.15">
      <c r="F188" s="12" t="s">
        <v>928</v>
      </c>
      <c r="G188" s="205" t="s">
        <v>364</v>
      </c>
      <c r="H188" s="53" t="s">
        <v>367</v>
      </c>
      <c r="I188" s="45">
        <f t="shared" si="34"/>
        <v>0</v>
      </c>
      <c r="J188" s="56">
        <f t="shared" si="35"/>
        <v>0</v>
      </c>
      <c r="K188" s="56">
        <f t="shared" si="36"/>
        <v>0</v>
      </c>
      <c r="L188" s="56">
        <f t="shared" si="37"/>
        <v>0</v>
      </c>
      <c r="M188" s="56">
        <f t="shared" si="38"/>
        <v>0</v>
      </c>
      <c r="N188" s="56">
        <f t="shared" si="39"/>
        <v>0</v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50">
        <f t="shared" si="40"/>
        <v>0</v>
      </c>
    </row>
    <row r="189" spans="6:65" x14ac:dyDescent="0.15">
      <c r="F189" s="12" t="s">
        <v>929</v>
      </c>
      <c r="G189" s="205" t="s">
        <v>366</v>
      </c>
      <c r="H189" s="4" t="s">
        <v>369</v>
      </c>
      <c r="I189" s="45">
        <f t="shared" si="34"/>
        <v>0</v>
      </c>
      <c r="J189" s="56">
        <f t="shared" si="35"/>
        <v>0</v>
      </c>
      <c r="K189" s="56">
        <f t="shared" si="36"/>
        <v>0</v>
      </c>
      <c r="L189" s="56">
        <f t="shared" si="37"/>
        <v>0</v>
      </c>
      <c r="M189" s="56">
        <f t="shared" si="38"/>
        <v>0</v>
      </c>
      <c r="N189" s="56">
        <f t="shared" si="39"/>
        <v>0</v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50">
        <f t="shared" si="40"/>
        <v>0</v>
      </c>
    </row>
    <row r="190" spans="6:65" x14ac:dyDescent="0.15">
      <c r="F190" s="12" t="s">
        <v>928</v>
      </c>
      <c r="G190" s="205" t="s">
        <v>368</v>
      </c>
      <c r="H190" s="4" t="s">
        <v>371</v>
      </c>
      <c r="I190" s="45">
        <f t="shared" si="34"/>
        <v>0</v>
      </c>
      <c r="J190" s="56">
        <f t="shared" si="35"/>
        <v>0</v>
      </c>
      <c r="K190" s="56">
        <f t="shared" si="36"/>
        <v>0</v>
      </c>
      <c r="L190" s="56">
        <f t="shared" si="37"/>
        <v>0</v>
      </c>
      <c r="M190" s="56">
        <f t="shared" si="38"/>
        <v>0</v>
      </c>
      <c r="N190" s="56">
        <f t="shared" si="39"/>
        <v>0</v>
      </c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50">
        <f t="shared" si="40"/>
        <v>0</v>
      </c>
    </row>
    <row r="191" spans="6:65" x14ac:dyDescent="0.15">
      <c r="F191" s="12" t="s">
        <v>930</v>
      </c>
      <c r="G191" s="205" t="s">
        <v>370</v>
      </c>
      <c r="H191" s="53" t="s">
        <v>373</v>
      </c>
      <c r="I191" s="45">
        <f t="shared" si="34"/>
        <v>0</v>
      </c>
      <c r="J191" s="56">
        <f t="shared" si="35"/>
        <v>0</v>
      </c>
      <c r="K191" s="56">
        <f t="shared" si="36"/>
        <v>0</v>
      </c>
      <c r="L191" s="56">
        <f t="shared" si="37"/>
        <v>0</v>
      </c>
      <c r="M191" s="56">
        <f t="shared" si="38"/>
        <v>0</v>
      </c>
      <c r="N191" s="56">
        <f t="shared" si="39"/>
        <v>0</v>
      </c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50">
        <f t="shared" si="40"/>
        <v>0</v>
      </c>
    </row>
    <row r="192" spans="6:65" x14ac:dyDescent="0.15">
      <c r="F192" s="12" t="s">
        <v>928</v>
      </c>
      <c r="G192" s="205" t="s">
        <v>372</v>
      </c>
      <c r="H192" s="4" t="s">
        <v>375</v>
      </c>
      <c r="I192" s="45">
        <f t="shared" si="34"/>
        <v>0</v>
      </c>
      <c r="J192" s="56">
        <f t="shared" si="35"/>
        <v>0</v>
      </c>
      <c r="K192" s="56">
        <f t="shared" si="36"/>
        <v>0</v>
      </c>
      <c r="L192" s="56">
        <f t="shared" si="37"/>
        <v>0</v>
      </c>
      <c r="M192" s="56">
        <f t="shared" si="38"/>
        <v>0</v>
      </c>
      <c r="N192" s="56">
        <f t="shared" si="39"/>
        <v>0</v>
      </c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50">
        <f t="shared" si="40"/>
        <v>0</v>
      </c>
    </row>
    <row r="193" spans="6:65" x14ac:dyDescent="0.15">
      <c r="F193" s="12" t="s">
        <v>928</v>
      </c>
      <c r="G193" s="205" t="s">
        <v>374</v>
      </c>
      <c r="H193" s="4" t="s">
        <v>377</v>
      </c>
      <c r="I193" s="45">
        <f t="shared" si="34"/>
        <v>0</v>
      </c>
      <c r="J193" s="56">
        <f t="shared" si="35"/>
        <v>0</v>
      </c>
      <c r="K193" s="56">
        <f t="shared" si="36"/>
        <v>0</v>
      </c>
      <c r="L193" s="56">
        <f t="shared" si="37"/>
        <v>0</v>
      </c>
      <c r="M193" s="56">
        <f t="shared" si="38"/>
        <v>0</v>
      </c>
      <c r="N193" s="56">
        <f t="shared" si="39"/>
        <v>0</v>
      </c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50">
        <f t="shared" si="40"/>
        <v>0</v>
      </c>
    </row>
    <row r="194" spans="6:65" x14ac:dyDescent="0.15">
      <c r="F194" s="12" t="s">
        <v>930</v>
      </c>
      <c r="G194" s="205" t="s">
        <v>376</v>
      </c>
      <c r="H194" s="53" t="s">
        <v>379</v>
      </c>
      <c r="I194" s="45">
        <f t="shared" si="34"/>
        <v>0</v>
      </c>
      <c r="J194" s="56">
        <f t="shared" si="35"/>
        <v>0</v>
      </c>
      <c r="K194" s="56">
        <f t="shared" si="36"/>
        <v>0</v>
      </c>
      <c r="L194" s="56">
        <f t="shared" si="37"/>
        <v>0</v>
      </c>
      <c r="M194" s="56">
        <f t="shared" si="38"/>
        <v>0</v>
      </c>
      <c r="N194" s="56">
        <f t="shared" si="39"/>
        <v>0</v>
      </c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50">
        <f t="shared" si="40"/>
        <v>0</v>
      </c>
    </row>
    <row r="195" spans="6:65" x14ac:dyDescent="0.15">
      <c r="F195" s="12" t="s">
        <v>930</v>
      </c>
      <c r="G195" s="205" t="s">
        <v>378</v>
      </c>
      <c r="H195" s="4" t="s">
        <v>381</v>
      </c>
      <c r="I195" s="45">
        <f t="shared" si="34"/>
        <v>0</v>
      </c>
      <c r="J195" s="56">
        <f t="shared" si="35"/>
        <v>0</v>
      </c>
      <c r="K195" s="56">
        <f t="shared" si="36"/>
        <v>0</v>
      </c>
      <c r="L195" s="56">
        <f t="shared" si="37"/>
        <v>0</v>
      </c>
      <c r="M195" s="56">
        <f t="shared" si="38"/>
        <v>0</v>
      </c>
      <c r="N195" s="56">
        <f t="shared" si="39"/>
        <v>0</v>
      </c>
      <c r="O195" s="46">
        <f t="shared" ref="O195:BL195" si="45">SUM(O196:O198)</f>
        <v>0</v>
      </c>
      <c r="P195" s="46">
        <f t="shared" si="45"/>
        <v>0</v>
      </c>
      <c r="Q195" s="46">
        <f t="shared" si="45"/>
        <v>0</v>
      </c>
      <c r="R195" s="46">
        <f t="shared" si="45"/>
        <v>0</v>
      </c>
      <c r="S195" s="46">
        <f t="shared" si="45"/>
        <v>0</v>
      </c>
      <c r="T195" s="46">
        <f t="shared" si="45"/>
        <v>0</v>
      </c>
      <c r="U195" s="46">
        <f t="shared" si="45"/>
        <v>0</v>
      </c>
      <c r="V195" s="46">
        <f t="shared" si="45"/>
        <v>0</v>
      </c>
      <c r="W195" s="46">
        <f t="shared" si="45"/>
        <v>0</v>
      </c>
      <c r="X195" s="46">
        <f t="shared" si="45"/>
        <v>0</v>
      </c>
      <c r="Y195" s="46">
        <f t="shared" si="45"/>
        <v>0</v>
      </c>
      <c r="Z195" s="46">
        <f t="shared" si="45"/>
        <v>0</v>
      </c>
      <c r="AA195" s="46">
        <f t="shared" si="45"/>
        <v>0</v>
      </c>
      <c r="AB195" s="46">
        <f t="shared" si="45"/>
        <v>0</v>
      </c>
      <c r="AC195" s="46">
        <f t="shared" si="45"/>
        <v>0</v>
      </c>
      <c r="AD195" s="46">
        <f t="shared" si="45"/>
        <v>0</v>
      </c>
      <c r="AE195" s="46">
        <f t="shared" si="45"/>
        <v>0</v>
      </c>
      <c r="AF195" s="46">
        <f t="shared" si="45"/>
        <v>0</v>
      </c>
      <c r="AG195" s="46">
        <f t="shared" si="45"/>
        <v>0</v>
      </c>
      <c r="AH195" s="46">
        <f t="shared" si="45"/>
        <v>0</v>
      </c>
      <c r="AI195" s="46">
        <f t="shared" si="45"/>
        <v>0</v>
      </c>
      <c r="AJ195" s="46">
        <f t="shared" si="45"/>
        <v>0</v>
      </c>
      <c r="AK195" s="46">
        <f t="shared" si="45"/>
        <v>0</v>
      </c>
      <c r="AL195" s="46">
        <f t="shared" si="45"/>
        <v>0</v>
      </c>
      <c r="AM195" s="46">
        <f t="shared" si="45"/>
        <v>0</v>
      </c>
      <c r="AN195" s="46">
        <f t="shared" si="45"/>
        <v>0</v>
      </c>
      <c r="AO195" s="46">
        <f t="shared" si="45"/>
        <v>0</v>
      </c>
      <c r="AP195" s="46">
        <f t="shared" si="45"/>
        <v>0</v>
      </c>
      <c r="AQ195" s="46">
        <f t="shared" si="45"/>
        <v>0</v>
      </c>
      <c r="AR195" s="46">
        <f t="shared" si="45"/>
        <v>0</v>
      </c>
      <c r="AS195" s="46">
        <f t="shared" si="45"/>
        <v>0</v>
      </c>
      <c r="AT195" s="46">
        <f t="shared" si="45"/>
        <v>0</v>
      </c>
      <c r="AU195" s="46">
        <f t="shared" si="45"/>
        <v>0</v>
      </c>
      <c r="AV195" s="46">
        <f t="shared" si="45"/>
        <v>0</v>
      </c>
      <c r="AW195" s="46">
        <f t="shared" si="45"/>
        <v>0</v>
      </c>
      <c r="AX195" s="46">
        <f t="shared" si="45"/>
        <v>0</v>
      </c>
      <c r="AY195" s="46">
        <f t="shared" si="45"/>
        <v>0</v>
      </c>
      <c r="AZ195" s="46">
        <f t="shared" si="45"/>
        <v>0</v>
      </c>
      <c r="BA195" s="46">
        <f t="shared" si="45"/>
        <v>0</v>
      </c>
      <c r="BB195" s="46">
        <f t="shared" si="45"/>
        <v>0</v>
      </c>
      <c r="BC195" s="46">
        <f t="shared" si="45"/>
        <v>0</v>
      </c>
      <c r="BD195" s="46">
        <f t="shared" si="45"/>
        <v>0</v>
      </c>
      <c r="BE195" s="46">
        <f t="shared" si="45"/>
        <v>0</v>
      </c>
      <c r="BF195" s="46">
        <f t="shared" si="45"/>
        <v>0</v>
      </c>
      <c r="BG195" s="46">
        <f t="shared" si="45"/>
        <v>0</v>
      </c>
      <c r="BH195" s="46">
        <f t="shared" si="45"/>
        <v>0</v>
      </c>
      <c r="BI195" s="46">
        <f t="shared" si="45"/>
        <v>0</v>
      </c>
      <c r="BJ195" s="46">
        <f t="shared" si="45"/>
        <v>0</v>
      </c>
      <c r="BK195" s="46">
        <f t="shared" si="45"/>
        <v>0</v>
      </c>
      <c r="BL195" s="46">
        <f t="shared" si="45"/>
        <v>0</v>
      </c>
      <c r="BM195" s="50">
        <f t="shared" si="40"/>
        <v>0</v>
      </c>
    </row>
    <row r="196" spans="6:65" ht="21" x14ac:dyDescent="0.15">
      <c r="F196" s="12" t="s">
        <v>930</v>
      </c>
      <c r="G196" s="206" t="s">
        <v>380</v>
      </c>
      <c r="H196" s="4" t="s">
        <v>383</v>
      </c>
      <c r="I196" s="45">
        <f t="shared" si="34"/>
        <v>0</v>
      </c>
      <c r="J196" s="56">
        <f t="shared" si="35"/>
        <v>0</v>
      </c>
      <c r="K196" s="56">
        <f t="shared" si="36"/>
        <v>0</v>
      </c>
      <c r="L196" s="56">
        <f t="shared" si="37"/>
        <v>0</v>
      </c>
      <c r="M196" s="56">
        <f t="shared" si="38"/>
        <v>0</v>
      </c>
      <c r="N196" s="56">
        <f t="shared" si="39"/>
        <v>0</v>
      </c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50">
        <f t="shared" si="40"/>
        <v>0</v>
      </c>
    </row>
    <row r="197" spans="6:65" x14ac:dyDescent="0.15">
      <c r="F197" s="12" t="s">
        <v>930</v>
      </c>
      <c r="G197" s="206" t="s">
        <v>382</v>
      </c>
      <c r="H197" s="53" t="s">
        <v>385</v>
      </c>
      <c r="I197" s="45">
        <f t="shared" si="34"/>
        <v>0</v>
      </c>
      <c r="J197" s="56">
        <f t="shared" si="35"/>
        <v>0</v>
      </c>
      <c r="K197" s="56">
        <f t="shared" si="36"/>
        <v>0</v>
      </c>
      <c r="L197" s="56">
        <f t="shared" si="37"/>
        <v>0</v>
      </c>
      <c r="M197" s="56">
        <f t="shared" si="38"/>
        <v>0</v>
      </c>
      <c r="N197" s="56">
        <f t="shared" si="39"/>
        <v>0</v>
      </c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50">
        <f t="shared" si="40"/>
        <v>0</v>
      </c>
    </row>
    <row r="198" spans="6:65" ht="21" x14ac:dyDescent="0.15">
      <c r="F198" s="12" t="s">
        <v>930</v>
      </c>
      <c r="G198" s="206" t="s">
        <v>384</v>
      </c>
      <c r="H198" s="4" t="s">
        <v>387</v>
      </c>
      <c r="I198" s="45">
        <f t="shared" si="34"/>
        <v>0</v>
      </c>
      <c r="J198" s="56">
        <f t="shared" si="35"/>
        <v>0</v>
      </c>
      <c r="K198" s="56">
        <f t="shared" si="36"/>
        <v>0</v>
      </c>
      <c r="L198" s="56">
        <f t="shared" si="37"/>
        <v>0</v>
      </c>
      <c r="M198" s="56">
        <f t="shared" si="38"/>
        <v>0</v>
      </c>
      <c r="N198" s="56">
        <f t="shared" si="39"/>
        <v>0</v>
      </c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50">
        <f t="shared" si="40"/>
        <v>0</v>
      </c>
    </row>
    <row r="199" spans="6:65" x14ac:dyDescent="0.15">
      <c r="F199" s="12" t="s">
        <v>930</v>
      </c>
      <c r="G199" s="205" t="s">
        <v>386</v>
      </c>
      <c r="H199" s="4" t="s">
        <v>389</v>
      </c>
      <c r="I199" s="45">
        <f t="shared" si="34"/>
        <v>0</v>
      </c>
      <c r="J199" s="56">
        <f t="shared" si="35"/>
        <v>0</v>
      </c>
      <c r="K199" s="56">
        <f t="shared" si="36"/>
        <v>0</v>
      </c>
      <c r="L199" s="56">
        <f t="shared" si="37"/>
        <v>0</v>
      </c>
      <c r="M199" s="56">
        <f t="shared" si="38"/>
        <v>0</v>
      </c>
      <c r="N199" s="56">
        <f t="shared" si="39"/>
        <v>0</v>
      </c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50">
        <f t="shared" si="40"/>
        <v>0</v>
      </c>
    </row>
    <row r="200" spans="6:65" x14ac:dyDescent="0.15">
      <c r="F200" s="12" t="s">
        <v>930</v>
      </c>
      <c r="G200" s="205" t="s">
        <v>388</v>
      </c>
      <c r="H200" s="53" t="s">
        <v>391</v>
      </c>
      <c r="I200" s="45">
        <f t="shared" si="34"/>
        <v>0</v>
      </c>
      <c r="J200" s="56">
        <f t="shared" si="35"/>
        <v>0</v>
      </c>
      <c r="K200" s="56">
        <f t="shared" si="36"/>
        <v>0</v>
      </c>
      <c r="L200" s="56">
        <f t="shared" si="37"/>
        <v>0</v>
      </c>
      <c r="M200" s="56">
        <f t="shared" si="38"/>
        <v>0</v>
      </c>
      <c r="N200" s="56">
        <f t="shared" si="39"/>
        <v>0</v>
      </c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50">
        <f t="shared" si="40"/>
        <v>0</v>
      </c>
    </row>
    <row r="201" spans="6:65" x14ac:dyDescent="0.15">
      <c r="F201" s="12" t="s">
        <v>931</v>
      </c>
      <c r="G201" s="205" t="s">
        <v>390</v>
      </c>
      <c r="H201" s="4" t="s">
        <v>393</v>
      </c>
      <c r="I201" s="45">
        <f t="shared" si="34"/>
        <v>0</v>
      </c>
      <c r="J201" s="56">
        <f t="shared" si="35"/>
        <v>0</v>
      </c>
      <c r="K201" s="56">
        <f t="shared" si="36"/>
        <v>0</v>
      </c>
      <c r="L201" s="56">
        <f t="shared" si="37"/>
        <v>0</v>
      </c>
      <c r="M201" s="56">
        <f t="shared" si="38"/>
        <v>0</v>
      </c>
      <c r="N201" s="56">
        <f t="shared" si="39"/>
        <v>0</v>
      </c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50">
        <f t="shared" si="40"/>
        <v>0</v>
      </c>
    </row>
    <row r="202" spans="6:65" x14ac:dyDescent="0.15">
      <c r="F202" s="12" t="s">
        <v>931</v>
      </c>
      <c r="G202" s="205" t="s">
        <v>392</v>
      </c>
      <c r="H202" s="4" t="s">
        <v>395</v>
      </c>
      <c r="I202" s="45">
        <f t="shared" si="34"/>
        <v>0</v>
      </c>
      <c r="J202" s="56">
        <f t="shared" si="35"/>
        <v>0</v>
      </c>
      <c r="K202" s="56">
        <f t="shared" si="36"/>
        <v>0</v>
      </c>
      <c r="L202" s="56">
        <f t="shared" si="37"/>
        <v>0</v>
      </c>
      <c r="M202" s="56">
        <f t="shared" si="38"/>
        <v>0</v>
      </c>
      <c r="N202" s="56">
        <f t="shared" si="39"/>
        <v>0</v>
      </c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50">
        <f t="shared" si="40"/>
        <v>0</v>
      </c>
    </row>
    <row r="203" spans="6:65" x14ac:dyDescent="0.15">
      <c r="F203" s="12" t="s">
        <v>931</v>
      </c>
      <c r="G203" s="205" t="s">
        <v>394</v>
      </c>
      <c r="H203" s="53" t="s">
        <v>397</v>
      </c>
      <c r="I203" s="45">
        <f t="shared" si="34"/>
        <v>0</v>
      </c>
      <c r="J203" s="56">
        <f t="shared" si="35"/>
        <v>0</v>
      </c>
      <c r="K203" s="56">
        <f t="shared" si="36"/>
        <v>0</v>
      </c>
      <c r="L203" s="56">
        <f t="shared" si="37"/>
        <v>0</v>
      </c>
      <c r="M203" s="56">
        <f t="shared" si="38"/>
        <v>0</v>
      </c>
      <c r="N203" s="56">
        <f t="shared" si="39"/>
        <v>0</v>
      </c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50">
        <f t="shared" si="40"/>
        <v>0</v>
      </c>
    </row>
    <row r="204" spans="6:65" x14ac:dyDescent="0.15">
      <c r="F204" s="12" t="s">
        <v>931</v>
      </c>
      <c r="G204" s="205" t="s">
        <v>396</v>
      </c>
      <c r="H204" s="4" t="s">
        <v>399</v>
      </c>
      <c r="I204" s="45">
        <f t="shared" si="34"/>
        <v>0</v>
      </c>
      <c r="J204" s="56">
        <f t="shared" si="35"/>
        <v>0</v>
      </c>
      <c r="K204" s="56">
        <f t="shared" si="36"/>
        <v>0</v>
      </c>
      <c r="L204" s="56">
        <f t="shared" si="37"/>
        <v>0</v>
      </c>
      <c r="M204" s="56">
        <f t="shared" si="38"/>
        <v>0</v>
      </c>
      <c r="N204" s="56">
        <f t="shared" si="39"/>
        <v>0</v>
      </c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50">
        <f t="shared" si="40"/>
        <v>0</v>
      </c>
    </row>
    <row r="205" spans="6:65" x14ac:dyDescent="0.15">
      <c r="F205" s="12" t="s">
        <v>931</v>
      </c>
      <c r="G205" s="205" t="s">
        <v>398</v>
      </c>
      <c r="H205" s="4" t="s">
        <v>401</v>
      </c>
      <c r="I205" s="45">
        <f t="shared" ref="I205:I269" si="46">SUM(J205:L205)</f>
        <v>0</v>
      </c>
      <c r="J205" s="56">
        <f t="shared" ref="J205:J269" si="47">O205+T205+Y205+AD205+AI205+AN205+AS205+AX205+BC205+BH205</f>
        <v>0</v>
      </c>
      <c r="K205" s="56">
        <f t="shared" ref="K205:K269" si="48">P205+U205+Z205+AE205+AJ205+AO205+AT205+AY205+BD205+BI205</f>
        <v>0</v>
      </c>
      <c r="L205" s="56">
        <f t="shared" ref="L205:L269" si="49">Q205+V205+AA205+AF205+AK205+AP205+AU205+AZ205+BE205+BJ205</f>
        <v>0</v>
      </c>
      <c r="M205" s="56">
        <f t="shared" ref="M205:M269" si="50">R205+W205+AB205+AG205+AL205+AQ205+AV205+BA205+BF205+BK205</f>
        <v>0</v>
      </c>
      <c r="N205" s="56">
        <f t="shared" ref="N205:N269" si="51">S205+X205+AC205+AH205+AM205+AR205+AW205+BB205+BG205+BL205</f>
        <v>0</v>
      </c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50">
        <f t="shared" ref="BM205:BM269" si="52">SUM(I205:BL205)</f>
        <v>0</v>
      </c>
    </row>
    <row r="206" spans="6:65" ht="21" x14ac:dyDescent="0.15">
      <c r="F206" s="12" t="s">
        <v>931</v>
      </c>
      <c r="G206" s="205" t="s">
        <v>400</v>
      </c>
      <c r="H206" s="53" t="s">
        <v>403</v>
      </c>
      <c r="I206" s="45">
        <f t="shared" si="46"/>
        <v>0</v>
      </c>
      <c r="J206" s="56">
        <f t="shared" si="47"/>
        <v>0</v>
      </c>
      <c r="K206" s="56">
        <f t="shared" si="48"/>
        <v>0</v>
      </c>
      <c r="L206" s="56">
        <f t="shared" si="49"/>
        <v>0</v>
      </c>
      <c r="M206" s="56">
        <f t="shared" si="50"/>
        <v>0</v>
      </c>
      <c r="N206" s="56">
        <f t="shared" si="51"/>
        <v>0</v>
      </c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50">
        <f t="shared" si="52"/>
        <v>0</v>
      </c>
    </row>
    <row r="207" spans="6:65" ht="21" x14ac:dyDescent="0.15">
      <c r="F207" s="12" t="s">
        <v>931</v>
      </c>
      <c r="G207" s="205" t="s">
        <v>402</v>
      </c>
      <c r="H207" s="4" t="s">
        <v>405</v>
      </c>
      <c r="I207" s="45">
        <f t="shared" si="46"/>
        <v>0</v>
      </c>
      <c r="J207" s="56">
        <f t="shared" si="47"/>
        <v>0</v>
      </c>
      <c r="K207" s="56">
        <f t="shared" si="48"/>
        <v>0</v>
      </c>
      <c r="L207" s="56">
        <f t="shared" si="49"/>
        <v>0</v>
      </c>
      <c r="M207" s="56">
        <f t="shared" si="50"/>
        <v>0</v>
      </c>
      <c r="N207" s="56">
        <f t="shared" si="51"/>
        <v>0</v>
      </c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50">
        <f t="shared" si="52"/>
        <v>0</v>
      </c>
    </row>
    <row r="208" spans="6:65" x14ac:dyDescent="0.15">
      <c r="F208" s="12" t="s">
        <v>931</v>
      </c>
      <c r="G208" s="205" t="s">
        <v>404</v>
      </c>
      <c r="H208" s="4" t="s">
        <v>407</v>
      </c>
      <c r="I208" s="45">
        <f t="shared" si="46"/>
        <v>0</v>
      </c>
      <c r="J208" s="56">
        <f t="shared" si="47"/>
        <v>0</v>
      </c>
      <c r="K208" s="56">
        <f t="shared" si="48"/>
        <v>0</v>
      </c>
      <c r="L208" s="56">
        <f t="shared" si="49"/>
        <v>0</v>
      </c>
      <c r="M208" s="56">
        <f t="shared" si="50"/>
        <v>0</v>
      </c>
      <c r="N208" s="56">
        <f t="shared" si="51"/>
        <v>0</v>
      </c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50">
        <f t="shared" si="52"/>
        <v>0</v>
      </c>
    </row>
    <row r="209" spans="6:65" ht="21" x14ac:dyDescent="0.15">
      <c r="F209" s="12" t="s">
        <v>928</v>
      </c>
      <c r="G209" s="205" t="s">
        <v>406</v>
      </c>
      <c r="H209" s="53" t="s">
        <v>409</v>
      </c>
      <c r="I209" s="45">
        <f t="shared" si="46"/>
        <v>0</v>
      </c>
      <c r="J209" s="56">
        <f t="shared" si="47"/>
        <v>0</v>
      </c>
      <c r="K209" s="56">
        <f t="shared" si="48"/>
        <v>0</v>
      </c>
      <c r="L209" s="56">
        <f t="shared" si="49"/>
        <v>0</v>
      </c>
      <c r="M209" s="56">
        <f t="shared" si="50"/>
        <v>0</v>
      </c>
      <c r="N209" s="56">
        <f t="shared" si="51"/>
        <v>0</v>
      </c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50">
        <f t="shared" si="52"/>
        <v>0</v>
      </c>
    </row>
    <row r="210" spans="6:65" x14ac:dyDescent="0.15">
      <c r="F210" s="12" t="s">
        <v>929</v>
      </c>
      <c r="G210" s="205" t="s">
        <v>408</v>
      </c>
      <c r="H210" s="4" t="s">
        <v>411</v>
      </c>
      <c r="I210" s="45">
        <f t="shared" si="46"/>
        <v>0</v>
      </c>
      <c r="J210" s="56">
        <f t="shared" si="47"/>
        <v>0</v>
      </c>
      <c r="K210" s="56">
        <f t="shared" si="48"/>
        <v>0</v>
      </c>
      <c r="L210" s="56">
        <f t="shared" si="49"/>
        <v>0</v>
      </c>
      <c r="M210" s="56">
        <f t="shared" si="50"/>
        <v>0</v>
      </c>
      <c r="N210" s="56">
        <f t="shared" si="51"/>
        <v>0</v>
      </c>
      <c r="O210" s="46">
        <f t="shared" ref="O210:BL210" si="53">SUM(O211:O216)</f>
        <v>0</v>
      </c>
      <c r="P210" s="46">
        <f t="shared" si="53"/>
        <v>0</v>
      </c>
      <c r="Q210" s="46">
        <f t="shared" si="53"/>
        <v>0</v>
      </c>
      <c r="R210" s="46">
        <f t="shared" si="53"/>
        <v>0</v>
      </c>
      <c r="S210" s="46">
        <f t="shared" si="53"/>
        <v>0</v>
      </c>
      <c r="T210" s="46">
        <f t="shared" si="53"/>
        <v>0</v>
      </c>
      <c r="U210" s="46">
        <f t="shared" si="53"/>
        <v>0</v>
      </c>
      <c r="V210" s="46">
        <f t="shared" si="53"/>
        <v>0</v>
      </c>
      <c r="W210" s="46">
        <f t="shared" si="53"/>
        <v>0</v>
      </c>
      <c r="X210" s="46">
        <f t="shared" si="53"/>
        <v>0</v>
      </c>
      <c r="Y210" s="46">
        <f t="shared" si="53"/>
        <v>0</v>
      </c>
      <c r="Z210" s="46">
        <f t="shared" si="53"/>
        <v>0</v>
      </c>
      <c r="AA210" s="46">
        <f t="shared" si="53"/>
        <v>0</v>
      </c>
      <c r="AB210" s="46">
        <f t="shared" si="53"/>
        <v>0</v>
      </c>
      <c r="AC210" s="46">
        <f t="shared" si="53"/>
        <v>0</v>
      </c>
      <c r="AD210" s="46">
        <f t="shared" si="53"/>
        <v>0</v>
      </c>
      <c r="AE210" s="46">
        <f t="shared" si="53"/>
        <v>0</v>
      </c>
      <c r="AF210" s="46">
        <f t="shared" si="53"/>
        <v>0</v>
      </c>
      <c r="AG210" s="46">
        <f t="shared" si="53"/>
        <v>0</v>
      </c>
      <c r="AH210" s="46">
        <f t="shared" si="53"/>
        <v>0</v>
      </c>
      <c r="AI210" s="46">
        <f t="shared" si="53"/>
        <v>0</v>
      </c>
      <c r="AJ210" s="46">
        <f t="shared" si="53"/>
        <v>0</v>
      </c>
      <c r="AK210" s="46">
        <f t="shared" si="53"/>
        <v>0</v>
      </c>
      <c r="AL210" s="46">
        <f t="shared" si="53"/>
        <v>0</v>
      </c>
      <c r="AM210" s="46">
        <f t="shared" si="53"/>
        <v>0</v>
      </c>
      <c r="AN210" s="46">
        <f t="shared" si="53"/>
        <v>0</v>
      </c>
      <c r="AO210" s="46">
        <f t="shared" si="53"/>
        <v>0</v>
      </c>
      <c r="AP210" s="46">
        <f t="shared" si="53"/>
        <v>0</v>
      </c>
      <c r="AQ210" s="46">
        <f t="shared" si="53"/>
        <v>0</v>
      </c>
      <c r="AR210" s="46">
        <f t="shared" si="53"/>
        <v>0</v>
      </c>
      <c r="AS210" s="46">
        <f t="shared" si="53"/>
        <v>0</v>
      </c>
      <c r="AT210" s="46">
        <f t="shared" si="53"/>
        <v>0</v>
      </c>
      <c r="AU210" s="46">
        <f t="shared" si="53"/>
        <v>0</v>
      </c>
      <c r="AV210" s="46">
        <f t="shared" si="53"/>
        <v>0</v>
      </c>
      <c r="AW210" s="46">
        <f t="shared" si="53"/>
        <v>0</v>
      </c>
      <c r="AX210" s="46">
        <f t="shared" si="53"/>
        <v>0</v>
      </c>
      <c r="AY210" s="46">
        <f t="shared" si="53"/>
        <v>0</v>
      </c>
      <c r="AZ210" s="46">
        <f t="shared" si="53"/>
        <v>0</v>
      </c>
      <c r="BA210" s="46">
        <f t="shared" si="53"/>
        <v>0</v>
      </c>
      <c r="BB210" s="46">
        <f t="shared" si="53"/>
        <v>0</v>
      </c>
      <c r="BC210" s="46">
        <f t="shared" si="53"/>
        <v>0</v>
      </c>
      <c r="BD210" s="46">
        <f t="shared" si="53"/>
        <v>0</v>
      </c>
      <c r="BE210" s="46">
        <f t="shared" si="53"/>
        <v>0</v>
      </c>
      <c r="BF210" s="46">
        <f t="shared" si="53"/>
        <v>0</v>
      </c>
      <c r="BG210" s="46">
        <f t="shared" si="53"/>
        <v>0</v>
      </c>
      <c r="BH210" s="46">
        <f t="shared" si="53"/>
        <v>0</v>
      </c>
      <c r="BI210" s="46">
        <f t="shared" si="53"/>
        <v>0</v>
      </c>
      <c r="BJ210" s="46">
        <f t="shared" si="53"/>
        <v>0</v>
      </c>
      <c r="BK210" s="46">
        <f t="shared" si="53"/>
        <v>0</v>
      </c>
      <c r="BL210" s="46">
        <f t="shared" si="53"/>
        <v>0</v>
      </c>
      <c r="BM210" s="50">
        <f t="shared" si="52"/>
        <v>0</v>
      </c>
    </row>
    <row r="211" spans="6:65" ht="21" x14ac:dyDescent="0.15">
      <c r="F211" s="12" t="s">
        <v>929</v>
      </c>
      <c r="G211" s="206" t="s">
        <v>410</v>
      </c>
      <c r="H211" s="4" t="s">
        <v>413</v>
      </c>
      <c r="I211" s="45">
        <f t="shared" si="46"/>
        <v>0</v>
      </c>
      <c r="J211" s="56">
        <f t="shared" si="47"/>
        <v>0</v>
      </c>
      <c r="K211" s="56">
        <f t="shared" si="48"/>
        <v>0</v>
      </c>
      <c r="L211" s="56">
        <f t="shared" si="49"/>
        <v>0</v>
      </c>
      <c r="M211" s="56">
        <f t="shared" si="50"/>
        <v>0</v>
      </c>
      <c r="N211" s="56">
        <f t="shared" si="51"/>
        <v>0</v>
      </c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50">
        <f t="shared" si="52"/>
        <v>0</v>
      </c>
    </row>
    <row r="212" spans="6:65" x14ac:dyDescent="0.15">
      <c r="F212" s="12" t="s">
        <v>929</v>
      </c>
      <c r="G212" s="206" t="s">
        <v>412</v>
      </c>
      <c r="H212" s="53" t="s">
        <v>415</v>
      </c>
      <c r="I212" s="45">
        <f t="shared" si="46"/>
        <v>0</v>
      </c>
      <c r="J212" s="56">
        <f t="shared" si="47"/>
        <v>0</v>
      </c>
      <c r="K212" s="56">
        <f t="shared" si="48"/>
        <v>0</v>
      </c>
      <c r="L212" s="56">
        <f t="shared" si="49"/>
        <v>0</v>
      </c>
      <c r="M212" s="56">
        <f t="shared" si="50"/>
        <v>0</v>
      </c>
      <c r="N212" s="56">
        <f t="shared" si="51"/>
        <v>0</v>
      </c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50">
        <f t="shared" si="52"/>
        <v>0</v>
      </c>
    </row>
    <row r="213" spans="6:65" x14ac:dyDescent="0.15">
      <c r="F213" s="12" t="s">
        <v>929</v>
      </c>
      <c r="G213" s="206" t="s">
        <v>414</v>
      </c>
      <c r="H213" s="4" t="s">
        <v>417</v>
      </c>
      <c r="I213" s="45">
        <f t="shared" si="46"/>
        <v>0</v>
      </c>
      <c r="J213" s="56">
        <f t="shared" si="47"/>
        <v>0</v>
      </c>
      <c r="K213" s="56">
        <f t="shared" si="48"/>
        <v>0</v>
      </c>
      <c r="L213" s="56">
        <f t="shared" si="49"/>
        <v>0</v>
      </c>
      <c r="M213" s="56">
        <f t="shared" si="50"/>
        <v>0</v>
      </c>
      <c r="N213" s="56">
        <f t="shared" si="51"/>
        <v>0</v>
      </c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50">
        <f t="shared" si="52"/>
        <v>0</v>
      </c>
    </row>
    <row r="214" spans="6:65" x14ac:dyDescent="0.15">
      <c r="F214" s="12" t="s">
        <v>929</v>
      </c>
      <c r="G214" s="206" t="s">
        <v>416</v>
      </c>
      <c r="H214" s="4" t="s">
        <v>419</v>
      </c>
      <c r="I214" s="45">
        <f t="shared" si="46"/>
        <v>0</v>
      </c>
      <c r="J214" s="56">
        <f t="shared" si="47"/>
        <v>0</v>
      </c>
      <c r="K214" s="56">
        <f t="shared" si="48"/>
        <v>0</v>
      </c>
      <c r="L214" s="56">
        <f t="shared" si="49"/>
        <v>0</v>
      </c>
      <c r="M214" s="56">
        <f t="shared" si="50"/>
        <v>0</v>
      </c>
      <c r="N214" s="56">
        <f t="shared" si="51"/>
        <v>0</v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50">
        <f t="shared" si="52"/>
        <v>0</v>
      </c>
    </row>
    <row r="215" spans="6:65" x14ac:dyDescent="0.15">
      <c r="F215" s="12" t="s">
        <v>929</v>
      </c>
      <c r="G215" s="206" t="s">
        <v>418</v>
      </c>
      <c r="H215" s="53" t="s">
        <v>421</v>
      </c>
      <c r="I215" s="45">
        <f t="shared" si="46"/>
        <v>0</v>
      </c>
      <c r="J215" s="56">
        <f t="shared" si="47"/>
        <v>0</v>
      </c>
      <c r="K215" s="56">
        <f t="shared" si="48"/>
        <v>0</v>
      </c>
      <c r="L215" s="56">
        <f t="shared" si="49"/>
        <v>0</v>
      </c>
      <c r="M215" s="56">
        <f t="shared" si="50"/>
        <v>0</v>
      </c>
      <c r="N215" s="56">
        <f t="shared" si="51"/>
        <v>0</v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50">
        <f t="shared" si="52"/>
        <v>0</v>
      </c>
    </row>
    <row r="216" spans="6:65" x14ac:dyDescent="0.15">
      <c r="F216" s="12" t="s">
        <v>929</v>
      </c>
      <c r="G216" s="206" t="s">
        <v>420</v>
      </c>
      <c r="H216" s="4" t="s">
        <v>423</v>
      </c>
      <c r="I216" s="45">
        <f t="shared" si="46"/>
        <v>0</v>
      </c>
      <c r="J216" s="56">
        <f t="shared" si="47"/>
        <v>0</v>
      </c>
      <c r="K216" s="56">
        <f t="shared" si="48"/>
        <v>0</v>
      </c>
      <c r="L216" s="56">
        <f t="shared" si="49"/>
        <v>0</v>
      </c>
      <c r="M216" s="56">
        <f t="shared" si="50"/>
        <v>0</v>
      </c>
      <c r="N216" s="56">
        <f t="shared" si="51"/>
        <v>0</v>
      </c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50">
        <f t="shared" si="52"/>
        <v>0</v>
      </c>
    </row>
    <row r="217" spans="6:65" x14ac:dyDescent="0.15">
      <c r="F217" s="12" t="s">
        <v>930</v>
      </c>
      <c r="G217" s="205" t="s">
        <v>422</v>
      </c>
      <c r="H217" s="4" t="s">
        <v>425</v>
      </c>
      <c r="I217" s="45">
        <f t="shared" si="46"/>
        <v>0</v>
      </c>
      <c r="J217" s="56">
        <f t="shared" si="47"/>
        <v>0</v>
      </c>
      <c r="K217" s="56">
        <f t="shared" si="48"/>
        <v>0</v>
      </c>
      <c r="L217" s="56">
        <f t="shared" si="49"/>
        <v>0</v>
      </c>
      <c r="M217" s="56">
        <f t="shared" si="50"/>
        <v>0</v>
      </c>
      <c r="N217" s="56">
        <f t="shared" si="51"/>
        <v>0</v>
      </c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50">
        <f t="shared" si="52"/>
        <v>0</v>
      </c>
    </row>
    <row r="218" spans="6:65" x14ac:dyDescent="0.15">
      <c r="F218" s="12" t="s">
        <v>930</v>
      </c>
      <c r="G218" s="205" t="s">
        <v>424</v>
      </c>
      <c r="H218" s="53" t="s">
        <v>427</v>
      </c>
      <c r="I218" s="45">
        <f t="shared" si="46"/>
        <v>0</v>
      </c>
      <c r="J218" s="56">
        <f t="shared" si="47"/>
        <v>0</v>
      </c>
      <c r="K218" s="56">
        <f t="shared" si="48"/>
        <v>0</v>
      </c>
      <c r="L218" s="56">
        <f t="shared" si="49"/>
        <v>0</v>
      </c>
      <c r="M218" s="56">
        <f t="shared" si="50"/>
        <v>0</v>
      </c>
      <c r="N218" s="56">
        <f t="shared" si="51"/>
        <v>0</v>
      </c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50">
        <f t="shared" si="52"/>
        <v>0</v>
      </c>
    </row>
    <row r="219" spans="6:65" x14ac:dyDescent="0.15">
      <c r="F219" s="12" t="s">
        <v>931</v>
      </c>
      <c r="G219" s="205" t="s">
        <v>426</v>
      </c>
      <c r="H219" s="4" t="s">
        <v>429</v>
      </c>
      <c r="I219" s="45">
        <f t="shared" si="46"/>
        <v>0</v>
      </c>
      <c r="J219" s="56">
        <f t="shared" si="47"/>
        <v>0</v>
      </c>
      <c r="K219" s="56">
        <f t="shared" si="48"/>
        <v>0</v>
      </c>
      <c r="L219" s="56">
        <f t="shared" si="49"/>
        <v>0</v>
      </c>
      <c r="M219" s="56">
        <f t="shared" si="50"/>
        <v>0</v>
      </c>
      <c r="N219" s="56">
        <f t="shared" si="51"/>
        <v>0</v>
      </c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50">
        <f t="shared" si="52"/>
        <v>0</v>
      </c>
    </row>
    <row r="220" spans="6:65" x14ac:dyDescent="0.15">
      <c r="F220" s="12" t="s">
        <v>928</v>
      </c>
      <c r="G220" s="205" t="s">
        <v>428</v>
      </c>
      <c r="H220" s="4" t="s">
        <v>431</v>
      </c>
      <c r="I220" s="45">
        <f t="shared" si="46"/>
        <v>0</v>
      </c>
      <c r="J220" s="56">
        <f t="shared" si="47"/>
        <v>0</v>
      </c>
      <c r="K220" s="56">
        <f t="shared" si="48"/>
        <v>0</v>
      </c>
      <c r="L220" s="56">
        <f t="shared" si="49"/>
        <v>0</v>
      </c>
      <c r="M220" s="56">
        <f t="shared" si="50"/>
        <v>0</v>
      </c>
      <c r="N220" s="56">
        <f t="shared" si="51"/>
        <v>0</v>
      </c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50">
        <f t="shared" si="52"/>
        <v>0</v>
      </c>
    </row>
    <row r="221" spans="6:65" x14ac:dyDescent="0.15">
      <c r="F221" s="12" t="s">
        <v>928</v>
      </c>
      <c r="G221" s="205" t="s">
        <v>430</v>
      </c>
      <c r="H221" s="53" t="s">
        <v>433</v>
      </c>
      <c r="I221" s="45">
        <f t="shared" si="46"/>
        <v>0</v>
      </c>
      <c r="J221" s="56">
        <f t="shared" si="47"/>
        <v>0</v>
      </c>
      <c r="K221" s="56">
        <f t="shared" si="48"/>
        <v>0</v>
      </c>
      <c r="L221" s="56">
        <f t="shared" si="49"/>
        <v>0</v>
      </c>
      <c r="M221" s="56">
        <f t="shared" si="50"/>
        <v>0</v>
      </c>
      <c r="N221" s="56">
        <f t="shared" si="51"/>
        <v>0</v>
      </c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50">
        <f t="shared" si="52"/>
        <v>0</v>
      </c>
    </row>
    <row r="222" spans="6:65" x14ac:dyDescent="0.15">
      <c r="F222" s="12" t="s">
        <v>928</v>
      </c>
      <c r="G222" s="205" t="s">
        <v>432</v>
      </c>
      <c r="H222" s="4" t="s">
        <v>435</v>
      </c>
      <c r="I222" s="45">
        <f t="shared" si="46"/>
        <v>0</v>
      </c>
      <c r="J222" s="56">
        <f t="shared" si="47"/>
        <v>0</v>
      </c>
      <c r="K222" s="56">
        <f t="shared" si="48"/>
        <v>0</v>
      </c>
      <c r="L222" s="56">
        <f t="shared" si="49"/>
        <v>0</v>
      </c>
      <c r="M222" s="56">
        <f t="shared" si="50"/>
        <v>0</v>
      </c>
      <c r="N222" s="56">
        <f t="shared" si="51"/>
        <v>0</v>
      </c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50">
        <f t="shared" si="52"/>
        <v>0</v>
      </c>
    </row>
    <row r="223" spans="6:65" x14ac:dyDescent="0.15">
      <c r="F223" s="12" t="s">
        <v>930</v>
      </c>
      <c r="G223" s="205" t="s">
        <v>434</v>
      </c>
      <c r="H223" s="4" t="s">
        <v>437</v>
      </c>
      <c r="I223" s="45">
        <f t="shared" si="46"/>
        <v>0</v>
      </c>
      <c r="J223" s="56">
        <f t="shared" si="47"/>
        <v>0</v>
      </c>
      <c r="K223" s="56">
        <f t="shared" si="48"/>
        <v>0</v>
      </c>
      <c r="L223" s="56">
        <f t="shared" si="49"/>
        <v>0</v>
      </c>
      <c r="M223" s="56">
        <f t="shared" si="50"/>
        <v>0</v>
      </c>
      <c r="N223" s="56">
        <f t="shared" si="51"/>
        <v>0</v>
      </c>
      <c r="O223" s="46">
        <f t="shared" ref="O223:BL223" si="54">SUM(O224:O228)</f>
        <v>0</v>
      </c>
      <c r="P223" s="46">
        <f t="shared" si="54"/>
        <v>0</v>
      </c>
      <c r="Q223" s="46">
        <f t="shared" si="54"/>
        <v>0</v>
      </c>
      <c r="R223" s="46">
        <f t="shared" si="54"/>
        <v>0</v>
      </c>
      <c r="S223" s="46">
        <f t="shared" si="54"/>
        <v>0</v>
      </c>
      <c r="T223" s="46">
        <f t="shared" si="54"/>
        <v>0</v>
      </c>
      <c r="U223" s="46">
        <f t="shared" si="54"/>
        <v>0</v>
      </c>
      <c r="V223" s="46">
        <f t="shared" si="54"/>
        <v>0</v>
      </c>
      <c r="W223" s="46">
        <f t="shared" si="54"/>
        <v>0</v>
      </c>
      <c r="X223" s="46">
        <f t="shared" si="54"/>
        <v>0</v>
      </c>
      <c r="Y223" s="46">
        <f t="shared" si="54"/>
        <v>0</v>
      </c>
      <c r="Z223" s="46">
        <f t="shared" si="54"/>
        <v>0</v>
      </c>
      <c r="AA223" s="46">
        <f t="shared" si="54"/>
        <v>0</v>
      </c>
      <c r="AB223" s="46">
        <f t="shared" si="54"/>
        <v>0</v>
      </c>
      <c r="AC223" s="46">
        <f t="shared" si="54"/>
        <v>0</v>
      </c>
      <c r="AD223" s="46">
        <f t="shared" si="54"/>
        <v>0</v>
      </c>
      <c r="AE223" s="46">
        <f t="shared" si="54"/>
        <v>0</v>
      </c>
      <c r="AF223" s="46">
        <f t="shared" si="54"/>
        <v>0</v>
      </c>
      <c r="AG223" s="46">
        <f t="shared" si="54"/>
        <v>0</v>
      </c>
      <c r="AH223" s="46">
        <f t="shared" si="54"/>
        <v>0</v>
      </c>
      <c r="AI223" s="46">
        <f t="shared" si="54"/>
        <v>0</v>
      </c>
      <c r="AJ223" s="46">
        <f t="shared" si="54"/>
        <v>0</v>
      </c>
      <c r="AK223" s="46">
        <f t="shared" si="54"/>
        <v>0</v>
      </c>
      <c r="AL223" s="46">
        <f t="shared" si="54"/>
        <v>0</v>
      </c>
      <c r="AM223" s="46">
        <f t="shared" si="54"/>
        <v>0</v>
      </c>
      <c r="AN223" s="46">
        <f t="shared" si="54"/>
        <v>0</v>
      </c>
      <c r="AO223" s="46">
        <f t="shared" si="54"/>
        <v>0</v>
      </c>
      <c r="AP223" s="46">
        <f t="shared" si="54"/>
        <v>0</v>
      </c>
      <c r="AQ223" s="46">
        <f t="shared" si="54"/>
        <v>0</v>
      </c>
      <c r="AR223" s="46">
        <f t="shared" si="54"/>
        <v>0</v>
      </c>
      <c r="AS223" s="46">
        <f t="shared" si="54"/>
        <v>0</v>
      </c>
      <c r="AT223" s="46">
        <f t="shared" si="54"/>
        <v>0</v>
      </c>
      <c r="AU223" s="46">
        <f t="shared" si="54"/>
        <v>0</v>
      </c>
      <c r="AV223" s="46">
        <f t="shared" si="54"/>
        <v>0</v>
      </c>
      <c r="AW223" s="46">
        <f t="shared" si="54"/>
        <v>0</v>
      </c>
      <c r="AX223" s="46">
        <f t="shared" si="54"/>
        <v>0</v>
      </c>
      <c r="AY223" s="46">
        <f t="shared" si="54"/>
        <v>0</v>
      </c>
      <c r="AZ223" s="46">
        <f t="shared" si="54"/>
        <v>0</v>
      </c>
      <c r="BA223" s="46">
        <f t="shared" si="54"/>
        <v>0</v>
      </c>
      <c r="BB223" s="46">
        <f t="shared" si="54"/>
        <v>0</v>
      </c>
      <c r="BC223" s="46">
        <f t="shared" si="54"/>
        <v>0</v>
      </c>
      <c r="BD223" s="46">
        <f t="shared" si="54"/>
        <v>0</v>
      </c>
      <c r="BE223" s="46">
        <f t="shared" si="54"/>
        <v>0</v>
      </c>
      <c r="BF223" s="46">
        <f t="shared" si="54"/>
        <v>0</v>
      </c>
      <c r="BG223" s="46">
        <f t="shared" si="54"/>
        <v>0</v>
      </c>
      <c r="BH223" s="46">
        <f t="shared" si="54"/>
        <v>0</v>
      </c>
      <c r="BI223" s="46">
        <f t="shared" si="54"/>
        <v>0</v>
      </c>
      <c r="BJ223" s="46">
        <f t="shared" si="54"/>
        <v>0</v>
      </c>
      <c r="BK223" s="46">
        <f t="shared" si="54"/>
        <v>0</v>
      </c>
      <c r="BL223" s="46">
        <f t="shared" si="54"/>
        <v>0</v>
      </c>
      <c r="BM223" s="50">
        <f t="shared" si="52"/>
        <v>0</v>
      </c>
    </row>
    <row r="224" spans="6:65" ht="21" x14ac:dyDescent="0.15">
      <c r="F224" s="12" t="s">
        <v>930</v>
      </c>
      <c r="G224" s="206" t="s">
        <v>436</v>
      </c>
      <c r="H224" s="53" t="s">
        <v>439</v>
      </c>
      <c r="I224" s="45">
        <f t="shared" si="46"/>
        <v>0</v>
      </c>
      <c r="J224" s="56">
        <f t="shared" si="47"/>
        <v>0</v>
      </c>
      <c r="K224" s="56">
        <f t="shared" si="48"/>
        <v>0</v>
      </c>
      <c r="L224" s="56">
        <f t="shared" si="49"/>
        <v>0</v>
      </c>
      <c r="M224" s="56">
        <f t="shared" si="50"/>
        <v>0</v>
      </c>
      <c r="N224" s="56">
        <f t="shared" si="51"/>
        <v>0</v>
      </c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50">
        <f t="shared" si="52"/>
        <v>0</v>
      </c>
    </row>
    <row r="225" spans="6:65" x14ac:dyDescent="0.15">
      <c r="F225" s="12" t="s">
        <v>930</v>
      </c>
      <c r="G225" s="206" t="s">
        <v>438</v>
      </c>
      <c r="H225" s="4" t="s">
        <v>441</v>
      </c>
      <c r="I225" s="45">
        <f t="shared" si="46"/>
        <v>0</v>
      </c>
      <c r="J225" s="56">
        <f t="shared" si="47"/>
        <v>0</v>
      </c>
      <c r="K225" s="56">
        <f t="shared" si="48"/>
        <v>0</v>
      </c>
      <c r="L225" s="56">
        <f t="shared" si="49"/>
        <v>0</v>
      </c>
      <c r="M225" s="56">
        <f t="shared" si="50"/>
        <v>0</v>
      </c>
      <c r="N225" s="56">
        <f t="shared" si="51"/>
        <v>0</v>
      </c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50">
        <f t="shared" si="52"/>
        <v>0</v>
      </c>
    </row>
    <row r="226" spans="6:65" x14ac:dyDescent="0.15">
      <c r="F226" s="12" t="s">
        <v>930</v>
      </c>
      <c r="G226" s="206" t="s">
        <v>440</v>
      </c>
      <c r="H226" s="4" t="s">
        <v>443</v>
      </c>
      <c r="I226" s="45">
        <f t="shared" si="46"/>
        <v>0</v>
      </c>
      <c r="J226" s="56">
        <f t="shared" si="47"/>
        <v>0</v>
      </c>
      <c r="K226" s="56">
        <f t="shared" si="48"/>
        <v>0</v>
      </c>
      <c r="L226" s="56">
        <f t="shared" si="49"/>
        <v>0</v>
      </c>
      <c r="M226" s="56">
        <f t="shared" si="50"/>
        <v>0</v>
      </c>
      <c r="N226" s="56">
        <f t="shared" si="51"/>
        <v>0</v>
      </c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50">
        <f t="shared" si="52"/>
        <v>0</v>
      </c>
    </row>
    <row r="227" spans="6:65" x14ac:dyDescent="0.15">
      <c r="F227" s="12" t="s">
        <v>930</v>
      </c>
      <c r="G227" s="206" t="s">
        <v>442</v>
      </c>
      <c r="H227" s="53" t="s">
        <v>445</v>
      </c>
      <c r="I227" s="45">
        <f t="shared" si="46"/>
        <v>0</v>
      </c>
      <c r="J227" s="56">
        <f t="shared" si="47"/>
        <v>0</v>
      </c>
      <c r="K227" s="56">
        <f t="shared" si="48"/>
        <v>0</v>
      </c>
      <c r="L227" s="56">
        <f t="shared" si="49"/>
        <v>0</v>
      </c>
      <c r="M227" s="56">
        <f t="shared" si="50"/>
        <v>0</v>
      </c>
      <c r="N227" s="56">
        <f t="shared" si="51"/>
        <v>0</v>
      </c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50">
        <f t="shared" si="52"/>
        <v>0</v>
      </c>
    </row>
    <row r="228" spans="6:65" x14ac:dyDescent="0.15">
      <c r="F228" s="12" t="s">
        <v>930</v>
      </c>
      <c r="G228" s="206" t="s">
        <v>444</v>
      </c>
      <c r="H228" s="4" t="s">
        <v>447</v>
      </c>
      <c r="I228" s="45">
        <f t="shared" si="46"/>
        <v>0</v>
      </c>
      <c r="J228" s="56">
        <f t="shared" si="47"/>
        <v>0</v>
      </c>
      <c r="K228" s="56">
        <f t="shared" si="48"/>
        <v>0</v>
      </c>
      <c r="L228" s="56">
        <f t="shared" si="49"/>
        <v>0</v>
      </c>
      <c r="M228" s="56">
        <f t="shared" si="50"/>
        <v>0</v>
      </c>
      <c r="N228" s="56">
        <f t="shared" si="51"/>
        <v>0</v>
      </c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50">
        <f t="shared" si="52"/>
        <v>0</v>
      </c>
    </row>
    <row r="229" spans="6:65" x14ac:dyDescent="0.15">
      <c r="F229" s="12" t="s">
        <v>930</v>
      </c>
      <c r="G229" s="205" t="s">
        <v>446</v>
      </c>
      <c r="H229" s="4" t="s">
        <v>449</v>
      </c>
      <c r="I229" s="45">
        <f t="shared" si="46"/>
        <v>0</v>
      </c>
      <c r="J229" s="56">
        <f t="shared" si="47"/>
        <v>0</v>
      </c>
      <c r="K229" s="56">
        <f t="shared" si="48"/>
        <v>0</v>
      </c>
      <c r="L229" s="56">
        <f t="shared" si="49"/>
        <v>0</v>
      </c>
      <c r="M229" s="56">
        <f t="shared" si="50"/>
        <v>0</v>
      </c>
      <c r="N229" s="56">
        <f t="shared" si="51"/>
        <v>0</v>
      </c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50">
        <f t="shared" si="52"/>
        <v>0</v>
      </c>
    </row>
    <row r="230" spans="6:65" x14ac:dyDescent="0.15">
      <c r="F230" s="12" t="s">
        <v>928</v>
      </c>
      <c r="G230" s="205" t="s">
        <v>448</v>
      </c>
      <c r="H230" s="53" t="s">
        <v>451</v>
      </c>
      <c r="I230" s="45">
        <f t="shared" si="46"/>
        <v>0</v>
      </c>
      <c r="J230" s="56">
        <f t="shared" si="47"/>
        <v>0</v>
      </c>
      <c r="K230" s="56">
        <f t="shared" si="48"/>
        <v>0</v>
      </c>
      <c r="L230" s="56">
        <f t="shared" si="49"/>
        <v>0</v>
      </c>
      <c r="M230" s="56">
        <f t="shared" si="50"/>
        <v>0</v>
      </c>
      <c r="N230" s="56">
        <f t="shared" si="51"/>
        <v>0</v>
      </c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50">
        <f t="shared" si="52"/>
        <v>0</v>
      </c>
    </row>
    <row r="231" spans="6:65" x14ac:dyDescent="0.15">
      <c r="F231" s="12" t="s">
        <v>928</v>
      </c>
      <c r="G231" s="205" t="s">
        <v>450</v>
      </c>
      <c r="H231" s="4" t="s">
        <v>453</v>
      </c>
      <c r="I231" s="45">
        <f t="shared" si="46"/>
        <v>0</v>
      </c>
      <c r="J231" s="56">
        <f t="shared" si="47"/>
        <v>0</v>
      </c>
      <c r="K231" s="56">
        <f t="shared" si="48"/>
        <v>0</v>
      </c>
      <c r="L231" s="56">
        <f t="shared" si="49"/>
        <v>0</v>
      </c>
      <c r="M231" s="56">
        <f t="shared" si="50"/>
        <v>0</v>
      </c>
      <c r="N231" s="56">
        <f t="shared" si="51"/>
        <v>0</v>
      </c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50">
        <f t="shared" si="52"/>
        <v>0</v>
      </c>
    </row>
    <row r="232" spans="6:65" x14ac:dyDescent="0.15">
      <c r="F232" s="12" t="s">
        <v>928</v>
      </c>
      <c r="G232" s="205" t="s">
        <v>452</v>
      </c>
      <c r="H232" s="4" t="s">
        <v>455</v>
      </c>
      <c r="I232" s="45">
        <f t="shared" si="46"/>
        <v>0</v>
      </c>
      <c r="J232" s="56">
        <f t="shared" si="47"/>
        <v>0</v>
      </c>
      <c r="K232" s="56">
        <f t="shared" si="48"/>
        <v>0</v>
      </c>
      <c r="L232" s="56">
        <f t="shared" si="49"/>
        <v>0</v>
      </c>
      <c r="M232" s="56">
        <f t="shared" si="50"/>
        <v>0</v>
      </c>
      <c r="N232" s="56">
        <f t="shared" si="51"/>
        <v>0</v>
      </c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50">
        <f t="shared" si="52"/>
        <v>0</v>
      </c>
    </row>
    <row r="233" spans="6:65" x14ac:dyDescent="0.15">
      <c r="F233" s="12" t="s">
        <v>928</v>
      </c>
      <c r="G233" s="205" t="s">
        <v>454</v>
      </c>
      <c r="H233" s="53" t="s">
        <v>457</v>
      </c>
      <c r="I233" s="45">
        <f t="shared" si="46"/>
        <v>0</v>
      </c>
      <c r="J233" s="56">
        <f t="shared" si="47"/>
        <v>0</v>
      </c>
      <c r="K233" s="56">
        <f t="shared" si="48"/>
        <v>0</v>
      </c>
      <c r="L233" s="56">
        <f t="shared" si="49"/>
        <v>0</v>
      </c>
      <c r="M233" s="56">
        <f t="shared" si="50"/>
        <v>0</v>
      </c>
      <c r="N233" s="56">
        <f t="shared" si="51"/>
        <v>0</v>
      </c>
      <c r="O233" s="48">
        <f t="shared" ref="O233:BL233" si="55">SUM(O234:O239)</f>
        <v>0</v>
      </c>
      <c r="P233" s="48">
        <f t="shared" si="55"/>
        <v>0</v>
      </c>
      <c r="Q233" s="48">
        <f t="shared" si="55"/>
        <v>0</v>
      </c>
      <c r="R233" s="48">
        <f t="shared" si="55"/>
        <v>0</v>
      </c>
      <c r="S233" s="48">
        <f t="shared" si="55"/>
        <v>0</v>
      </c>
      <c r="T233" s="48">
        <f t="shared" si="55"/>
        <v>0</v>
      </c>
      <c r="U233" s="48">
        <f t="shared" si="55"/>
        <v>0</v>
      </c>
      <c r="V233" s="48">
        <f t="shared" si="55"/>
        <v>0</v>
      </c>
      <c r="W233" s="48">
        <f t="shared" si="55"/>
        <v>0</v>
      </c>
      <c r="X233" s="48">
        <f t="shared" si="55"/>
        <v>0</v>
      </c>
      <c r="Y233" s="48">
        <f t="shared" si="55"/>
        <v>0</v>
      </c>
      <c r="Z233" s="48">
        <f t="shared" si="55"/>
        <v>0</v>
      </c>
      <c r="AA233" s="48">
        <f t="shared" si="55"/>
        <v>0</v>
      </c>
      <c r="AB233" s="48">
        <f t="shared" si="55"/>
        <v>0</v>
      </c>
      <c r="AC233" s="48">
        <f t="shared" si="55"/>
        <v>0</v>
      </c>
      <c r="AD233" s="48">
        <f t="shared" si="55"/>
        <v>0</v>
      </c>
      <c r="AE233" s="48">
        <f t="shared" si="55"/>
        <v>0</v>
      </c>
      <c r="AF233" s="48">
        <f t="shared" si="55"/>
        <v>0</v>
      </c>
      <c r="AG233" s="48">
        <f t="shared" si="55"/>
        <v>0</v>
      </c>
      <c r="AH233" s="48">
        <f t="shared" si="55"/>
        <v>0</v>
      </c>
      <c r="AI233" s="48">
        <f t="shared" si="55"/>
        <v>0</v>
      </c>
      <c r="AJ233" s="48">
        <f t="shared" si="55"/>
        <v>0</v>
      </c>
      <c r="AK233" s="48">
        <f t="shared" si="55"/>
        <v>0</v>
      </c>
      <c r="AL233" s="48">
        <f t="shared" si="55"/>
        <v>0</v>
      </c>
      <c r="AM233" s="48">
        <f t="shared" si="55"/>
        <v>0</v>
      </c>
      <c r="AN233" s="48">
        <f t="shared" si="55"/>
        <v>0</v>
      </c>
      <c r="AO233" s="48">
        <f t="shared" si="55"/>
        <v>0</v>
      </c>
      <c r="AP233" s="48">
        <f t="shared" si="55"/>
        <v>0</v>
      </c>
      <c r="AQ233" s="48">
        <f t="shared" si="55"/>
        <v>0</v>
      </c>
      <c r="AR233" s="48">
        <f t="shared" si="55"/>
        <v>0</v>
      </c>
      <c r="AS233" s="48">
        <f t="shared" si="55"/>
        <v>0</v>
      </c>
      <c r="AT233" s="48">
        <f t="shared" si="55"/>
        <v>0</v>
      </c>
      <c r="AU233" s="48">
        <f t="shared" si="55"/>
        <v>0</v>
      </c>
      <c r="AV233" s="48">
        <f t="shared" si="55"/>
        <v>0</v>
      </c>
      <c r="AW233" s="48">
        <f t="shared" si="55"/>
        <v>0</v>
      </c>
      <c r="AX233" s="48">
        <f t="shared" si="55"/>
        <v>0</v>
      </c>
      <c r="AY233" s="48">
        <f t="shared" si="55"/>
        <v>0</v>
      </c>
      <c r="AZ233" s="48">
        <f t="shared" si="55"/>
        <v>0</v>
      </c>
      <c r="BA233" s="48">
        <f t="shared" si="55"/>
        <v>0</v>
      </c>
      <c r="BB233" s="48">
        <f t="shared" si="55"/>
        <v>0</v>
      </c>
      <c r="BC233" s="48">
        <f t="shared" si="55"/>
        <v>0</v>
      </c>
      <c r="BD233" s="48">
        <f t="shared" si="55"/>
        <v>0</v>
      </c>
      <c r="BE233" s="48">
        <f t="shared" si="55"/>
        <v>0</v>
      </c>
      <c r="BF233" s="48">
        <f t="shared" si="55"/>
        <v>0</v>
      </c>
      <c r="BG233" s="48">
        <f t="shared" si="55"/>
        <v>0</v>
      </c>
      <c r="BH233" s="48">
        <f t="shared" si="55"/>
        <v>0</v>
      </c>
      <c r="BI233" s="48">
        <f t="shared" si="55"/>
        <v>0</v>
      </c>
      <c r="BJ233" s="48">
        <f t="shared" si="55"/>
        <v>0</v>
      </c>
      <c r="BK233" s="48">
        <f t="shared" si="55"/>
        <v>0</v>
      </c>
      <c r="BL233" s="48">
        <f t="shared" si="55"/>
        <v>0</v>
      </c>
      <c r="BM233" s="50">
        <f t="shared" si="52"/>
        <v>0</v>
      </c>
    </row>
    <row r="234" spans="6:65" ht="21" x14ac:dyDescent="0.15">
      <c r="F234" s="12" t="s">
        <v>928</v>
      </c>
      <c r="G234" s="206" t="s">
        <v>456</v>
      </c>
      <c r="H234" s="4" t="s">
        <v>459</v>
      </c>
      <c r="I234" s="45">
        <f t="shared" si="46"/>
        <v>0</v>
      </c>
      <c r="J234" s="56">
        <f t="shared" si="47"/>
        <v>0</v>
      </c>
      <c r="K234" s="56">
        <f t="shared" si="48"/>
        <v>0</v>
      </c>
      <c r="L234" s="56">
        <f t="shared" si="49"/>
        <v>0</v>
      </c>
      <c r="M234" s="56">
        <f t="shared" si="50"/>
        <v>0</v>
      </c>
      <c r="N234" s="56">
        <f t="shared" si="51"/>
        <v>0</v>
      </c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50">
        <f t="shared" si="52"/>
        <v>0</v>
      </c>
    </row>
    <row r="235" spans="6:65" x14ac:dyDescent="0.15">
      <c r="F235" s="12" t="s">
        <v>928</v>
      </c>
      <c r="G235" s="206" t="s">
        <v>458</v>
      </c>
      <c r="H235" s="4" t="s">
        <v>461</v>
      </c>
      <c r="I235" s="45">
        <f t="shared" si="46"/>
        <v>0</v>
      </c>
      <c r="J235" s="56">
        <f t="shared" si="47"/>
        <v>0</v>
      </c>
      <c r="K235" s="56">
        <f t="shared" si="48"/>
        <v>0</v>
      </c>
      <c r="L235" s="56">
        <f t="shared" si="49"/>
        <v>0</v>
      </c>
      <c r="M235" s="56">
        <f t="shared" si="50"/>
        <v>0</v>
      </c>
      <c r="N235" s="56">
        <f t="shared" si="51"/>
        <v>0</v>
      </c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50">
        <f t="shared" si="52"/>
        <v>0</v>
      </c>
    </row>
    <row r="236" spans="6:65" ht="21" x14ac:dyDescent="0.15">
      <c r="F236" s="12" t="s">
        <v>928</v>
      </c>
      <c r="G236" s="206" t="s">
        <v>460</v>
      </c>
      <c r="H236" s="53" t="s">
        <v>463</v>
      </c>
      <c r="I236" s="45">
        <f t="shared" si="46"/>
        <v>0</v>
      </c>
      <c r="J236" s="56">
        <f t="shared" si="47"/>
        <v>0</v>
      </c>
      <c r="K236" s="56">
        <f t="shared" si="48"/>
        <v>0</v>
      </c>
      <c r="L236" s="56">
        <f t="shared" si="49"/>
        <v>0</v>
      </c>
      <c r="M236" s="56">
        <f t="shared" si="50"/>
        <v>0</v>
      </c>
      <c r="N236" s="56">
        <f t="shared" si="51"/>
        <v>0</v>
      </c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50">
        <f t="shared" si="52"/>
        <v>0</v>
      </c>
    </row>
    <row r="237" spans="6:65" x14ac:dyDescent="0.15">
      <c r="F237" s="12" t="s">
        <v>928</v>
      </c>
      <c r="G237" s="206" t="s">
        <v>462</v>
      </c>
      <c r="H237" s="4" t="s">
        <v>465</v>
      </c>
      <c r="I237" s="45">
        <f t="shared" si="46"/>
        <v>0</v>
      </c>
      <c r="J237" s="56">
        <f t="shared" si="47"/>
        <v>0</v>
      </c>
      <c r="K237" s="56">
        <f t="shared" si="48"/>
        <v>0</v>
      </c>
      <c r="L237" s="56">
        <f t="shared" si="49"/>
        <v>0</v>
      </c>
      <c r="M237" s="56">
        <f t="shared" si="50"/>
        <v>0</v>
      </c>
      <c r="N237" s="56">
        <f t="shared" si="51"/>
        <v>0</v>
      </c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50">
        <f t="shared" si="52"/>
        <v>0</v>
      </c>
    </row>
    <row r="238" spans="6:65" ht="21" x14ac:dyDescent="0.15">
      <c r="F238" s="12" t="s">
        <v>928</v>
      </c>
      <c r="G238" s="206" t="s">
        <v>464</v>
      </c>
      <c r="H238" s="4" t="s">
        <v>466</v>
      </c>
      <c r="I238" s="45">
        <f t="shared" si="46"/>
        <v>0</v>
      </c>
      <c r="J238" s="56">
        <f t="shared" si="47"/>
        <v>0</v>
      </c>
      <c r="K238" s="56">
        <f t="shared" si="48"/>
        <v>0</v>
      </c>
      <c r="L238" s="56">
        <f t="shared" si="49"/>
        <v>0</v>
      </c>
      <c r="M238" s="56">
        <f t="shared" si="50"/>
        <v>0</v>
      </c>
      <c r="N238" s="56">
        <f t="shared" si="51"/>
        <v>0</v>
      </c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50">
        <f t="shared" si="52"/>
        <v>0</v>
      </c>
    </row>
    <row r="239" spans="6:65" ht="21" x14ac:dyDescent="0.15">
      <c r="F239" s="12" t="s">
        <v>928</v>
      </c>
      <c r="G239" s="206" t="s">
        <v>887</v>
      </c>
      <c r="H239" s="53" t="s">
        <v>468</v>
      </c>
      <c r="I239" s="45">
        <f t="shared" si="46"/>
        <v>0</v>
      </c>
      <c r="J239" s="56">
        <f t="shared" si="47"/>
        <v>0</v>
      </c>
      <c r="K239" s="56">
        <f t="shared" si="48"/>
        <v>0</v>
      </c>
      <c r="L239" s="56">
        <f t="shared" si="49"/>
        <v>0</v>
      </c>
      <c r="M239" s="56">
        <f t="shared" si="50"/>
        <v>0</v>
      </c>
      <c r="N239" s="56">
        <f t="shared" si="51"/>
        <v>0</v>
      </c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50">
        <f t="shared" si="52"/>
        <v>0</v>
      </c>
    </row>
    <row r="240" spans="6:65" x14ac:dyDescent="0.15">
      <c r="F240" s="12" t="s">
        <v>928</v>
      </c>
      <c r="G240" s="205" t="s">
        <v>467</v>
      </c>
      <c r="H240" s="4" t="s">
        <v>470</v>
      </c>
      <c r="I240" s="45">
        <f t="shared" si="46"/>
        <v>0</v>
      </c>
      <c r="J240" s="56">
        <f t="shared" si="47"/>
        <v>0</v>
      </c>
      <c r="K240" s="56">
        <f t="shared" si="48"/>
        <v>0</v>
      </c>
      <c r="L240" s="56">
        <f t="shared" si="49"/>
        <v>0</v>
      </c>
      <c r="M240" s="56">
        <f t="shared" si="50"/>
        <v>0</v>
      </c>
      <c r="N240" s="56">
        <f t="shared" si="51"/>
        <v>0</v>
      </c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50">
        <f t="shared" si="52"/>
        <v>0</v>
      </c>
    </row>
    <row r="241" spans="6:65" x14ac:dyDescent="0.15">
      <c r="F241" s="12" t="s">
        <v>928</v>
      </c>
      <c r="G241" s="205" t="s">
        <v>469</v>
      </c>
      <c r="H241" s="4" t="s">
        <v>472</v>
      </c>
      <c r="I241" s="45">
        <f t="shared" si="46"/>
        <v>0</v>
      </c>
      <c r="J241" s="56">
        <f t="shared" si="47"/>
        <v>0</v>
      </c>
      <c r="K241" s="56">
        <f t="shared" si="48"/>
        <v>0</v>
      </c>
      <c r="L241" s="56">
        <f t="shared" si="49"/>
        <v>0</v>
      </c>
      <c r="M241" s="56">
        <f t="shared" si="50"/>
        <v>0</v>
      </c>
      <c r="N241" s="56">
        <f t="shared" si="51"/>
        <v>0</v>
      </c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50">
        <f t="shared" si="52"/>
        <v>0</v>
      </c>
    </row>
    <row r="242" spans="6:65" x14ac:dyDescent="0.15">
      <c r="F242" s="12" t="s">
        <v>928</v>
      </c>
      <c r="G242" s="205" t="s">
        <v>471</v>
      </c>
      <c r="H242" s="53" t="s">
        <v>474</v>
      </c>
      <c r="I242" s="45">
        <f t="shared" si="46"/>
        <v>0</v>
      </c>
      <c r="J242" s="56">
        <f t="shared" si="47"/>
        <v>0</v>
      </c>
      <c r="K242" s="56">
        <f t="shared" si="48"/>
        <v>0</v>
      </c>
      <c r="L242" s="56">
        <f t="shared" si="49"/>
        <v>0</v>
      </c>
      <c r="M242" s="56">
        <f t="shared" si="50"/>
        <v>0</v>
      </c>
      <c r="N242" s="56">
        <f t="shared" si="51"/>
        <v>0</v>
      </c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50">
        <f t="shared" si="52"/>
        <v>0</v>
      </c>
    </row>
    <row r="243" spans="6:65" x14ac:dyDescent="0.15">
      <c r="F243" s="12" t="s">
        <v>930</v>
      </c>
      <c r="G243" s="205" t="s">
        <v>473</v>
      </c>
      <c r="H243" s="4" t="s">
        <v>476</v>
      </c>
      <c r="I243" s="45">
        <f t="shared" si="46"/>
        <v>0</v>
      </c>
      <c r="J243" s="56">
        <f t="shared" si="47"/>
        <v>0</v>
      </c>
      <c r="K243" s="56">
        <f t="shared" si="48"/>
        <v>0</v>
      </c>
      <c r="L243" s="56">
        <f t="shared" si="49"/>
        <v>0</v>
      </c>
      <c r="M243" s="56">
        <f t="shared" si="50"/>
        <v>0</v>
      </c>
      <c r="N243" s="56">
        <f t="shared" si="51"/>
        <v>0</v>
      </c>
      <c r="O243" s="46">
        <f t="shared" ref="O243:BL243" si="56">SUM(O244:O246)</f>
        <v>0</v>
      </c>
      <c r="P243" s="46">
        <f t="shared" si="56"/>
        <v>0</v>
      </c>
      <c r="Q243" s="46">
        <f t="shared" si="56"/>
        <v>0</v>
      </c>
      <c r="R243" s="46">
        <f t="shared" si="56"/>
        <v>0</v>
      </c>
      <c r="S243" s="46">
        <f t="shared" si="56"/>
        <v>0</v>
      </c>
      <c r="T243" s="46">
        <f t="shared" si="56"/>
        <v>0</v>
      </c>
      <c r="U243" s="46">
        <f t="shared" si="56"/>
        <v>0</v>
      </c>
      <c r="V243" s="46">
        <f t="shared" si="56"/>
        <v>0</v>
      </c>
      <c r="W243" s="46">
        <f t="shared" si="56"/>
        <v>0</v>
      </c>
      <c r="X243" s="46">
        <f t="shared" si="56"/>
        <v>0</v>
      </c>
      <c r="Y243" s="46">
        <f t="shared" si="56"/>
        <v>0</v>
      </c>
      <c r="Z243" s="46">
        <f t="shared" si="56"/>
        <v>0</v>
      </c>
      <c r="AA243" s="46">
        <f t="shared" si="56"/>
        <v>0</v>
      </c>
      <c r="AB243" s="46">
        <f t="shared" si="56"/>
        <v>0</v>
      </c>
      <c r="AC243" s="46">
        <f t="shared" si="56"/>
        <v>0</v>
      </c>
      <c r="AD243" s="46">
        <f t="shared" si="56"/>
        <v>0</v>
      </c>
      <c r="AE243" s="46">
        <f t="shared" si="56"/>
        <v>0</v>
      </c>
      <c r="AF243" s="46">
        <f t="shared" si="56"/>
        <v>0</v>
      </c>
      <c r="AG243" s="46">
        <f t="shared" si="56"/>
        <v>0</v>
      </c>
      <c r="AH243" s="46">
        <f t="shared" si="56"/>
        <v>0</v>
      </c>
      <c r="AI243" s="46">
        <f t="shared" si="56"/>
        <v>0</v>
      </c>
      <c r="AJ243" s="46">
        <f t="shared" si="56"/>
        <v>0</v>
      </c>
      <c r="AK243" s="46">
        <f t="shared" si="56"/>
        <v>0</v>
      </c>
      <c r="AL243" s="46">
        <f t="shared" si="56"/>
        <v>0</v>
      </c>
      <c r="AM243" s="46">
        <f t="shared" si="56"/>
        <v>0</v>
      </c>
      <c r="AN243" s="46">
        <f t="shared" si="56"/>
        <v>0</v>
      </c>
      <c r="AO243" s="46">
        <f t="shared" si="56"/>
        <v>0</v>
      </c>
      <c r="AP243" s="46">
        <f t="shared" si="56"/>
        <v>0</v>
      </c>
      <c r="AQ243" s="46">
        <f t="shared" si="56"/>
        <v>0</v>
      </c>
      <c r="AR243" s="46">
        <f t="shared" si="56"/>
        <v>0</v>
      </c>
      <c r="AS243" s="46">
        <f t="shared" si="56"/>
        <v>0</v>
      </c>
      <c r="AT243" s="46">
        <f t="shared" si="56"/>
        <v>0</v>
      </c>
      <c r="AU243" s="46">
        <f t="shared" si="56"/>
        <v>0</v>
      </c>
      <c r="AV243" s="46">
        <f t="shared" si="56"/>
        <v>0</v>
      </c>
      <c r="AW243" s="46">
        <f t="shared" si="56"/>
        <v>0</v>
      </c>
      <c r="AX243" s="46">
        <f t="shared" si="56"/>
        <v>0</v>
      </c>
      <c r="AY243" s="46">
        <f t="shared" si="56"/>
        <v>0</v>
      </c>
      <c r="AZ243" s="46">
        <f t="shared" si="56"/>
        <v>0</v>
      </c>
      <c r="BA243" s="46">
        <f t="shared" si="56"/>
        <v>0</v>
      </c>
      <c r="BB243" s="46">
        <f t="shared" si="56"/>
        <v>0</v>
      </c>
      <c r="BC243" s="46">
        <f t="shared" si="56"/>
        <v>0</v>
      </c>
      <c r="BD243" s="46">
        <f t="shared" si="56"/>
        <v>0</v>
      </c>
      <c r="BE243" s="46">
        <f t="shared" si="56"/>
        <v>0</v>
      </c>
      <c r="BF243" s="46">
        <f t="shared" si="56"/>
        <v>0</v>
      </c>
      <c r="BG243" s="46">
        <f t="shared" si="56"/>
        <v>0</v>
      </c>
      <c r="BH243" s="46">
        <f t="shared" si="56"/>
        <v>0</v>
      </c>
      <c r="BI243" s="46">
        <f t="shared" si="56"/>
        <v>0</v>
      </c>
      <c r="BJ243" s="46">
        <f t="shared" si="56"/>
        <v>0</v>
      </c>
      <c r="BK243" s="46">
        <f t="shared" si="56"/>
        <v>0</v>
      </c>
      <c r="BL243" s="46">
        <f t="shared" si="56"/>
        <v>0</v>
      </c>
      <c r="BM243" s="50">
        <f t="shared" si="52"/>
        <v>0</v>
      </c>
    </row>
    <row r="244" spans="6:65" ht="21" x14ac:dyDescent="0.15">
      <c r="F244" s="12" t="s">
        <v>930</v>
      </c>
      <c r="G244" s="206" t="s">
        <v>475</v>
      </c>
      <c r="H244" s="4" t="s">
        <v>478</v>
      </c>
      <c r="I244" s="45">
        <f t="shared" si="46"/>
        <v>0</v>
      </c>
      <c r="J244" s="56">
        <f t="shared" si="47"/>
        <v>0</v>
      </c>
      <c r="K244" s="56">
        <f t="shared" si="48"/>
        <v>0</v>
      </c>
      <c r="L244" s="56">
        <f t="shared" si="49"/>
        <v>0</v>
      </c>
      <c r="M244" s="56">
        <f t="shared" si="50"/>
        <v>0</v>
      </c>
      <c r="N244" s="56">
        <f t="shared" si="51"/>
        <v>0</v>
      </c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50">
        <f t="shared" si="52"/>
        <v>0</v>
      </c>
    </row>
    <row r="245" spans="6:65" x14ac:dyDescent="0.15">
      <c r="F245" s="12" t="s">
        <v>930</v>
      </c>
      <c r="G245" s="206" t="s">
        <v>477</v>
      </c>
      <c r="H245" s="53" t="s">
        <v>480</v>
      </c>
      <c r="I245" s="45">
        <f t="shared" si="46"/>
        <v>0</v>
      </c>
      <c r="J245" s="56">
        <f t="shared" si="47"/>
        <v>0</v>
      </c>
      <c r="K245" s="56">
        <f t="shared" si="48"/>
        <v>0</v>
      </c>
      <c r="L245" s="56">
        <f t="shared" si="49"/>
        <v>0</v>
      </c>
      <c r="M245" s="56">
        <f t="shared" si="50"/>
        <v>0</v>
      </c>
      <c r="N245" s="56">
        <f t="shared" si="51"/>
        <v>0</v>
      </c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50">
        <f t="shared" si="52"/>
        <v>0</v>
      </c>
    </row>
    <row r="246" spans="6:65" ht="21" x14ac:dyDescent="0.15">
      <c r="F246" s="12" t="s">
        <v>930</v>
      </c>
      <c r="G246" s="206" t="s">
        <v>479</v>
      </c>
      <c r="H246" s="4" t="s">
        <v>482</v>
      </c>
      <c r="I246" s="45">
        <f t="shared" si="46"/>
        <v>0</v>
      </c>
      <c r="J246" s="56">
        <f t="shared" si="47"/>
        <v>0</v>
      </c>
      <c r="K246" s="56">
        <f t="shared" si="48"/>
        <v>0</v>
      </c>
      <c r="L246" s="56">
        <f t="shared" si="49"/>
        <v>0</v>
      </c>
      <c r="M246" s="56">
        <f t="shared" si="50"/>
        <v>0</v>
      </c>
      <c r="N246" s="56">
        <f t="shared" si="51"/>
        <v>0</v>
      </c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50">
        <f t="shared" si="52"/>
        <v>0</v>
      </c>
    </row>
    <row r="247" spans="6:65" x14ac:dyDescent="0.15">
      <c r="F247" s="12" t="s">
        <v>928</v>
      </c>
      <c r="G247" s="205" t="s">
        <v>481</v>
      </c>
      <c r="H247" s="4" t="s">
        <v>484</v>
      </c>
      <c r="I247" s="45">
        <f t="shared" si="46"/>
        <v>0</v>
      </c>
      <c r="J247" s="56">
        <f t="shared" si="47"/>
        <v>0</v>
      </c>
      <c r="K247" s="56">
        <f t="shared" si="48"/>
        <v>0</v>
      </c>
      <c r="L247" s="56">
        <f t="shared" si="49"/>
        <v>0</v>
      </c>
      <c r="M247" s="56">
        <f t="shared" si="50"/>
        <v>0</v>
      </c>
      <c r="N247" s="56">
        <f t="shared" si="51"/>
        <v>0</v>
      </c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50">
        <f t="shared" si="52"/>
        <v>0</v>
      </c>
    </row>
    <row r="248" spans="6:65" x14ac:dyDescent="0.15">
      <c r="F248" s="12" t="s">
        <v>928</v>
      </c>
      <c r="G248" s="205" t="s">
        <v>483</v>
      </c>
      <c r="H248" s="53" t="s">
        <v>486</v>
      </c>
      <c r="I248" s="45">
        <f t="shared" si="46"/>
        <v>0</v>
      </c>
      <c r="J248" s="56">
        <f t="shared" si="47"/>
        <v>0</v>
      </c>
      <c r="K248" s="56">
        <f t="shared" si="48"/>
        <v>0</v>
      </c>
      <c r="L248" s="56">
        <f t="shared" si="49"/>
        <v>0</v>
      </c>
      <c r="M248" s="56">
        <f t="shared" si="50"/>
        <v>0</v>
      </c>
      <c r="N248" s="56">
        <f t="shared" si="51"/>
        <v>0</v>
      </c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50">
        <f t="shared" si="52"/>
        <v>0</v>
      </c>
    </row>
    <row r="249" spans="6:65" ht="21" x14ac:dyDescent="0.15">
      <c r="F249" s="12" t="s">
        <v>931</v>
      </c>
      <c r="G249" s="205" t="s">
        <v>485</v>
      </c>
      <c r="H249" s="4" t="s">
        <v>488</v>
      </c>
      <c r="I249" s="45">
        <f t="shared" si="46"/>
        <v>0</v>
      </c>
      <c r="J249" s="56">
        <f t="shared" si="47"/>
        <v>0</v>
      </c>
      <c r="K249" s="56">
        <f t="shared" si="48"/>
        <v>0</v>
      </c>
      <c r="L249" s="56">
        <f t="shared" si="49"/>
        <v>0</v>
      </c>
      <c r="M249" s="56">
        <f t="shared" si="50"/>
        <v>0</v>
      </c>
      <c r="N249" s="56">
        <f t="shared" si="51"/>
        <v>0</v>
      </c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50">
        <f t="shared" si="52"/>
        <v>0</v>
      </c>
    </row>
    <row r="250" spans="6:65" x14ac:dyDescent="0.15">
      <c r="F250" s="12" t="s">
        <v>930</v>
      </c>
      <c r="G250" s="205" t="s">
        <v>487</v>
      </c>
      <c r="H250" s="4" t="s">
        <v>490</v>
      </c>
      <c r="I250" s="45">
        <f t="shared" si="46"/>
        <v>0</v>
      </c>
      <c r="J250" s="56">
        <f t="shared" si="47"/>
        <v>0</v>
      </c>
      <c r="K250" s="56">
        <f t="shared" si="48"/>
        <v>0</v>
      </c>
      <c r="L250" s="56">
        <f t="shared" si="49"/>
        <v>0</v>
      </c>
      <c r="M250" s="56">
        <f t="shared" si="50"/>
        <v>0</v>
      </c>
      <c r="N250" s="56">
        <f t="shared" si="51"/>
        <v>0</v>
      </c>
      <c r="O250" s="46">
        <f t="shared" ref="O250:BL250" si="57">SUM(O251:O254)</f>
        <v>0</v>
      </c>
      <c r="P250" s="46">
        <f t="shared" si="57"/>
        <v>0</v>
      </c>
      <c r="Q250" s="46">
        <f t="shared" si="57"/>
        <v>0</v>
      </c>
      <c r="R250" s="46">
        <f t="shared" si="57"/>
        <v>0</v>
      </c>
      <c r="S250" s="46">
        <f t="shared" si="57"/>
        <v>0</v>
      </c>
      <c r="T250" s="46">
        <f t="shared" si="57"/>
        <v>0</v>
      </c>
      <c r="U250" s="46">
        <f t="shared" si="57"/>
        <v>0</v>
      </c>
      <c r="V250" s="46">
        <f t="shared" si="57"/>
        <v>0</v>
      </c>
      <c r="W250" s="46">
        <f t="shared" si="57"/>
        <v>0</v>
      </c>
      <c r="X250" s="46">
        <f t="shared" si="57"/>
        <v>0</v>
      </c>
      <c r="Y250" s="46">
        <f t="shared" si="57"/>
        <v>0</v>
      </c>
      <c r="Z250" s="46">
        <f t="shared" si="57"/>
        <v>0</v>
      </c>
      <c r="AA250" s="46">
        <f t="shared" si="57"/>
        <v>0</v>
      </c>
      <c r="AB250" s="46">
        <f t="shared" si="57"/>
        <v>0</v>
      </c>
      <c r="AC250" s="46">
        <f t="shared" si="57"/>
        <v>0</v>
      </c>
      <c r="AD250" s="46">
        <f t="shared" si="57"/>
        <v>0</v>
      </c>
      <c r="AE250" s="46">
        <f t="shared" si="57"/>
        <v>0</v>
      </c>
      <c r="AF250" s="46">
        <f t="shared" si="57"/>
        <v>0</v>
      </c>
      <c r="AG250" s="46">
        <f t="shared" si="57"/>
        <v>0</v>
      </c>
      <c r="AH250" s="46">
        <f t="shared" si="57"/>
        <v>0</v>
      </c>
      <c r="AI250" s="46">
        <f t="shared" si="57"/>
        <v>0</v>
      </c>
      <c r="AJ250" s="46">
        <f t="shared" si="57"/>
        <v>0</v>
      </c>
      <c r="AK250" s="46">
        <f t="shared" si="57"/>
        <v>0</v>
      </c>
      <c r="AL250" s="46">
        <f t="shared" si="57"/>
        <v>0</v>
      </c>
      <c r="AM250" s="46">
        <f t="shared" si="57"/>
        <v>0</v>
      </c>
      <c r="AN250" s="46">
        <f t="shared" si="57"/>
        <v>0</v>
      </c>
      <c r="AO250" s="46">
        <f t="shared" si="57"/>
        <v>0</v>
      </c>
      <c r="AP250" s="46">
        <f t="shared" si="57"/>
        <v>0</v>
      </c>
      <c r="AQ250" s="46">
        <f t="shared" si="57"/>
        <v>0</v>
      </c>
      <c r="AR250" s="46">
        <f t="shared" si="57"/>
        <v>0</v>
      </c>
      <c r="AS250" s="46">
        <f t="shared" si="57"/>
        <v>0</v>
      </c>
      <c r="AT250" s="46">
        <f t="shared" si="57"/>
        <v>0</v>
      </c>
      <c r="AU250" s="46">
        <f t="shared" si="57"/>
        <v>0</v>
      </c>
      <c r="AV250" s="46">
        <f t="shared" si="57"/>
        <v>0</v>
      </c>
      <c r="AW250" s="46">
        <f t="shared" si="57"/>
        <v>0</v>
      </c>
      <c r="AX250" s="46">
        <f t="shared" si="57"/>
        <v>0</v>
      </c>
      <c r="AY250" s="46">
        <f t="shared" si="57"/>
        <v>0</v>
      </c>
      <c r="AZ250" s="46">
        <f t="shared" si="57"/>
        <v>0</v>
      </c>
      <c r="BA250" s="46">
        <f t="shared" si="57"/>
        <v>0</v>
      </c>
      <c r="BB250" s="46">
        <f t="shared" si="57"/>
        <v>0</v>
      </c>
      <c r="BC250" s="46">
        <f t="shared" si="57"/>
        <v>0</v>
      </c>
      <c r="BD250" s="46">
        <f t="shared" si="57"/>
        <v>0</v>
      </c>
      <c r="BE250" s="46">
        <f t="shared" si="57"/>
        <v>0</v>
      </c>
      <c r="BF250" s="46">
        <f t="shared" si="57"/>
        <v>0</v>
      </c>
      <c r="BG250" s="46">
        <f t="shared" si="57"/>
        <v>0</v>
      </c>
      <c r="BH250" s="46">
        <f t="shared" si="57"/>
        <v>0</v>
      </c>
      <c r="BI250" s="46">
        <f t="shared" si="57"/>
        <v>0</v>
      </c>
      <c r="BJ250" s="46">
        <f t="shared" si="57"/>
        <v>0</v>
      </c>
      <c r="BK250" s="46">
        <f t="shared" si="57"/>
        <v>0</v>
      </c>
      <c r="BL250" s="46">
        <f t="shared" si="57"/>
        <v>0</v>
      </c>
      <c r="BM250" s="50">
        <f t="shared" si="52"/>
        <v>0</v>
      </c>
    </row>
    <row r="251" spans="6:65" ht="21" x14ac:dyDescent="0.15">
      <c r="F251" s="12" t="s">
        <v>930</v>
      </c>
      <c r="G251" s="206" t="s">
        <v>489</v>
      </c>
      <c r="H251" s="53" t="s">
        <v>492</v>
      </c>
      <c r="I251" s="45">
        <f t="shared" si="46"/>
        <v>0</v>
      </c>
      <c r="J251" s="56">
        <f t="shared" si="47"/>
        <v>0</v>
      </c>
      <c r="K251" s="56">
        <f t="shared" si="48"/>
        <v>0</v>
      </c>
      <c r="L251" s="56">
        <f t="shared" si="49"/>
        <v>0</v>
      </c>
      <c r="M251" s="56">
        <f t="shared" si="50"/>
        <v>0</v>
      </c>
      <c r="N251" s="56">
        <f t="shared" si="51"/>
        <v>0</v>
      </c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50">
        <f t="shared" si="52"/>
        <v>0</v>
      </c>
    </row>
    <row r="252" spans="6:65" x14ac:dyDescent="0.15">
      <c r="F252" s="12" t="s">
        <v>930</v>
      </c>
      <c r="G252" s="206" t="s">
        <v>491</v>
      </c>
      <c r="H252" s="4" t="s">
        <v>494</v>
      </c>
      <c r="I252" s="45">
        <f t="shared" si="46"/>
        <v>0</v>
      </c>
      <c r="J252" s="56">
        <f t="shared" si="47"/>
        <v>0</v>
      </c>
      <c r="K252" s="56">
        <f t="shared" si="48"/>
        <v>0</v>
      </c>
      <c r="L252" s="56">
        <f t="shared" si="49"/>
        <v>0</v>
      </c>
      <c r="M252" s="56">
        <f t="shared" si="50"/>
        <v>0</v>
      </c>
      <c r="N252" s="56">
        <f t="shared" si="51"/>
        <v>0</v>
      </c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50">
        <f t="shared" si="52"/>
        <v>0</v>
      </c>
    </row>
    <row r="253" spans="6:65" x14ac:dyDescent="0.15">
      <c r="F253" s="12" t="s">
        <v>930</v>
      </c>
      <c r="G253" s="206" t="s">
        <v>493</v>
      </c>
      <c r="H253" s="4" t="s">
        <v>496</v>
      </c>
      <c r="I253" s="45">
        <f t="shared" si="46"/>
        <v>0</v>
      </c>
      <c r="J253" s="56">
        <f t="shared" si="47"/>
        <v>0</v>
      </c>
      <c r="K253" s="56">
        <f t="shared" si="48"/>
        <v>0</v>
      </c>
      <c r="L253" s="56">
        <f t="shared" si="49"/>
        <v>0</v>
      </c>
      <c r="M253" s="56">
        <f t="shared" si="50"/>
        <v>0</v>
      </c>
      <c r="N253" s="56">
        <f t="shared" si="51"/>
        <v>0</v>
      </c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50">
        <f t="shared" si="52"/>
        <v>0</v>
      </c>
    </row>
    <row r="254" spans="6:65" ht="21" x14ac:dyDescent="0.15">
      <c r="F254" s="12" t="s">
        <v>930</v>
      </c>
      <c r="G254" s="206" t="s">
        <v>495</v>
      </c>
      <c r="H254" s="53" t="s">
        <v>498</v>
      </c>
      <c r="I254" s="45">
        <f t="shared" si="46"/>
        <v>0</v>
      </c>
      <c r="J254" s="56">
        <f t="shared" si="47"/>
        <v>0</v>
      </c>
      <c r="K254" s="56">
        <f t="shared" si="48"/>
        <v>0</v>
      </c>
      <c r="L254" s="56">
        <f t="shared" si="49"/>
        <v>0</v>
      </c>
      <c r="M254" s="56">
        <f t="shared" si="50"/>
        <v>0</v>
      </c>
      <c r="N254" s="56">
        <f t="shared" si="51"/>
        <v>0</v>
      </c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50">
        <f t="shared" si="52"/>
        <v>0</v>
      </c>
    </row>
    <row r="255" spans="6:65" ht="21" x14ac:dyDescent="0.15">
      <c r="F255" s="12" t="s">
        <v>931</v>
      </c>
      <c r="G255" s="205" t="s">
        <v>497</v>
      </c>
      <c r="H255" s="4" t="s">
        <v>500</v>
      </c>
      <c r="I255" s="45">
        <f t="shared" si="46"/>
        <v>0</v>
      </c>
      <c r="J255" s="56">
        <f t="shared" si="47"/>
        <v>0</v>
      </c>
      <c r="K255" s="56">
        <f t="shared" si="48"/>
        <v>0</v>
      </c>
      <c r="L255" s="56">
        <f t="shared" si="49"/>
        <v>0</v>
      </c>
      <c r="M255" s="56">
        <f t="shared" si="50"/>
        <v>0</v>
      </c>
      <c r="N255" s="56">
        <f t="shared" si="51"/>
        <v>0</v>
      </c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50">
        <f t="shared" si="52"/>
        <v>0</v>
      </c>
    </row>
    <row r="256" spans="6:65" x14ac:dyDescent="0.15">
      <c r="F256" s="12" t="s">
        <v>928</v>
      </c>
      <c r="G256" s="205" t="s">
        <v>499</v>
      </c>
      <c r="H256" s="4" t="s">
        <v>502</v>
      </c>
      <c r="I256" s="45">
        <f t="shared" si="46"/>
        <v>0</v>
      </c>
      <c r="J256" s="56">
        <f t="shared" si="47"/>
        <v>0</v>
      </c>
      <c r="K256" s="56">
        <f t="shared" si="48"/>
        <v>0</v>
      </c>
      <c r="L256" s="56">
        <f t="shared" si="49"/>
        <v>0</v>
      </c>
      <c r="M256" s="56">
        <f t="shared" si="50"/>
        <v>0</v>
      </c>
      <c r="N256" s="56">
        <f t="shared" si="51"/>
        <v>0</v>
      </c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50">
        <f t="shared" si="52"/>
        <v>0</v>
      </c>
    </row>
    <row r="257" spans="6:65" x14ac:dyDescent="0.15">
      <c r="F257" s="12" t="s">
        <v>928</v>
      </c>
      <c r="G257" s="205" t="s">
        <v>501</v>
      </c>
      <c r="H257" s="53" t="s">
        <v>504</v>
      </c>
      <c r="I257" s="45">
        <f t="shared" si="46"/>
        <v>0</v>
      </c>
      <c r="J257" s="56">
        <f t="shared" si="47"/>
        <v>0</v>
      </c>
      <c r="K257" s="56">
        <f t="shared" si="48"/>
        <v>0</v>
      </c>
      <c r="L257" s="56">
        <f t="shared" si="49"/>
        <v>0</v>
      </c>
      <c r="M257" s="56">
        <f t="shared" si="50"/>
        <v>0</v>
      </c>
      <c r="N257" s="56">
        <f t="shared" si="51"/>
        <v>0</v>
      </c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50">
        <f t="shared" si="52"/>
        <v>0</v>
      </c>
    </row>
    <row r="258" spans="6:65" x14ac:dyDescent="0.15">
      <c r="F258" s="12" t="s">
        <v>928</v>
      </c>
      <c r="G258" s="205" t="s">
        <v>503</v>
      </c>
      <c r="H258" s="4" t="s">
        <v>506</v>
      </c>
      <c r="I258" s="45">
        <f t="shared" si="46"/>
        <v>0</v>
      </c>
      <c r="J258" s="56">
        <f t="shared" si="47"/>
        <v>0</v>
      </c>
      <c r="K258" s="56">
        <f t="shared" si="48"/>
        <v>0</v>
      </c>
      <c r="L258" s="56">
        <f t="shared" si="49"/>
        <v>0</v>
      </c>
      <c r="M258" s="56">
        <f t="shared" si="50"/>
        <v>0</v>
      </c>
      <c r="N258" s="56">
        <f t="shared" si="51"/>
        <v>0</v>
      </c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50">
        <f t="shared" si="52"/>
        <v>0</v>
      </c>
    </row>
    <row r="259" spans="6:65" x14ac:dyDescent="0.15">
      <c r="F259" s="12" t="s">
        <v>932</v>
      </c>
      <c r="G259" s="205" t="s">
        <v>505</v>
      </c>
      <c r="H259" s="4" t="s">
        <v>508</v>
      </c>
      <c r="I259" s="45">
        <f t="shared" si="46"/>
        <v>0</v>
      </c>
      <c r="J259" s="56">
        <f t="shared" si="47"/>
        <v>0</v>
      </c>
      <c r="K259" s="56">
        <f t="shared" si="48"/>
        <v>0</v>
      </c>
      <c r="L259" s="56">
        <f t="shared" si="49"/>
        <v>0</v>
      </c>
      <c r="M259" s="56">
        <f t="shared" si="50"/>
        <v>0</v>
      </c>
      <c r="N259" s="56">
        <f t="shared" si="51"/>
        <v>0</v>
      </c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50">
        <f t="shared" si="52"/>
        <v>0</v>
      </c>
    </row>
    <row r="260" spans="6:65" x14ac:dyDescent="0.15">
      <c r="F260" s="12" t="s">
        <v>928</v>
      </c>
      <c r="G260" s="205" t="s">
        <v>507</v>
      </c>
      <c r="H260" s="53" t="s">
        <v>510</v>
      </c>
      <c r="I260" s="45">
        <f t="shared" si="46"/>
        <v>0</v>
      </c>
      <c r="J260" s="56">
        <f t="shared" si="47"/>
        <v>0</v>
      </c>
      <c r="K260" s="56">
        <f t="shared" si="48"/>
        <v>0</v>
      </c>
      <c r="L260" s="56">
        <f t="shared" si="49"/>
        <v>0</v>
      </c>
      <c r="M260" s="56">
        <f t="shared" si="50"/>
        <v>0</v>
      </c>
      <c r="N260" s="56">
        <f t="shared" si="51"/>
        <v>0</v>
      </c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50">
        <f t="shared" si="52"/>
        <v>0</v>
      </c>
    </row>
    <row r="261" spans="6:65" x14ac:dyDescent="0.15">
      <c r="F261" s="12" t="s">
        <v>930</v>
      </c>
      <c r="G261" s="205" t="s">
        <v>509</v>
      </c>
      <c r="H261" s="4" t="s">
        <v>512</v>
      </c>
      <c r="I261" s="45">
        <f t="shared" si="46"/>
        <v>0</v>
      </c>
      <c r="J261" s="56">
        <f t="shared" si="47"/>
        <v>0</v>
      </c>
      <c r="K261" s="56">
        <f t="shared" si="48"/>
        <v>0</v>
      </c>
      <c r="L261" s="56">
        <f t="shared" si="49"/>
        <v>0</v>
      </c>
      <c r="M261" s="56">
        <f t="shared" si="50"/>
        <v>0</v>
      </c>
      <c r="N261" s="56">
        <f t="shared" si="51"/>
        <v>0</v>
      </c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50">
        <f t="shared" si="52"/>
        <v>0</v>
      </c>
    </row>
    <row r="262" spans="6:65" x14ac:dyDescent="0.15">
      <c r="F262" s="12" t="s">
        <v>930</v>
      </c>
      <c r="G262" s="205" t="s">
        <v>511</v>
      </c>
      <c r="H262" s="4" t="s">
        <v>514</v>
      </c>
      <c r="I262" s="45">
        <f t="shared" si="46"/>
        <v>0</v>
      </c>
      <c r="J262" s="56">
        <f t="shared" si="47"/>
        <v>0</v>
      </c>
      <c r="K262" s="56">
        <f t="shared" si="48"/>
        <v>0</v>
      </c>
      <c r="L262" s="56">
        <f t="shared" si="49"/>
        <v>0</v>
      </c>
      <c r="M262" s="56">
        <f t="shared" si="50"/>
        <v>0</v>
      </c>
      <c r="N262" s="56">
        <f t="shared" si="51"/>
        <v>0</v>
      </c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50">
        <f t="shared" si="52"/>
        <v>0</v>
      </c>
    </row>
    <row r="263" spans="6:65" x14ac:dyDescent="0.15">
      <c r="F263" s="12" t="s">
        <v>930</v>
      </c>
      <c r="G263" s="205" t="s">
        <v>513</v>
      </c>
      <c r="H263" s="53" t="s">
        <v>516</v>
      </c>
      <c r="I263" s="45">
        <f t="shared" si="46"/>
        <v>0</v>
      </c>
      <c r="J263" s="56">
        <f t="shared" si="47"/>
        <v>0</v>
      </c>
      <c r="K263" s="56">
        <f t="shared" si="48"/>
        <v>0</v>
      </c>
      <c r="L263" s="56">
        <f t="shared" si="49"/>
        <v>0</v>
      </c>
      <c r="M263" s="56">
        <f t="shared" si="50"/>
        <v>0</v>
      </c>
      <c r="N263" s="56">
        <f t="shared" si="51"/>
        <v>0</v>
      </c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50">
        <f t="shared" si="52"/>
        <v>0</v>
      </c>
    </row>
    <row r="264" spans="6:65" x14ac:dyDescent="0.15">
      <c r="F264" s="12" t="s">
        <v>928</v>
      </c>
      <c r="G264" s="208" t="s">
        <v>515</v>
      </c>
      <c r="H264" s="4" t="s">
        <v>518</v>
      </c>
      <c r="I264" s="45">
        <f t="shared" si="46"/>
        <v>0</v>
      </c>
      <c r="J264" s="56">
        <f t="shared" si="47"/>
        <v>0</v>
      </c>
      <c r="K264" s="56">
        <f t="shared" si="48"/>
        <v>0</v>
      </c>
      <c r="L264" s="56">
        <f t="shared" si="49"/>
        <v>0</v>
      </c>
      <c r="M264" s="56">
        <f t="shared" si="50"/>
        <v>0</v>
      </c>
      <c r="N264" s="56">
        <f t="shared" si="51"/>
        <v>0</v>
      </c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50">
        <f t="shared" si="52"/>
        <v>0</v>
      </c>
    </row>
    <row r="265" spans="6:65" x14ac:dyDescent="0.15">
      <c r="F265" s="12" t="s">
        <v>928</v>
      </c>
      <c r="G265" s="205" t="s">
        <v>517</v>
      </c>
      <c r="H265" s="4" t="s">
        <v>520</v>
      </c>
      <c r="I265" s="45">
        <f t="shared" si="46"/>
        <v>0</v>
      </c>
      <c r="J265" s="56">
        <f t="shared" si="47"/>
        <v>0</v>
      </c>
      <c r="K265" s="56">
        <f t="shared" si="48"/>
        <v>0</v>
      </c>
      <c r="L265" s="56">
        <f t="shared" si="49"/>
        <v>0</v>
      </c>
      <c r="M265" s="56">
        <f t="shared" si="50"/>
        <v>0</v>
      </c>
      <c r="N265" s="56">
        <f t="shared" si="51"/>
        <v>0</v>
      </c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50">
        <f t="shared" si="52"/>
        <v>0</v>
      </c>
    </row>
    <row r="266" spans="6:65" x14ac:dyDescent="0.15">
      <c r="F266" s="12" t="s">
        <v>928</v>
      </c>
      <c r="G266" s="205" t="s">
        <v>519</v>
      </c>
      <c r="H266" s="53" t="s">
        <v>522</v>
      </c>
      <c r="I266" s="45">
        <f t="shared" si="46"/>
        <v>0</v>
      </c>
      <c r="J266" s="56">
        <f t="shared" si="47"/>
        <v>0</v>
      </c>
      <c r="K266" s="56">
        <f t="shared" si="48"/>
        <v>0</v>
      </c>
      <c r="L266" s="56">
        <f t="shared" si="49"/>
        <v>0</v>
      </c>
      <c r="M266" s="56">
        <f t="shared" si="50"/>
        <v>0</v>
      </c>
      <c r="N266" s="56">
        <f t="shared" si="51"/>
        <v>0</v>
      </c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50">
        <f t="shared" si="52"/>
        <v>0</v>
      </c>
    </row>
    <row r="267" spans="6:65" x14ac:dyDescent="0.15">
      <c r="F267" s="12" t="s">
        <v>932</v>
      </c>
      <c r="G267" s="205" t="s">
        <v>896</v>
      </c>
      <c r="H267" s="4" t="s">
        <v>524</v>
      </c>
      <c r="I267" s="45">
        <f t="shared" ref="I267" si="58">SUM(J267:L267)</f>
        <v>0</v>
      </c>
      <c r="J267" s="56">
        <f t="shared" ref="J267" si="59">O267+T267+Y267+AD267+AI267+AN267+AS267+AX267+BC267+BH267</f>
        <v>0</v>
      </c>
      <c r="K267" s="56">
        <f t="shared" ref="K267" si="60">P267+U267+Z267+AE267+AJ267+AO267+AT267+AY267+BD267+BI267</f>
        <v>0</v>
      </c>
      <c r="L267" s="56">
        <f t="shared" ref="L267" si="61">Q267+V267+AA267+AF267+AK267+AP267+AU267+AZ267+BE267+BJ267</f>
        <v>0</v>
      </c>
      <c r="M267" s="56">
        <f t="shared" ref="M267" si="62">R267+W267+AB267+AG267+AL267+AQ267+AV267+BA267+BF267+BK267</f>
        <v>0</v>
      </c>
      <c r="N267" s="56">
        <f t="shared" ref="N267" si="63">S267+X267+AC267+AH267+AM267+AR267+AW267+BB267+BG267+BL267</f>
        <v>0</v>
      </c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50">
        <f t="shared" ref="BM267" si="64">SUM(I267:BL267)</f>
        <v>0</v>
      </c>
    </row>
    <row r="268" spans="6:65" x14ac:dyDescent="0.15">
      <c r="F268" s="12" t="s">
        <v>930</v>
      </c>
      <c r="G268" s="205" t="s">
        <v>521</v>
      </c>
      <c r="H268" s="4" t="s">
        <v>526</v>
      </c>
      <c r="I268" s="45">
        <f t="shared" si="46"/>
        <v>0</v>
      </c>
      <c r="J268" s="56">
        <f t="shared" si="47"/>
        <v>0</v>
      </c>
      <c r="K268" s="56">
        <f t="shared" si="48"/>
        <v>0</v>
      </c>
      <c r="L268" s="56">
        <f t="shared" si="49"/>
        <v>0</v>
      </c>
      <c r="M268" s="56">
        <f t="shared" si="50"/>
        <v>0</v>
      </c>
      <c r="N268" s="56">
        <f t="shared" si="51"/>
        <v>0</v>
      </c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50">
        <f t="shared" si="52"/>
        <v>0</v>
      </c>
    </row>
    <row r="269" spans="6:65" x14ac:dyDescent="0.15">
      <c r="F269" s="12" t="s">
        <v>928</v>
      </c>
      <c r="G269" s="205" t="s">
        <v>523</v>
      </c>
      <c r="H269" s="53" t="s">
        <v>528</v>
      </c>
      <c r="I269" s="45">
        <f t="shared" si="46"/>
        <v>0</v>
      </c>
      <c r="J269" s="56">
        <f t="shared" si="47"/>
        <v>0</v>
      </c>
      <c r="K269" s="56">
        <f t="shared" si="48"/>
        <v>0</v>
      </c>
      <c r="L269" s="56">
        <f t="shared" si="49"/>
        <v>0</v>
      </c>
      <c r="M269" s="56">
        <f t="shared" si="50"/>
        <v>0</v>
      </c>
      <c r="N269" s="56">
        <f t="shared" si="51"/>
        <v>0</v>
      </c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50">
        <f t="shared" si="52"/>
        <v>0</v>
      </c>
    </row>
    <row r="270" spans="6:65" x14ac:dyDescent="0.15">
      <c r="F270" s="12" t="s">
        <v>928</v>
      </c>
      <c r="G270" s="205" t="s">
        <v>525</v>
      </c>
      <c r="H270" s="4" t="s">
        <v>530</v>
      </c>
      <c r="I270" s="45">
        <f t="shared" ref="I270:I322" si="65">SUM(J270:L270)</f>
        <v>0</v>
      </c>
      <c r="J270" s="56">
        <f t="shared" ref="J270:J322" si="66">O270+T270+Y270+AD270+AI270+AN270+AS270+AX270+BC270+BH270</f>
        <v>0</v>
      </c>
      <c r="K270" s="56">
        <f t="shared" ref="K270:K322" si="67">P270+U270+Z270+AE270+AJ270+AO270+AT270+AY270+BD270+BI270</f>
        <v>0</v>
      </c>
      <c r="L270" s="56">
        <f t="shared" ref="L270:L322" si="68">Q270+V270+AA270+AF270+AK270+AP270+AU270+AZ270+BE270+BJ270</f>
        <v>0</v>
      </c>
      <c r="M270" s="56">
        <f t="shared" ref="M270:M322" si="69">R270+W270+AB270+AG270+AL270+AQ270+AV270+BA270+BF270+BK270</f>
        <v>0</v>
      </c>
      <c r="N270" s="56">
        <f t="shared" ref="N270:N322" si="70">S270+X270+AC270+AH270+AM270+AR270+AW270+BB270+BG270+BL270</f>
        <v>0</v>
      </c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50">
        <f t="shared" ref="BM270:BM322" si="71">SUM(I270:BL270)</f>
        <v>0</v>
      </c>
    </row>
    <row r="271" spans="6:65" x14ac:dyDescent="0.15">
      <c r="F271" s="12" t="s">
        <v>930</v>
      </c>
      <c r="G271" s="205" t="s">
        <v>527</v>
      </c>
      <c r="H271" s="4" t="s">
        <v>532</v>
      </c>
      <c r="I271" s="45">
        <f t="shared" si="65"/>
        <v>0</v>
      </c>
      <c r="J271" s="56">
        <f t="shared" si="66"/>
        <v>0</v>
      </c>
      <c r="K271" s="56">
        <f t="shared" si="67"/>
        <v>0</v>
      </c>
      <c r="L271" s="56">
        <f t="shared" si="68"/>
        <v>0</v>
      </c>
      <c r="M271" s="56">
        <f t="shared" si="69"/>
        <v>0</v>
      </c>
      <c r="N271" s="56">
        <f t="shared" si="70"/>
        <v>0</v>
      </c>
      <c r="O271" s="46">
        <f>SUM(O272:O276)</f>
        <v>0</v>
      </c>
      <c r="P271" s="46">
        <f t="shared" ref="P271:BK271" si="72">SUM(P272:P276)</f>
        <v>0</v>
      </c>
      <c r="Q271" s="46">
        <f t="shared" si="72"/>
        <v>0</v>
      </c>
      <c r="R271" s="46">
        <f t="shared" si="72"/>
        <v>0</v>
      </c>
      <c r="S271" s="46">
        <f t="shared" si="72"/>
        <v>0</v>
      </c>
      <c r="T271" s="46">
        <f t="shared" si="72"/>
        <v>0</v>
      </c>
      <c r="U271" s="46">
        <f t="shared" si="72"/>
        <v>0</v>
      </c>
      <c r="V271" s="46">
        <f t="shared" si="72"/>
        <v>0</v>
      </c>
      <c r="W271" s="46">
        <f t="shared" si="72"/>
        <v>0</v>
      </c>
      <c r="X271" s="46">
        <f t="shared" si="72"/>
        <v>0</v>
      </c>
      <c r="Y271" s="46">
        <f t="shared" si="72"/>
        <v>0</v>
      </c>
      <c r="Z271" s="46">
        <f t="shared" si="72"/>
        <v>0</v>
      </c>
      <c r="AA271" s="46">
        <f t="shared" si="72"/>
        <v>0</v>
      </c>
      <c r="AB271" s="46">
        <f t="shared" si="72"/>
        <v>0</v>
      </c>
      <c r="AC271" s="46">
        <f t="shared" si="72"/>
        <v>0</v>
      </c>
      <c r="AD271" s="46">
        <f t="shared" si="72"/>
        <v>0</v>
      </c>
      <c r="AE271" s="46">
        <f t="shared" si="72"/>
        <v>0</v>
      </c>
      <c r="AF271" s="46">
        <f t="shared" si="72"/>
        <v>0</v>
      </c>
      <c r="AG271" s="46">
        <f t="shared" si="72"/>
        <v>0</v>
      </c>
      <c r="AH271" s="46">
        <f t="shared" si="72"/>
        <v>0</v>
      </c>
      <c r="AI271" s="46">
        <f t="shared" si="72"/>
        <v>0</v>
      </c>
      <c r="AJ271" s="46">
        <f t="shared" si="72"/>
        <v>0</v>
      </c>
      <c r="AK271" s="46">
        <f t="shared" si="72"/>
        <v>0</v>
      </c>
      <c r="AL271" s="46">
        <f t="shared" si="72"/>
        <v>0</v>
      </c>
      <c r="AM271" s="46">
        <f t="shared" si="72"/>
        <v>0</v>
      </c>
      <c r="AN271" s="46">
        <f t="shared" si="72"/>
        <v>0</v>
      </c>
      <c r="AO271" s="46">
        <f t="shared" si="72"/>
        <v>0</v>
      </c>
      <c r="AP271" s="46">
        <f t="shared" si="72"/>
        <v>0</v>
      </c>
      <c r="AQ271" s="46">
        <f t="shared" si="72"/>
        <v>0</v>
      </c>
      <c r="AR271" s="46">
        <f t="shared" si="72"/>
        <v>0</v>
      </c>
      <c r="AS271" s="46">
        <f t="shared" si="72"/>
        <v>0</v>
      </c>
      <c r="AT271" s="46">
        <f t="shared" si="72"/>
        <v>0</v>
      </c>
      <c r="AU271" s="46">
        <f t="shared" si="72"/>
        <v>0</v>
      </c>
      <c r="AV271" s="46">
        <f t="shared" si="72"/>
        <v>0</v>
      </c>
      <c r="AW271" s="46">
        <f t="shared" si="72"/>
        <v>0</v>
      </c>
      <c r="AX271" s="46">
        <f t="shared" si="72"/>
        <v>0</v>
      </c>
      <c r="AY271" s="46">
        <f t="shared" si="72"/>
        <v>0</v>
      </c>
      <c r="AZ271" s="46">
        <f t="shared" si="72"/>
        <v>0</v>
      </c>
      <c r="BA271" s="46">
        <f t="shared" si="72"/>
        <v>0</v>
      </c>
      <c r="BB271" s="46">
        <f t="shared" si="72"/>
        <v>0</v>
      </c>
      <c r="BC271" s="46">
        <f t="shared" si="72"/>
        <v>0</v>
      </c>
      <c r="BD271" s="46">
        <f t="shared" si="72"/>
        <v>0</v>
      </c>
      <c r="BE271" s="46">
        <f t="shared" si="72"/>
        <v>0</v>
      </c>
      <c r="BF271" s="46">
        <f t="shared" si="72"/>
        <v>0</v>
      </c>
      <c r="BG271" s="46">
        <f t="shared" si="72"/>
        <v>0</v>
      </c>
      <c r="BH271" s="46">
        <f t="shared" si="72"/>
        <v>0</v>
      </c>
      <c r="BI271" s="46">
        <f t="shared" si="72"/>
        <v>0</v>
      </c>
      <c r="BJ271" s="46">
        <f t="shared" si="72"/>
        <v>0</v>
      </c>
      <c r="BK271" s="46">
        <f t="shared" si="72"/>
        <v>0</v>
      </c>
      <c r="BL271" s="46">
        <f>SUM(BL272:BL276)</f>
        <v>0</v>
      </c>
      <c r="BM271" s="50">
        <f t="shared" si="71"/>
        <v>0</v>
      </c>
    </row>
    <row r="272" spans="6:65" ht="21" x14ac:dyDescent="0.15">
      <c r="F272" s="12" t="s">
        <v>930</v>
      </c>
      <c r="G272" s="206" t="s">
        <v>529</v>
      </c>
      <c r="H272" s="53" t="s">
        <v>534</v>
      </c>
      <c r="I272" s="45">
        <f t="shared" si="65"/>
        <v>0</v>
      </c>
      <c r="J272" s="56">
        <f t="shared" si="66"/>
        <v>0</v>
      </c>
      <c r="K272" s="56">
        <f t="shared" si="67"/>
        <v>0</v>
      </c>
      <c r="L272" s="56">
        <f t="shared" si="68"/>
        <v>0</v>
      </c>
      <c r="M272" s="56">
        <f t="shared" si="69"/>
        <v>0</v>
      </c>
      <c r="N272" s="56">
        <f t="shared" si="70"/>
        <v>0</v>
      </c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50">
        <f t="shared" si="71"/>
        <v>0</v>
      </c>
    </row>
    <row r="273" spans="6:65" x14ac:dyDescent="0.15">
      <c r="F273" s="12" t="s">
        <v>930</v>
      </c>
      <c r="G273" s="206" t="s">
        <v>531</v>
      </c>
      <c r="H273" s="4" t="s">
        <v>536</v>
      </c>
      <c r="I273" s="45">
        <f t="shared" si="65"/>
        <v>0</v>
      </c>
      <c r="J273" s="56">
        <f t="shared" si="66"/>
        <v>0</v>
      </c>
      <c r="K273" s="56">
        <f t="shared" si="67"/>
        <v>0</v>
      </c>
      <c r="L273" s="56">
        <f t="shared" si="68"/>
        <v>0</v>
      </c>
      <c r="M273" s="56">
        <f t="shared" si="69"/>
        <v>0</v>
      </c>
      <c r="N273" s="56">
        <f t="shared" si="70"/>
        <v>0</v>
      </c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50">
        <f t="shared" si="71"/>
        <v>0</v>
      </c>
    </row>
    <row r="274" spans="6:65" x14ac:dyDescent="0.15">
      <c r="F274" s="12" t="s">
        <v>930</v>
      </c>
      <c r="G274" s="206" t="s">
        <v>533</v>
      </c>
      <c r="H274" s="4" t="s">
        <v>538</v>
      </c>
      <c r="I274" s="45">
        <f t="shared" si="65"/>
        <v>0</v>
      </c>
      <c r="J274" s="56">
        <f t="shared" si="66"/>
        <v>0</v>
      </c>
      <c r="K274" s="56">
        <f t="shared" si="67"/>
        <v>0</v>
      </c>
      <c r="L274" s="56">
        <f t="shared" si="68"/>
        <v>0</v>
      </c>
      <c r="M274" s="56">
        <f t="shared" si="69"/>
        <v>0</v>
      </c>
      <c r="N274" s="56">
        <f t="shared" si="70"/>
        <v>0</v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50">
        <f t="shared" si="71"/>
        <v>0</v>
      </c>
    </row>
    <row r="275" spans="6:65" x14ac:dyDescent="0.15">
      <c r="F275" s="12" t="s">
        <v>930</v>
      </c>
      <c r="G275" s="206" t="s">
        <v>535</v>
      </c>
      <c r="H275" s="53" t="s">
        <v>540</v>
      </c>
      <c r="I275" s="45">
        <f t="shared" si="65"/>
        <v>0</v>
      </c>
      <c r="J275" s="56">
        <f t="shared" si="66"/>
        <v>0</v>
      </c>
      <c r="K275" s="56">
        <f t="shared" si="67"/>
        <v>0</v>
      </c>
      <c r="L275" s="56">
        <f t="shared" si="68"/>
        <v>0</v>
      </c>
      <c r="M275" s="56">
        <f t="shared" si="69"/>
        <v>0</v>
      </c>
      <c r="N275" s="56">
        <f t="shared" si="70"/>
        <v>0</v>
      </c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50">
        <f t="shared" si="71"/>
        <v>0</v>
      </c>
    </row>
    <row r="276" spans="6:65" x14ac:dyDescent="0.15">
      <c r="F276" s="12" t="s">
        <v>930</v>
      </c>
      <c r="G276" s="206" t="s">
        <v>897</v>
      </c>
      <c r="H276" s="4" t="s">
        <v>542</v>
      </c>
      <c r="I276" s="45">
        <f t="shared" ref="I276" si="73">SUM(J276:L276)</f>
        <v>0</v>
      </c>
      <c r="J276" s="56">
        <f t="shared" ref="J276" si="74">O276+T276+Y276+AD276+AI276+AN276+AS276+AX276+BC276+BH276</f>
        <v>0</v>
      </c>
      <c r="K276" s="56">
        <f t="shared" ref="K276" si="75">P276+U276+Z276+AE276+AJ276+AO276+AT276+AY276+BD276+BI276</f>
        <v>0</v>
      </c>
      <c r="L276" s="56">
        <f t="shared" ref="L276" si="76">Q276+V276+AA276+AF276+AK276+AP276+AU276+AZ276+BE276+BJ276</f>
        <v>0</v>
      </c>
      <c r="M276" s="56">
        <f t="shared" ref="M276" si="77">R276+W276+AB276+AG276+AL276+AQ276+AV276+BA276+BF276+BK276</f>
        <v>0</v>
      </c>
      <c r="N276" s="56">
        <f t="shared" ref="N276" si="78">S276+X276+AC276+AH276+AM276+AR276+AW276+BB276+BG276+BL276</f>
        <v>0</v>
      </c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50">
        <f t="shared" ref="BM276" si="79">SUM(I276:BL276)</f>
        <v>0</v>
      </c>
    </row>
    <row r="277" spans="6:65" x14ac:dyDescent="0.15">
      <c r="F277" s="12" t="s">
        <v>929</v>
      </c>
      <c r="G277" s="205" t="s">
        <v>537</v>
      </c>
      <c r="H277" s="4" t="s">
        <v>544</v>
      </c>
      <c r="I277" s="45">
        <f t="shared" si="65"/>
        <v>0</v>
      </c>
      <c r="J277" s="56">
        <f t="shared" si="66"/>
        <v>0</v>
      </c>
      <c r="K277" s="56">
        <f t="shared" si="67"/>
        <v>0</v>
      </c>
      <c r="L277" s="56">
        <f t="shared" si="68"/>
        <v>0</v>
      </c>
      <c r="M277" s="56">
        <f t="shared" si="69"/>
        <v>0</v>
      </c>
      <c r="N277" s="56">
        <f t="shared" si="70"/>
        <v>0</v>
      </c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50">
        <f t="shared" si="71"/>
        <v>0</v>
      </c>
    </row>
    <row r="278" spans="6:65" ht="21" x14ac:dyDescent="0.15">
      <c r="F278" s="12" t="s">
        <v>928</v>
      </c>
      <c r="G278" s="205" t="s">
        <v>539</v>
      </c>
      <c r="H278" s="53" t="s">
        <v>546</v>
      </c>
      <c r="I278" s="45">
        <f t="shared" si="65"/>
        <v>0</v>
      </c>
      <c r="J278" s="56">
        <f t="shared" si="66"/>
        <v>0</v>
      </c>
      <c r="K278" s="56">
        <f t="shared" si="67"/>
        <v>0</v>
      </c>
      <c r="L278" s="56">
        <f t="shared" si="68"/>
        <v>0</v>
      </c>
      <c r="M278" s="56">
        <f t="shared" si="69"/>
        <v>0</v>
      </c>
      <c r="N278" s="56">
        <f t="shared" si="70"/>
        <v>0</v>
      </c>
      <c r="O278" s="48">
        <f t="shared" ref="O278:BL278" si="80">SUM(O279:O283)</f>
        <v>0</v>
      </c>
      <c r="P278" s="48">
        <f t="shared" si="80"/>
        <v>0</v>
      </c>
      <c r="Q278" s="48">
        <f t="shared" si="80"/>
        <v>0</v>
      </c>
      <c r="R278" s="48">
        <f t="shared" si="80"/>
        <v>0</v>
      </c>
      <c r="S278" s="48">
        <f t="shared" si="80"/>
        <v>0</v>
      </c>
      <c r="T278" s="48">
        <f t="shared" si="80"/>
        <v>0</v>
      </c>
      <c r="U278" s="48">
        <f t="shared" si="80"/>
        <v>0</v>
      </c>
      <c r="V278" s="48">
        <f t="shared" si="80"/>
        <v>0</v>
      </c>
      <c r="W278" s="48">
        <f t="shared" si="80"/>
        <v>0</v>
      </c>
      <c r="X278" s="48">
        <f t="shared" si="80"/>
        <v>0</v>
      </c>
      <c r="Y278" s="48">
        <f t="shared" si="80"/>
        <v>0</v>
      </c>
      <c r="Z278" s="48">
        <f t="shared" si="80"/>
        <v>0</v>
      </c>
      <c r="AA278" s="48">
        <f t="shared" si="80"/>
        <v>0</v>
      </c>
      <c r="AB278" s="48">
        <f t="shared" si="80"/>
        <v>0</v>
      </c>
      <c r="AC278" s="48">
        <f t="shared" si="80"/>
        <v>0</v>
      </c>
      <c r="AD278" s="48">
        <f t="shared" si="80"/>
        <v>0</v>
      </c>
      <c r="AE278" s="48">
        <f t="shared" si="80"/>
        <v>0</v>
      </c>
      <c r="AF278" s="48">
        <f t="shared" si="80"/>
        <v>0</v>
      </c>
      <c r="AG278" s="48">
        <f t="shared" si="80"/>
        <v>0</v>
      </c>
      <c r="AH278" s="48">
        <f t="shared" si="80"/>
        <v>0</v>
      </c>
      <c r="AI278" s="48">
        <f t="shared" si="80"/>
        <v>0</v>
      </c>
      <c r="AJ278" s="48">
        <f t="shared" si="80"/>
        <v>0</v>
      </c>
      <c r="AK278" s="48">
        <f t="shared" si="80"/>
        <v>0</v>
      </c>
      <c r="AL278" s="48">
        <f t="shared" si="80"/>
        <v>0</v>
      </c>
      <c r="AM278" s="48">
        <f t="shared" si="80"/>
        <v>0</v>
      </c>
      <c r="AN278" s="48">
        <f t="shared" si="80"/>
        <v>0</v>
      </c>
      <c r="AO278" s="48">
        <f t="shared" si="80"/>
        <v>0</v>
      </c>
      <c r="AP278" s="48">
        <f t="shared" si="80"/>
        <v>0</v>
      </c>
      <c r="AQ278" s="48">
        <f t="shared" si="80"/>
        <v>0</v>
      </c>
      <c r="AR278" s="48">
        <f t="shared" si="80"/>
        <v>0</v>
      </c>
      <c r="AS278" s="48">
        <f t="shared" si="80"/>
        <v>0</v>
      </c>
      <c r="AT278" s="48">
        <f t="shared" si="80"/>
        <v>0</v>
      </c>
      <c r="AU278" s="48">
        <f t="shared" si="80"/>
        <v>0</v>
      </c>
      <c r="AV278" s="48">
        <f t="shared" si="80"/>
        <v>0</v>
      </c>
      <c r="AW278" s="48">
        <f t="shared" si="80"/>
        <v>0</v>
      </c>
      <c r="AX278" s="48">
        <f t="shared" si="80"/>
        <v>0</v>
      </c>
      <c r="AY278" s="48">
        <f t="shared" si="80"/>
        <v>0</v>
      </c>
      <c r="AZ278" s="48">
        <f t="shared" si="80"/>
        <v>0</v>
      </c>
      <c r="BA278" s="48">
        <f t="shared" si="80"/>
        <v>0</v>
      </c>
      <c r="BB278" s="48">
        <f t="shared" si="80"/>
        <v>0</v>
      </c>
      <c r="BC278" s="48">
        <f t="shared" si="80"/>
        <v>0</v>
      </c>
      <c r="BD278" s="48">
        <f t="shared" si="80"/>
        <v>0</v>
      </c>
      <c r="BE278" s="48">
        <f t="shared" si="80"/>
        <v>0</v>
      </c>
      <c r="BF278" s="48">
        <f t="shared" si="80"/>
        <v>0</v>
      </c>
      <c r="BG278" s="48">
        <f t="shared" si="80"/>
        <v>0</v>
      </c>
      <c r="BH278" s="48">
        <f t="shared" si="80"/>
        <v>0</v>
      </c>
      <c r="BI278" s="48">
        <f t="shared" si="80"/>
        <v>0</v>
      </c>
      <c r="BJ278" s="48">
        <f t="shared" si="80"/>
        <v>0</v>
      </c>
      <c r="BK278" s="48">
        <f t="shared" si="80"/>
        <v>0</v>
      </c>
      <c r="BL278" s="48">
        <f t="shared" si="80"/>
        <v>0</v>
      </c>
      <c r="BM278" s="50">
        <f t="shared" si="71"/>
        <v>0</v>
      </c>
    </row>
    <row r="279" spans="6:65" ht="21" x14ac:dyDescent="0.15">
      <c r="F279" s="12" t="s">
        <v>928</v>
      </c>
      <c r="G279" s="206" t="s">
        <v>541</v>
      </c>
      <c r="H279" s="4" t="s">
        <v>548</v>
      </c>
      <c r="I279" s="45">
        <f t="shared" si="65"/>
        <v>0</v>
      </c>
      <c r="J279" s="56">
        <f t="shared" si="66"/>
        <v>0</v>
      </c>
      <c r="K279" s="56">
        <f t="shared" si="67"/>
        <v>0</v>
      </c>
      <c r="L279" s="56">
        <f t="shared" si="68"/>
        <v>0</v>
      </c>
      <c r="M279" s="56">
        <f t="shared" si="69"/>
        <v>0</v>
      </c>
      <c r="N279" s="56">
        <f t="shared" si="70"/>
        <v>0</v>
      </c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50">
        <f t="shared" si="71"/>
        <v>0</v>
      </c>
    </row>
    <row r="280" spans="6:65" x14ac:dyDescent="0.15">
      <c r="F280" s="12" t="s">
        <v>928</v>
      </c>
      <c r="G280" s="206" t="s">
        <v>543</v>
      </c>
      <c r="H280" s="4" t="s">
        <v>549</v>
      </c>
      <c r="I280" s="45">
        <f t="shared" si="65"/>
        <v>0</v>
      </c>
      <c r="J280" s="56">
        <f t="shared" si="66"/>
        <v>0</v>
      </c>
      <c r="K280" s="56">
        <f t="shared" si="67"/>
        <v>0</v>
      </c>
      <c r="L280" s="56">
        <f t="shared" si="68"/>
        <v>0</v>
      </c>
      <c r="M280" s="56">
        <f t="shared" si="69"/>
        <v>0</v>
      </c>
      <c r="N280" s="56">
        <f t="shared" si="70"/>
        <v>0</v>
      </c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50">
        <f t="shared" si="71"/>
        <v>0</v>
      </c>
    </row>
    <row r="281" spans="6:65" x14ac:dyDescent="0.15">
      <c r="F281" s="12" t="s">
        <v>928</v>
      </c>
      <c r="G281" s="206" t="s">
        <v>545</v>
      </c>
      <c r="H281" s="53" t="s">
        <v>551</v>
      </c>
      <c r="I281" s="45">
        <f t="shared" si="65"/>
        <v>0</v>
      </c>
      <c r="J281" s="56">
        <f t="shared" si="66"/>
        <v>0</v>
      </c>
      <c r="K281" s="56">
        <f t="shared" si="67"/>
        <v>0</v>
      </c>
      <c r="L281" s="56">
        <f t="shared" si="68"/>
        <v>0</v>
      </c>
      <c r="M281" s="56">
        <f t="shared" si="69"/>
        <v>0</v>
      </c>
      <c r="N281" s="56">
        <f t="shared" si="70"/>
        <v>0</v>
      </c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50">
        <f t="shared" si="71"/>
        <v>0</v>
      </c>
    </row>
    <row r="282" spans="6:65" x14ac:dyDescent="0.15">
      <c r="F282" s="12" t="s">
        <v>928</v>
      </c>
      <c r="G282" s="206" t="s">
        <v>547</v>
      </c>
      <c r="H282" s="4" t="s">
        <v>553</v>
      </c>
      <c r="I282" s="45">
        <f t="shared" si="65"/>
        <v>0</v>
      </c>
      <c r="J282" s="56">
        <f t="shared" si="66"/>
        <v>0</v>
      </c>
      <c r="K282" s="56">
        <f t="shared" si="67"/>
        <v>0</v>
      </c>
      <c r="L282" s="56">
        <f t="shared" si="68"/>
        <v>0</v>
      </c>
      <c r="M282" s="56">
        <f t="shared" si="69"/>
        <v>0</v>
      </c>
      <c r="N282" s="56">
        <f t="shared" si="70"/>
        <v>0</v>
      </c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50">
        <f t="shared" si="71"/>
        <v>0</v>
      </c>
    </row>
    <row r="283" spans="6:65" x14ac:dyDescent="0.15">
      <c r="F283" s="12" t="s">
        <v>928</v>
      </c>
      <c r="G283" s="206" t="s">
        <v>864</v>
      </c>
      <c r="H283" s="4" t="s">
        <v>555</v>
      </c>
      <c r="I283" s="45">
        <f t="shared" si="65"/>
        <v>0</v>
      </c>
      <c r="J283" s="56">
        <f t="shared" si="66"/>
        <v>0</v>
      </c>
      <c r="K283" s="56">
        <f t="shared" si="67"/>
        <v>0</v>
      </c>
      <c r="L283" s="56">
        <f t="shared" si="68"/>
        <v>0</v>
      </c>
      <c r="M283" s="56">
        <f t="shared" si="69"/>
        <v>0</v>
      </c>
      <c r="N283" s="56">
        <f t="shared" si="70"/>
        <v>0</v>
      </c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50">
        <f t="shared" si="71"/>
        <v>0</v>
      </c>
    </row>
    <row r="284" spans="6:65" x14ac:dyDescent="0.15">
      <c r="F284" s="12" t="s">
        <v>928</v>
      </c>
      <c r="G284" s="205" t="s">
        <v>550</v>
      </c>
      <c r="H284" s="53" t="s">
        <v>557</v>
      </c>
      <c r="I284" s="45">
        <f t="shared" si="65"/>
        <v>0</v>
      </c>
      <c r="J284" s="56">
        <f t="shared" si="66"/>
        <v>0</v>
      </c>
      <c r="K284" s="56">
        <f t="shared" si="67"/>
        <v>0</v>
      </c>
      <c r="L284" s="56">
        <f t="shared" si="68"/>
        <v>0</v>
      </c>
      <c r="M284" s="56">
        <f t="shared" si="69"/>
        <v>0</v>
      </c>
      <c r="N284" s="56">
        <f t="shared" si="70"/>
        <v>0</v>
      </c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50">
        <f t="shared" si="71"/>
        <v>0</v>
      </c>
    </row>
    <row r="285" spans="6:65" x14ac:dyDescent="0.15">
      <c r="F285" s="12" t="s">
        <v>928</v>
      </c>
      <c r="G285" s="205" t="s">
        <v>552</v>
      </c>
      <c r="H285" s="4" t="s">
        <v>559</v>
      </c>
      <c r="I285" s="45">
        <f t="shared" si="65"/>
        <v>0</v>
      </c>
      <c r="J285" s="56">
        <f t="shared" si="66"/>
        <v>0</v>
      </c>
      <c r="K285" s="56">
        <f t="shared" si="67"/>
        <v>0</v>
      </c>
      <c r="L285" s="56">
        <f t="shared" si="68"/>
        <v>0</v>
      </c>
      <c r="M285" s="56">
        <f t="shared" si="69"/>
        <v>0</v>
      </c>
      <c r="N285" s="56">
        <f t="shared" si="70"/>
        <v>0</v>
      </c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50">
        <f t="shared" si="71"/>
        <v>0</v>
      </c>
    </row>
    <row r="286" spans="6:65" x14ac:dyDescent="0.15">
      <c r="F286" s="12" t="s">
        <v>928</v>
      </c>
      <c r="G286" s="205" t="s">
        <v>554</v>
      </c>
      <c r="H286" s="4" t="s">
        <v>560</v>
      </c>
      <c r="I286" s="45">
        <f t="shared" si="65"/>
        <v>0</v>
      </c>
      <c r="J286" s="56">
        <f t="shared" si="66"/>
        <v>0</v>
      </c>
      <c r="K286" s="56">
        <f t="shared" si="67"/>
        <v>0</v>
      </c>
      <c r="L286" s="56">
        <f t="shared" si="68"/>
        <v>0</v>
      </c>
      <c r="M286" s="56">
        <f t="shared" si="69"/>
        <v>0</v>
      </c>
      <c r="N286" s="56">
        <f t="shared" si="70"/>
        <v>0</v>
      </c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50">
        <f t="shared" si="71"/>
        <v>0</v>
      </c>
    </row>
    <row r="287" spans="6:65" x14ac:dyDescent="0.15">
      <c r="F287" s="12" t="s">
        <v>929</v>
      </c>
      <c r="G287" s="205" t="s">
        <v>556</v>
      </c>
      <c r="H287" s="53" t="s">
        <v>562</v>
      </c>
      <c r="I287" s="45">
        <f t="shared" si="65"/>
        <v>0</v>
      </c>
      <c r="J287" s="56">
        <f t="shared" si="66"/>
        <v>0</v>
      </c>
      <c r="K287" s="56">
        <f t="shared" si="67"/>
        <v>0</v>
      </c>
      <c r="L287" s="56">
        <f t="shared" si="68"/>
        <v>0</v>
      </c>
      <c r="M287" s="56">
        <f t="shared" si="69"/>
        <v>0</v>
      </c>
      <c r="N287" s="56">
        <f t="shared" si="70"/>
        <v>0</v>
      </c>
      <c r="O287" s="46">
        <f t="shared" ref="O287:BL287" si="81">SUM(O288:O293)</f>
        <v>0</v>
      </c>
      <c r="P287" s="46">
        <f t="shared" si="81"/>
        <v>0</v>
      </c>
      <c r="Q287" s="46">
        <f t="shared" si="81"/>
        <v>0</v>
      </c>
      <c r="R287" s="46">
        <f t="shared" si="81"/>
        <v>0</v>
      </c>
      <c r="S287" s="46">
        <f t="shared" si="81"/>
        <v>0</v>
      </c>
      <c r="T287" s="46">
        <f t="shared" si="81"/>
        <v>0</v>
      </c>
      <c r="U287" s="46">
        <f t="shared" si="81"/>
        <v>0</v>
      </c>
      <c r="V287" s="46">
        <f t="shared" si="81"/>
        <v>0</v>
      </c>
      <c r="W287" s="46">
        <f t="shared" si="81"/>
        <v>0</v>
      </c>
      <c r="X287" s="46">
        <f t="shared" si="81"/>
        <v>0</v>
      </c>
      <c r="Y287" s="46">
        <f t="shared" si="81"/>
        <v>0</v>
      </c>
      <c r="Z287" s="46">
        <f t="shared" si="81"/>
        <v>0</v>
      </c>
      <c r="AA287" s="46">
        <f t="shared" si="81"/>
        <v>0</v>
      </c>
      <c r="AB287" s="46">
        <f t="shared" si="81"/>
        <v>0</v>
      </c>
      <c r="AC287" s="46">
        <f t="shared" si="81"/>
        <v>0</v>
      </c>
      <c r="AD287" s="46">
        <f t="shared" si="81"/>
        <v>0</v>
      </c>
      <c r="AE287" s="46">
        <f t="shared" si="81"/>
        <v>0</v>
      </c>
      <c r="AF287" s="46">
        <f t="shared" si="81"/>
        <v>0</v>
      </c>
      <c r="AG287" s="46">
        <f t="shared" si="81"/>
        <v>0</v>
      </c>
      <c r="AH287" s="46">
        <f t="shared" si="81"/>
        <v>0</v>
      </c>
      <c r="AI287" s="46">
        <f t="shared" si="81"/>
        <v>0</v>
      </c>
      <c r="AJ287" s="46">
        <f t="shared" si="81"/>
        <v>0</v>
      </c>
      <c r="AK287" s="46">
        <f t="shared" si="81"/>
        <v>0</v>
      </c>
      <c r="AL287" s="46">
        <f t="shared" si="81"/>
        <v>0</v>
      </c>
      <c r="AM287" s="46">
        <f t="shared" si="81"/>
        <v>0</v>
      </c>
      <c r="AN287" s="46">
        <f t="shared" si="81"/>
        <v>0</v>
      </c>
      <c r="AO287" s="46">
        <f t="shared" si="81"/>
        <v>0</v>
      </c>
      <c r="AP287" s="46">
        <f t="shared" si="81"/>
        <v>0</v>
      </c>
      <c r="AQ287" s="46">
        <f t="shared" si="81"/>
        <v>0</v>
      </c>
      <c r="AR287" s="46">
        <f t="shared" si="81"/>
        <v>0</v>
      </c>
      <c r="AS287" s="46">
        <f t="shared" si="81"/>
        <v>0</v>
      </c>
      <c r="AT287" s="46">
        <f t="shared" si="81"/>
        <v>0</v>
      </c>
      <c r="AU287" s="46">
        <f t="shared" si="81"/>
        <v>0</v>
      </c>
      <c r="AV287" s="46">
        <f t="shared" si="81"/>
        <v>0</v>
      </c>
      <c r="AW287" s="46">
        <f t="shared" si="81"/>
        <v>0</v>
      </c>
      <c r="AX287" s="46">
        <f t="shared" si="81"/>
        <v>0</v>
      </c>
      <c r="AY287" s="46">
        <f t="shared" si="81"/>
        <v>0</v>
      </c>
      <c r="AZ287" s="46">
        <f t="shared" si="81"/>
        <v>0</v>
      </c>
      <c r="BA287" s="46">
        <f t="shared" si="81"/>
        <v>0</v>
      </c>
      <c r="BB287" s="46">
        <f t="shared" si="81"/>
        <v>0</v>
      </c>
      <c r="BC287" s="46">
        <f t="shared" si="81"/>
        <v>0</v>
      </c>
      <c r="BD287" s="46">
        <f t="shared" si="81"/>
        <v>0</v>
      </c>
      <c r="BE287" s="46">
        <f t="shared" si="81"/>
        <v>0</v>
      </c>
      <c r="BF287" s="46">
        <f t="shared" si="81"/>
        <v>0</v>
      </c>
      <c r="BG287" s="46">
        <f t="shared" si="81"/>
        <v>0</v>
      </c>
      <c r="BH287" s="46">
        <f t="shared" si="81"/>
        <v>0</v>
      </c>
      <c r="BI287" s="46">
        <f t="shared" si="81"/>
        <v>0</v>
      </c>
      <c r="BJ287" s="46">
        <f t="shared" si="81"/>
        <v>0</v>
      </c>
      <c r="BK287" s="46">
        <f t="shared" si="81"/>
        <v>0</v>
      </c>
      <c r="BL287" s="46">
        <f t="shared" si="81"/>
        <v>0</v>
      </c>
      <c r="BM287" s="50">
        <f t="shared" si="71"/>
        <v>0</v>
      </c>
    </row>
    <row r="288" spans="6:65" ht="21" x14ac:dyDescent="0.15">
      <c r="F288" s="12" t="s">
        <v>929</v>
      </c>
      <c r="G288" s="206" t="s">
        <v>558</v>
      </c>
      <c r="H288" s="4" t="s">
        <v>564</v>
      </c>
      <c r="I288" s="45">
        <f t="shared" si="65"/>
        <v>0</v>
      </c>
      <c r="J288" s="56">
        <f t="shared" si="66"/>
        <v>0</v>
      </c>
      <c r="K288" s="56">
        <f t="shared" si="67"/>
        <v>0</v>
      </c>
      <c r="L288" s="56">
        <f t="shared" si="68"/>
        <v>0</v>
      </c>
      <c r="M288" s="56">
        <f t="shared" si="69"/>
        <v>0</v>
      </c>
      <c r="N288" s="56">
        <f t="shared" si="70"/>
        <v>0</v>
      </c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50">
        <f t="shared" si="71"/>
        <v>0</v>
      </c>
    </row>
    <row r="289" spans="6:65" x14ac:dyDescent="0.15">
      <c r="F289" s="12" t="s">
        <v>929</v>
      </c>
      <c r="G289" s="206" t="s">
        <v>416</v>
      </c>
      <c r="H289" s="4" t="s">
        <v>565</v>
      </c>
      <c r="I289" s="45">
        <f t="shared" si="65"/>
        <v>0</v>
      </c>
      <c r="J289" s="56">
        <f t="shared" si="66"/>
        <v>0</v>
      </c>
      <c r="K289" s="56">
        <f t="shared" si="67"/>
        <v>0</v>
      </c>
      <c r="L289" s="56">
        <f t="shared" si="68"/>
        <v>0</v>
      </c>
      <c r="M289" s="56">
        <f t="shared" si="69"/>
        <v>0</v>
      </c>
      <c r="N289" s="56">
        <f t="shared" si="70"/>
        <v>0</v>
      </c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50">
        <f t="shared" si="71"/>
        <v>0</v>
      </c>
    </row>
    <row r="290" spans="6:65" x14ac:dyDescent="0.15">
      <c r="F290" s="12" t="s">
        <v>929</v>
      </c>
      <c r="G290" s="206" t="s">
        <v>561</v>
      </c>
      <c r="H290" s="53" t="s">
        <v>566</v>
      </c>
      <c r="I290" s="45">
        <f t="shared" si="65"/>
        <v>0</v>
      </c>
      <c r="J290" s="56">
        <f t="shared" si="66"/>
        <v>0</v>
      </c>
      <c r="K290" s="56">
        <f t="shared" si="67"/>
        <v>0</v>
      </c>
      <c r="L290" s="56">
        <f t="shared" si="68"/>
        <v>0</v>
      </c>
      <c r="M290" s="56">
        <f t="shared" si="69"/>
        <v>0</v>
      </c>
      <c r="N290" s="56">
        <f t="shared" si="70"/>
        <v>0</v>
      </c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50">
        <f t="shared" si="71"/>
        <v>0</v>
      </c>
    </row>
    <row r="291" spans="6:65" x14ac:dyDescent="0.15">
      <c r="F291" s="12" t="s">
        <v>929</v>
      </c>
      <c r="G291" s="206" t="s">
        <v>563</v>
      </c>
      <c r="H291" s="4" t="s">
        <v>568</v>
      </c>
      <c r="I291" s="45">
        <f t="shared" si="65"/>
        <v>0</v>
      </c>
      <c r="J291" s="56">
        <f t="shared" si="66"/>
        <v>0</v>
      </c>
      <c r="K291" s="56">
        <f t="shared" si="67"/>
        <v>0</v>
      </c>
      <c r="L291" s="56">
        <f t="shared" si="68"/>
        <v>0</v>
      </c>
      <c r="M291" s="56">
        <f t="shared" si="69"/>
        <v>0</v>
      </c>
      <c r="N291" s="56">
        <f t="shared" si="70"/>
        <v>0</v>
      </c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50">
        <f t="shared" si="71"/>
        <v>0</v>
      </c>
    </row>
    <row r="292" spans="6:65" x14ac:dyDescent="0.15">
      <c r="F292" s="12" t="s">
        <v>929</v>
      </c>
      <c r="G292" s="206" t="s">
        <v>414</v>
      </c>
      <c r="H292" s="4" t="s">
        <v>570</v>
      </c>
      <c r="I292" s="45">
        <f t="shared" si="65"/>
        <v>0</v>
      </c>
      <c r="J292" s="56">
        <f t="shared" si="66"/>
        <v>0</v>
      </c>
      <c r="K292" s="56">
        <f t="shared" si="67"/>
        <v>0</v>
      </c>
      <c r="L292" s="56">
        <f t="shared" si="68"/>
        <v>0</v>
      </c>
      <c r="M292" s="56">
        <f t="shared" si="69"/>
        <v>0</v>
      </c>
      <c r="N292" s="56">
        <f t="shared" si="70"/>
        <v>0</v>
      </c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50">
        <f t="shared" si="71"/>
        <v>0</v>
      </c>
    </row>
    <row r="293" spans="6:65" x14ac:dyDescent="0.15">
      <c r="F293" s="12" t="s">
        <v>929</v>
      </c>
      <c r="G293" s="206" t="s">
        <v>418</v>
      </c>
      <c r="H293" s="53" t="s">
        <v>571</v>
      </c>
      <c r="I293" s="45">
        <f t="shared" si="65"/>
        <v>0</v>
      </c>
      <c r="J293" s="56">
        <f t="shared" si="66"/>
        <v>0</v>
      </c>
      <c r="K293" s="56">
        <f t="shared" si="67"/>
        <v>0</v>
      </c>
      <c r="L293" s="56">
        <f t="shared" si="68"/>
        <v>0</v>
      </c>
      <c r="M293" s="56">
        <f t="shared" si="69"/>
        <v>0</v>
      </c>
      <c r="N293" s="56">
        <f t="shared" si="70"/>
        <v>0</v>
      </c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50">
        <f t="shared" si="71"/>
        <v>0</v>
      </c>
    </row>
    <row r="294" spans="6:65" x14ac:dyDescent="0.15">
      <c r="F294" s="12" t="s">
        <v>928</v>
      </c>
      <c r="G294" s="205" t="s">
        <v>567</v>
      </c>
      <c r="H294" s="4" t="s">
        <v>573</v>
      </c>
      <c r="I294" s="45">
        <f t="shared" si="65"/>
        <v>0</v>
      </c>
      <c r="J294" s="56">
        <f t="shared" si="66"/>
        <v>0</v>
      </c>
      <c r="K294" s="56">
        <f t="shared" si="67"/>
        <v>0</v>
      </c>
      <c r="L294" s="56">
        <f t="shared" si="68"/>
        <v>0</v>
      </c>
      <c r="M294" s="56">
        <f t="shared" si="69"/>
        <v>0</v>
      </c>
      <c r="N294" s="56">
        <f t="shared" si="70"/>
        <v>0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50">
        <f t="shared" si="71"/>
        <v>0</v>
      </c>
    </row>
    <row r="295" spans="6:65" x14ac:dyDescent="0.15">
      <c r="F295" s="12" t="s">
        <v>930</v>
      </c>
      <c r="G295" s="205" t="s">
        <v>569</v>
      </c>
      <c r="H295" s="4" t="s">
        <v>575</v>
      </c>
      <c r="I295" s="45">
        <f t="shared" si="65"/>
        <v>0</v>
      </c>
      <c r="J295" s="56">
        <f t="shared" si="66"/>
        <v>0</v>
      </c>
      <c r="K295" s="56">
        <f t="shared" si="67"/>
        <v>0</v>
      </c>
      <c r="L295" s="56">
        <f t="shared" si="68"/>
        <v>0</v>
      </c>
      <c r="M295" s="56">
        <f t="shared" si="69"/>
        <v>0</v>
      </c>
      <c r="N295" s="56">
        <f t="shared" si="70"/>
        <v>0</v>
      </c>
      <c r="O295" s="46">
        <f t="shared" ref="O295:BL295" si="82">SUM(O296:O301)</f>
        <v>0</v>
      </c>
      <c r="P295" s="46">
        <f t="shared" si="82"/>
        <v>0</v>
      </c>
      <c r="Q295" s="46">
        <f t="shared" si="82"/>
        <v>0</v>
      </c>
      <c r="R295" s="46">
        <f t="shared" si="82"/>
        <v>0</v>
      </c>
      <c r="S295" s="46">
        <f t="shared" si="82"/>
        <v>0</v>
      </c>
      <c r="T295" s="46">
        <f t="shared" si="82"/>
        <v>0</v>
      </c>
      <c r="U295" s="46">
        <f t="shared" si="82"/>
        <v>0</v>
      </c>
      <c r="V295" s="46">
        <f t="shared" si="82"/>
        <v>0</v>
      </c>
      <c r="W295" s="46">
        <f t="shared" si="82"/>
        <v>0</v>
      </c>
      <c r="X295" s="46">
        <f t="shared" si="82"/>
        <v>0</v>
      </c>
      <c r="Y295" s="46">
        <f t="shared" si="82"/>
        <v>0</v>
      </c>
      <c r="Z295" s="46">
        <f t="shared" si="82"/>
        <v>0</v>
      </c>
      <c r="AA295" s="46">
        <f t="shared" si="82"/>
        <v>0</v>
      </c>
      <c r="AB295" s="46">
        <f t="shared" si="82"/>
        <v>0</v>
      </c>
      <c r="AC295" s="46">
        <f t="shared" si="82"/>
        <v>0</v>
      </c>
      <c r="AD295" s="46">
        <f t="shared" si="82"/>
        <v>0</v>
      </c>
      <c r="AE295" s="46">
        <f t="shared" si="82"/>
        <v>0</v>
      </c>
      <c r="AF295" s="46">
        <f t="shared" si="82"/>
        <v>0</v>
      </c>
      <c r="AG295" s="46">
        <f t="shared" si="82"/>
        <v>0</v>
      </c>
      <c r="AH295" s="46">
        <f t="shared" si="82"/>
        <v>0</v>
      </c>
      <c r="AI295" s="46">
        <f t="shared" si="82"/>
        <v>0</v>
      </c>
      <c r="AJ295" s="46">
        <f t="shared" si="82"/>
        <v>0</v>
      </c>
      <c r="AK295" s="46">
        <f t="shared" si="82"/>
        <v>0</v>
      </c>
      <c r="AL295" s="46">
        <f t="shared" si="82"/>
        <v>0</v>
      </c>
      <c r="AM295" s="46">
        <f t="shared" si="82"/>
        <v>0</v>
      </c>
      <c r="AN295" s="46">
        <f t="shared" si="82"/>
        <v>0</v>
      </c>
      <c r="AO295" s="46">
        <f t="shared" si="82"/>
        <v>0</v>
      </c>
      <c r="AP295" s="46">
        <f t="shared" si="82"/>
        <v>0</v>
      </c>
      <c r="AQ295" s="46">
        <f t="shared" si="82"/>
        <v>0</v>
      </c>
      <c r="AR295" s="46">
        <f t="shared" si="82"/>
        <v>0</v>
      </c>
      <c r="AS295" s="46">
        <f t="shared" si="82"/>
        <v>0</v>
      </c>
      <c r="AT295" s="46">
        <f t="shared" si="82"/>
        <v>0</v>
      </c>
      <c r="AU295" s="46">
        <f t="shared" si="82"/>
        <v>0</v>
      </c>
      <c r="AV295" s="46">
        <f t="shared" si="82"/>
        <v>0</v>
      </c>
      <c r="AW295" s="46">
        <f t="shared" si="82"/>
        <v>0</v>
      </c>
      <c r="AX295" s="46">
        <f t="shared" si="82"/>
        <v>0</v>
      </c>
      <c r="AY295" s="46">
        <f t="shared" si="82"/>
        <v>0</v>
      </c>
      <c r="AZ295" s="46">
        <f t="shared" si="82"/>
        <v>0</v>
      </c>
      <c r="BA295" s="46">
        <f t="shared" si="82"/>
        <v>0</v>
      </c>
      <c r="BB295" s="46">
        <f t="shared" si="82"/>
        <v>0</v>
      </c>
      <c r="BC295" s="46">
        <f t="shared" si="82"/>
        <v>0</v>
      </c>
      <c r="BD295" s="46">
        <f t="shared" si="82"/>
        <v>0</v>
      </c>
      <c r="BE295" s="46">
        <f t="shared" si="82"/>
        <v>0</v>
      </c>
      <c r="BF295" s="46">
        <f t="shared" si="82"/>
        <v>0</v>
      </c>
      <c r="BG295" s="46">
        <f t="shared" si="82"/>
        <v>0</v>
      </c>
      <c r="BH295" s="46">
        <f t="shared" si="82"/>
        <v>0</v>
      </c>
      <c r="BI295" s="46">
        <f t="shared" si="82"/>
        <v>0</v>
      </c>
      <c r="BJ295" s="46">
        <f t="shared" si="82"/>
        <v>0</v>
      </c>
      <c r="BK295" s="46">
        <f t="shared" si="82"/>
        <v>0</v>
      </c>
      <c r="BL295" s="46">
        <f t="shared" si="82"/>
        <v>0</v>
      </c>
      <c r="BM295" s="50">
        <f t="shared" si="71"/>
        <v>0</v>
      </c>
    </row>
    <row r="296" spans="6:65" ht="21" x14ac:dyDescent="0.15">
      <c r="F296" s="12" t="s">
        <v>930</v>
      </c>
      <c r="G296" s="206" t="s">
        <v>871</v>
      </c>
      <c r="H296" s="53" t="s">
        <v>577</v>
      </c>
      <c r="I296" s="45">
        <f t="shared" si="65"/>
        <v>0</v>
      </c>
      <c r="J296" s="56">
        <f t="shared" si="66"/>
        <v>0</v>
      </c>
      <c r="K296" s="56">
        <f t="shared" si="67"/>
        <v>0</v>
      </c>
      <c r="L296" s="56">
        <f t="shared" si="68"/>
        <v>0</v>
      </c>
      <c r="M296" s="56">
        <f t="shared" si="69"/>
        <v>0</v>
      </c>
      <c r="N296" s="56">
        <f t="shared" si="70"/>
        <v>0</v>
      </c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50">
        <f t="shared" si="71"/>
        <v>0</v>
      </c>
    </row>
    <row r="297" spans="6:65" x14ac:dyDescent="0.15">
      <c r="F297" s="12" t="s">
        <v>930</v>
      </c>
      <c r="G297" s="206" t="s">
        <v>572</v>
      </c>
      <c r="H297" s="4" t="s">
        <v>579</v>
      </c>
      <c r="I297" s="45">
        <f t="shared" si="65"/>
        <v>0</v>
      </c>
      <c r="J297" s="56">
        <f t="shared" si="66"/>
        <v>0</v>
      </c>
      <c r="K297" s="56">
        <f t="shared" si="67"/>
        <v>0</v>
      </c>
      <c r="L297" s="56">
        <f t="shared" si="68"/>
        <v>0</v>
      </c>
      <c r="M297" s="56">
        <f t="shared" si="69"/>
        <v>0</v>
      </c>
      <c r="N297" s="56">
        <f t="shared" si="70"/>
        <v>0</v>
      </c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50">
        <f t="shared" si="71"/>
        <v>0</v>
      </c>
    </row>
    <row r="298" spans="6:65" x14ac:dyDescent="0.15">
      <c r="F298" s="12" t="s">
        <v>930</v>
      </c>
      <c r="G298" s="206" t="s">
        <v>574</v>
      </c>
      <c r="H298" s="4" t="s">
        <v>581</v>
      </c>
      <c r="I298" s="45">
        <f t="shared" si="65"/>
        <v>0</v>
      </c>
      <c r="J298" s="56">
        <f t="shared" si="66"/>
        <v>0</v>
      </c>
      <c r="K298" s="56">
        <f t="shared" si="67"/>
        <v>0</v>
      </c>
      <c r="L298" s="56">
        <f t="shared" si="68"/>
        <v>0</v>
      </c>
      <c r="M298" s="56">
        <f t="shared" si="69"/>
        <v>0</v>
      </c>
      <c r="N298" s="56">
        <f t="shared" si="70"/>
        <v>0</v>
      </c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50">
        <f t="shared" si="71"/>
        <v>0</v>
      </c>
    </row>
    <row r="299" spans="6:65" x14ac:dyDescent="0.15">
      <c r="F299" s="12" t="s">
        <v>930</v>
      </c>
      <c r="G299" s="206" t="s">
        <v>576</v>
      </c>
      <c r="H299" s="53" t="s">
        <v>583</v>
      </c>
      <c r="I299" s="45">
        <f t="shared" si="65"/>
        <v>0</v>
      </c>
      <c r="J299" s="56">
        <f t="shared" si="66"/>
        <v>0</v>
      </c>
      <c r="K299" s="56">
        <f t="shared" si="67"/>
        <v>0</v>
      </c>
      <c r="L299" s="56">
        <f t="shared" si="68"/>
        <v>0</v>
      </c>
      <c r="M299" s="56">
        <f t="shared" si="69"/>
        <v>0</v>
      </c>
      <c r="N299" s="56">
        <f t="shared" si="70"/>
        <v>0</v>
      </c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50">
        <f t="shared" si="71"/>
        <v>0</v>
      </c>
    </row>
    <row r="300" spans="6:65" x14ac:dyDescent="0.15">
      <c r="F300" s="12" t="s">
        <v>930</v>
      </c>
      <c r="G300" s="206" t="s">
        <v>578</v>
      </c>
      <c r="H300" s="4" t="s">
        <v>585</v>
      </c>
      <c r="I300" s="45">
        <f t="shared" si="65"/>
        <v>0</v>
      </c>
      <c r="J300" s="56">
        <f t="shared" si="66"/>
        <v>0</v>
      </c>
      <c r="K300" s="56">
        <f t="shared" si="67"/>
        <v>0</v>
      </c>
      <c r="L300" s="56">
        <f t="shared" si="68"/>
        <v>0</v>
      </c>
      <c r="M300" s="56">
        <f t="shared" si="69"/>
        <v>0</v>
      </c>
      <c r="N300" s="56">
        <f t="shared" si="70"/>
        <v>0</v>
      </c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50">
        <f t="shared" si="71"/>
        <v>0</v>
      </c>
    </row>
    <row r="301" spans="6:65" x14ac:dyDescent="0.15">
      <c r="F301" s="12" t="s">
        <v>930</v>
      </c>
      <c r="G301" s="206" t="s">
        <v>580</v>
      </c>
      <c r="H301" s="4" t="s">
        <v>587</v>
      </c>
      <c r="I301" s="45">
        <f t="shared" si="65"/>
        <v>0</v>
      </c>
      <c r="J301" s="56">
        <f t="shared" si="66"/>
        <v>0</v>
      </c>
      <c r="K301" s="56">
        <f t="shared" si="67"/>
        <v>0</v>
      </c>
      <c r="L301" s="56">
        <f t="shared" si="68"/>
        <v>0</v>
      </c>
      <c r="M301" s="56">
        <f t="shared" si="69"/>
        <v>0</v>
      </c>
      <c r="N301" s="56">
        <f t="shared" si="70"/>
        <v>0</v>
      </c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50">
        <f t="shared" si="71"/>
        <v>0</v>
      </c>
    </row>
    <row r="302" spans="6:65" x14ac:dyDescent="0.15">
      <c r="F302" s="12" t="s">
        <v>928</v>
      </c>
      <c r="G302" s="205" t="s">
        <v>582</v>
      </c>
      <c r="H302" s="53" t="s">
        <v>588</v>
      </c>
      <c r="I302" s="45">
        <f t="shared" si="65"/>
        <v>0</v>
      </c>
      <c r="J302" s="56">
        <f t="shared" si="66"/>
        <v>0</v>
      </c>
      <c r="K302" s="56">
        <f t="shared" si="67"/>
        <v>0</v>
      </c>
      <c r="L302" s="56">
        <f t="shared" si="68"/>
        <v>0</v>
      </c>
      <c r="M302" s="56">
        <f t="shared" si="69"/>
        <v>0</v>
      </c>
      <c r="N302" s="56">
        <f t="shared" si="70"/>
        <v>0</v>
      </c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50">
        <f t="shared" si="71"/>
        <v>0</v>
      </c>
    </row>
    <row r="303" spans="6:65" x14ac:dyDescent="0.15">
      <c r="F303" s="12" t="s">
        <v>932</v>
      </c>
      <c r="G303" s="205" t="s">
        <v>584</v>
      </c>
      <c r="H303" s="4" t="s">
        <v>590</v>
      </c>
      <c r="I303" s="45">
        <f t="shared" si="65"/>
        <v>0</v>
      </c>
      <c r="J303" s="56">
        <f t="shared" si="66"/>
        <v>0</v>
      </c>
      <c r="K303" s="56">
        <f t="shared" si="67"/>
        <v>0</v>
      </c>
      <c r="L303" s="56">
        <f t="shared" si="68"/>
        <v>0</v>
      </c>
      <c r="M303" s="56">
        <f t="shared" si="69"/>
        <v>0</v>
      </c>
      <c r="N303" s="56">
        <f t="shared" si="70"/>
        <v>0</v>
      </c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50">
        <f t="shared" si="71"/>
        <v>0</v>
      </c>
    </row>
    <row r="304" spans="6:65" x14ac:dyDescent="0.15">
      <c r="F304" s="12" t="s">
        <v>929</v>
      </c>
      <c r="G304" s="205" t="s">
        <v>586</v>
      </c>
      <c r="H304" s="4" t="s">
        <v>592</v>
      </c>
      <c r="I304" s="45">
        <f t="shared" si="65"/>
        <v>0</v>
      </c>
      <c r="J304" s="56">
        <f t="shared" si="66"/>
        <v>0</v>
      </c>
      <c r="K304" s="56">
        <f t="shared" si="67"/>
        <v>0</v>
      </c>
      <c r="L304" s="56">
        <f t="shared" si="68"/>
        <v>0</v>
      </c>
      <c r="M304" s="56">
        <f t="shared" si="69"/>
        <v>0</v>
      </c>
      <c r="N304" s="56">
        <f t="shared" si="70"/>
        <v>0</v>
      </c>
      <c r="O304" s="46">
        <f t="shared" ref="O304:BL304" si="83">SUM(O305:O309)</f>
        <v>0</v>
      </c>
      <c r="P304" s="46">
        <f t="shared" si="83"/>
        <v>0</v>
      </c>
      <c r="Q304" s="46">
        <f t="shared" si="83"/>
        <v>0</v>
      </c>
      <c r="R304" s="46">
        <f t="shared" si="83"/>
        <v>0</v>
      </c>
      <c r="S304" s="46">
        <f t="shared" si="83"/>
        <v>0</v>
      </c>
      <c r="T304" s="46">
        <f t="shared" si="83"/>
        <v>0</v>
      </c>
      <c r="U304" s="46">
        <f t="shared" si="83"/>
        <v>0</v>
      </c>
      <c r="V304" s="46">
        <f t="shared" si="83"/>
        <v>0</v>
      </c>
      <c r="W304" s="46">
        <f t="shared" si="83"/>
        <v>0</v>
      </c>
      <c r="X304" s="46">
        <f t="shared" si="83"/>
        <v>0</v>
      </c>
      <c r="Y304" s="46">
        <f t="shared" si="83"/>
        <v>0</v>
      </c>
      <c r="Z304" s="46">
        <f t="shared" si="83"/>
        <v>0</v>
      </c>
      <c r="AA304" s="46">
        <f t="shared" si="83"/>
        <v>0</v>
      </c>
      <c r="AB304" s="46">
        <f t="shared" si="83"/>
        <v>0</v>
      </c>
      <c r="AC304" s="46">
        <f t="shared" si="83"/>
        <v>0</v>
      </c>
      <c r="AD304" s="46">
        <f t="shared" si="83"/>
        <v>0</v>
      </c>
      <c r="AE304" s="46">
        <f t="shared" si="83"/>
        <v>0</v>
      </c>
      <c r="AF304" s="46">
        <f t="shared" si="83"/>
        <v>0</v>
      </c>
      <c r="AG304" s="46">
        <f t="shared" si="83"/>
        <v>0</v>
      </c>
      <c r="AH304" s="46">
        <f t="shared" si="83"/>
        <v>0</v>
      </c>
      <c r="AI304" s="46">
        <f t="shared" si="83"/>
        <v>0</v>
      </c>
      <c r="AJ304" s="46">
        <f t="shared" si="83"/>
        <v>0</v>
      </c>
      <c r="AK304" s="46">
        <f t="shared" si="83"/>
        <v>0</v>
      </c>
      <c r="AL304" s="46">
        <f t="shared" si="83"/>
        <v>0</v>
      </c>
      <c r="AM304" s="46">
        <f t="shared" si="83"/>
        <v>0</v>
      </c>
      <c r="AN304" s="46">
        <f t="shared" si="83"/>
        <v>0</v>
      </c>
      <c r="AO304" s="46">
        <f t="shared" si="83"/>
        <v>0</v>
      </c>
      <c r="AP304" s="46">
        <f t="shared" si="83"/>
        <v>0</v>
      </c>
      <c r="AQ304" s="46">
        <f t="shared" si="83"/>
        <v>0</v>
      </c>
      <c r="AR304" s="46">
        <f t="shared" si="83"/>
        <v>0</v>
      </c>
      <c r="AS304" s="46">
        <f t="shared" si="83"/>
        <v>0</v>
      </c>
      <c r="AT304" s="46">
        <f t="shared" si="83"/>
        <v>0</v>
      </c>
      <c r="AU304" s="46">
        <f t="shared" si="83"/>
        <v>0</v>
      </c>
      <c r="AV304" s="46">
        <f t="shared" si="83"/>
        <v>0</v>
      </c>
      <c r="AW304" s="46">
        <f t="shared" si="83"/>
        <v>0</v>
      </c>
      <c r="AX304" s="46">
        <f t="shared" si="83"/>
        <v>0</v>
      </c>
      <c r="AY304" s="46">
        <f t="shared" si="83"/>
        <v>0</v>
      </c>
      <c r="AZ304" s="46">
        <f t="shared" si="83"/>
        <v>0</v>
      </c>
      <c r="BA304" s="46">
        <f t="shared" si="83"/>
        <v>0</v>
      </c>
      <c r="BB304" s="46">
        <f t="shared" si="83"/>
        <v>0</v>
      </c>
      <c r="BC304" s="46">
        <f t="shared" si="83"/>
        <v>0</v>
      </c>
      <c r="BD304" s="46">
        <f t="shared" si="83"/>
        <v>0</v>
      </c>
      <c r="BE304" s="46">
        <f t="shared" si="83"/>
        <v>0</v>
      </c>
      <c r="BF304" s="46">
        <f t="shared" si="83"/>
        <v>0</v>
      </c>
      <c r="BG304" s="46">
        <f t="shared" si="83"/>
        <v>0</v>
      </c>
      <c r="BH304" s="46">
        <f t="shared" si="83"/>
        <v>0</v>
      </c>
      <c r="BI304" s="46">
        <f t="shared" si="83"/>
        <v>0</v>
      </c>
      <c r="BJ304" s="46">
        <f t="shared" si="83"/>
        <v>0</v>
      </c>
      <c r="BK304" s="46">
        <f t="shared" si="83"/>
        <v>0</v>
      </c>
      <c r="BL304" s="46">
        <f t="shared" si="83"/>
        <v>0</v>
      </c>
      <c r="BM304" s="50">
        <f t="shared" si="71"/>
        <v>0</v>
      </c>
    </row>
    <row r="305" spans="6:65" ht="21" x14ac:dyDescent="0.15">
      <c r="F305" s="12" t="s">
        <v>929</v>
      </c>
      <c r="G305" s="206" t="s">
        <v>872</v>
      </c>
      <c r="H305" s="53" t="s">
        <v>594</v>
      </c>
      <c r="I305" s="45">
        <f t="shared" si="65"/>
        <v>0</v>
      </c>
      <c r="J305" s="56">
        <f t="shared" si="66"/>
        <v>0</v>
      </c>
      <c r="K305" s="56">
        <f t="shared" si="67"/>
        <v>0</v>
      </c>
      <c r="L305" s="56">
        <f t="shared" si="68"/>
        <v>0</v>
      </c>
      <c r="M305" s="56">
        <f t="shared" si="69"/>
        <v>0</v>
      </c>
      <c r="N305" s="56">
        <f t="shared" si="70"/>
        <v>0</v>
      </c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50">
        <f t="shared" si="71"/>
        <v>0</v>
      </c>
    </row>
    <row r="306" spans="6:65" x14ac:dyDescent="0.15">
      <c r="F306" s="12" t="s">
        <v>929</v>
      </c>
      <c r="G306" s="206" t="s">
        <v>589</v>
      </c>
      <c r="H306" s="4" t="s">
        <v>596</v>
      </c>
      <c r="I306" s="45">
        <f t="shared" si="65"/>
        <v>0</v>
      </c>
      <c r="J306" s="56">
        <f t="shared" si="66"/>
        <v>0</v>
      </c>
      <c r="K306" s="56">
        <f t="shared" si="67"/>
        <v>0</v>
      </c>
      <c r="L306" s="56">
        <f t="shared" si="68"/>
        <v>0</v>
      </c>
      <c r="M306" s="56">
        <f t="shared" si="69"/>
        <v>0</v>
      </c>
      <c r="N306" s="56">
        <f t="shared" si="70"/>
        <v>0</v>
      </c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50">
        <f t="shared" si="71"/>
        <v>0</v>
      </c>
    </row>
    <row r="307" spans="6:65" x14ac:dyDescent="0.15">
      <c r="F307" s="12" t="s">
        <v>929</v>
      </c>
      <c r="G307" s="206" t="s">
        <v>591</v>
      </c>
      <c r="H307" s="4" t="s">
        <v>598</v>
      </c>
      <c r="I307" s="45">
        <f t="shared" si="65"/>
        <v>0</v>
      </c>
      <c r="J307" s="56">
        <f t="shared" si="66"/>
        <v>0</v>
      </c>
      <c r="K307" s="56">
        <f t="shared" si="67"/>
        <v>0</v>
      </c>
      <c r="L307" s="56">
        <f t="shared" si="68"/>
        <v>0</v>
      </c>
      <c r="M307" s="56">
        <f t="shared" si="69"/>
        <v>0</v>
      </c>
      <c r="N307" s="56">
        <f t="shared" si="70"/>
        <v>0</v>
      </c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50">
        <f t="shared" si="71"/>
        <v>0</v>
      </c>
    </row>
    <row r="308" spans="6:65" x14ac:dyDescent="0.15">
      <c r="F308" s="12" t="s">
        <v>929</v>
      </c>
      <c r="G308" s="206" t="s">
        <v>593</v>
      </c>
      <c r="H308" s="53" t="s">
        <v>599</v>
      </c>
      <c r="I308" s="45">
        <f t="shared" si="65"/>
        <v>0</v>
      </c>
      <c r="J308" s="56">
        <f t="shared" si="66"/>
        <v>0</v>
      </c>
      <c r="K308" s="56">
        <f t="shared" si="67"/>
        <v>0</v>
      </c>
      <c r="L308" s="56">
        <f t="shared" si="68"/>
        <v>0</v>
      </c>
      <c r="M308" s="56">
        <f t="shared" si="69"/>
        <v>0</v>
      </c>
      <c r="N308" s="56">
        <f t="shared" si="70"/>
        <v>0</v>
      </c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50">
        <f t="shared" si="71"/>
        <v>0</v>
      </c>
    </row>
    <row r="309" spans="6:65" x14ac:dyDescent="0.15">
      <c r="F309" s="12" t="s">
        <v>929</v>
      </c>
      <c r="G309" s="206" t="s">
        <v>595</v>
      </c>
      <c r="H309" s="4" t="s">
        <v>601</v>
      </c>
      <c r="I309" s="45">
        <f t="shared" si="65"/>
        <v>0</v>
      </c>
      <c r="J309" s="56">
        <f t="shared" si="66"/>
        <v>0</v>
      </c>
      <c r="K309" s="56">
        <f t="shared" si="67"/>
        <v>0</v>
      </c>
      <c r="L309" s="56">
        <f t="shared" si="68"/>
        <v>0</v>
      </c>
      <c r="M309" s="56">
        <f t="shared" si="69"/>
        <v>0</v>
      </c>
      <c r="N309" s="56">
        <f t="shared" si="70"/>
        <v>0</v>
      </c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50">
        <f t="shared" si="71"/>
        <v>0</v>
      </c>
    </row>
    <row r="310" spans="6:65" x14ac:dyDescent="0.15">
      <c r="F310" s="12" t="s">
        <v>930</v>
      </c>
      <c r="G310" s="205" t="s">
        <v>597</v>
      </c>
      <c r="H310" s="4" t="s">
        <v>603</v>
      </c>
      <c r="I310" s="45">
        <f t="shared" si="65"/>
        <v>0</v>
      </c>
      <c r="J310" s="56">
        <f t="shared" si="66"/>
        <v>0</v>
      </c>
      <c r="K310" s="56">
        <f t="shared" si="67"/>
        <v>0</v>
      </c>
      <c r="L310" s="56">
        <f t="shared" si="68"/>
        <v>0</v>
      </c>
      <c r="M310" s="56">
        <f t="shared" si="69"/>
        <v>0</v>
      </c>
      <c r="N310" s="56">
        <f t="shared" si="70"/>
        <v>0</v>
      </c>
      <c r="O310" s="46">
        <f t="shared" ref="O310:BL310" si="84">SUM(O311:O312)</f>
        <v>0</v>
      </c>
      <c r="P310" s="46">
        <f t="shared" si="84"/>
        <v>0</v>
      </c>
      <c r="Q310" s="46">
        <f t="shared" si="84"/>
        <v>0</v>
      </c>
      <c r="R310" s="46">
        <f t="shared" si="84"/>
        <v>0</v>
      </c>
      <c r="S310" s="46">
        <f t="shared" si="84"/>
        <v>0</v>
      </c>
      <c r="T310" s="46">
        <f t="shared" si="84"/>
        <v>0</v>
      </c>
      <c r="U310" s="46">
        <f t="shared" si="84"/>
        <v>0</v>
      </c>
      <c r="V310" s="46">
        <f t="shared" si="84"/>
        <v>0</v>
      </c>
      <c r="W310" s="46">
        <f t="shared" si="84"/>
        <v>0</v>
      </c>
      <c r="X310" s="46">
        <f t="shared" si="84"/>
        <v>0</v>
      </c>
      <c r="Y310" s="46">
        <f t="shared" si="84"/>
        <v>0</v>
      </c>
      <c r="Z310" s="46">
        <f t="shared" si="84"/>
        <v>0</v>
      </c>
      <c r="AA310" s="46">
        <f t="shared" si="84"/>
        <v>0</v>
      </c>
      <c r="AB310" s="46">
        <f t="shared" si="84"/>
        <v>0</v>
      </c>
      <c r="AC310" s="46">
        <f t="shared" si="84"/>
        <v>0</v>
      </c>
      <c r="AD310" s="46">
        <f t="shared" si="84"/>
        <v>0</v>
      </c>
      <c r="AE310" s="46">
        <f t="shared" si="84"/>
        <v>0</v>
      </c>
      <c r="AF310" s="46">
        <f t="shared" si="84"/>
        <v>0</v>
      </c>
      <c r="AG310" s="46">
        <f t="shared" si="84"/>
        <v>0</v>
      </c>
      <c r="AH310" s="46">
        <f t="shared" si="84"/>
        <v>0</v>
      </c>
      <c r="AI310" s="46">
        <f t="shared" si="84"/>
        <v>0</v>
      </c>
      <c r="AJ310" s="46">
        <f t="shared" si="84"/>
        <v>0</v>
      </c>
      <c r="AK310" s="46">
        <f t="shared" si="84"/>
        <v>0</v>
      </c>
      <c r="AL310" s="46">
        <f t="shared" si="84"/>
        <v>0</v>
      </c>
      <c r="AM310" s="46">
        <f t="shared" si="84"/>
        <v>0</v>
      </c>
      <c r="AN310" s="46">
        <f t="shared" si="84"/>
        <v>0</v>
      </c>
      <c r="AO310" s="46">
        <f t="shared" si="84"/>
        <v>0</v>
      </c>
      <c r="AP310" s="46">
        <f t="shared" si="84"/>
        <v>0</v>
      </c>
      <c r="AQ310" s="46">
        <f t="shared" si="84"/>
        <v>0</v>
      </c>
      <c r="AR310" s="46">
        <f t="shared" si="84"/>
        <v>0</v>
      </c>
      <c r="AS310" s="46">
        <f t="shared" si="84"/>
        <v>0</v>
      </c>
      <c r="AT310" s="46">
        <f t="shared" si="84"/>
        <v>0</v>
      </c>
      <c r="AU310" s="46">
        <f t="shared" si="84"/>
        <v>0</v>
      </c>
      <c r="AV310" s="46">
        <f t="shared" si="84"/>
        <v>0</v>
      </c>
      <c r="AW310" s="46">
        <f t="shared" si="84"/>
        <v>0</v>
      </c>
      <c r="AX310" s="46">
        <f t="shared" si="84"/>
        <v>0</v>
      </c>
      <c r="AY310" s="46">
        <f t="shared" si="84"/>
        <v>0</v>
      </c>
      <c r="AZ310" s="46">
        <f t="shared" si="84"/>
        <v>0</v>
      </c>
      <c r="BA310" s="46">
        <f t="shared" si="84"/>
        <v>0</v>
      </c>
      <c r="BB310" s="46">
        <f t="shared" si="84"/>
        <v>0</v>
      </c>
      <c r="BC310" s="46">
        <f t="shared" si="84"/>
        <v>0</v>
      </c>
      <c r="BD310" s="46">
        <f t="shared" si="84"/>
        <v>0</v>
      </c>
      <c r="BE310" s="46">
        <f t="shared" si="84"/>
        <v>0</v>
      </c>
      <c r="BF310" s="46">
        <f t="shared" si="84"/>
        <v>0</v>
      </c>
      <c r="BG310" s="46">
        <f t="shared" si="84"/>
        <v>0</v>
      </c>
      <c r="BH310" s="46">
        <f t="shared" si="84"/>
        <v>0</v>
      </c>
      <c r="BI310" s="46">
        <f t="shared" si="84"/>
        <v>0</v>
      </c>
      <c r="BJ310" s="46">
        <f t="shared" si="84"/>
        <v>0</v>
      </c>
      <c r="BK310" s="46">
        <f t="shared" si="84"/>
        <v>0</v>
      </c>
      <c r="BL310" s="46">
        <f t="shared" si="84"/>
        <v>0</v>
      </c>
      <c r="BM310" s="50">
        <f t="shared" si="71"/>
        <v>0</v>
      </c>
    </row>
    <row r="311" spans="6:65" ht="21" x14ac:dyDescent="0.15">
      <c r="F311" s="12" t="s">
        <v>930</v>
      </c>
      <c r="G311" s="206" t="s">
        <v>888</v>
      </c>
      <c r="H311" s="53" t="s">
        <v>605</v>
      </c>
      <c r="I311" s="45">
        <f t="shared" si="65"/>
        <v>0</v>
      </c>
      <c r="J311" s="56">
        <f t="shared" si="66"/>
        <v>0</v>
      </c>
      <c r="K311" s="56">
        <f t="shared" si="67"/>
        <v>0</v>
      </c>
      <c r="L311" s="56">
        <f t="shared" si="68"/>
        <v>0</v>
      </c>
      <c r="M311" s="56">
        <f t="shared" si="69"/>
        <v>0</v>
      </c>
      <c r="N311" s="56">
        <f t="shared" si="70"/>
        <v>0</v>
      </c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50">
        <f t="shared" si="71"/>
        <v>0</v>
      </c>
    </row>
    <row r="312" spans="6:65" ht="21" x14ac:dyDescent="0.15">
      <c r="F312" s="12" t="s">
        <v>930</v>
      </c>
      <c r="G312" s="206" t="s">
        <v>600</v>
      </c>
      <c r="H312" s="4" t="s">
        <v>607</v>
      </c>
      <c r="I312" s="45">
        <f t="shared" si="65"/>
        <v>0</v>
      </c>
      <c r="J312" s="56">
        <f t="shared" si="66"/>
        <v>0</v>
      </c>
      <c r="K312" s="56">
        <f t="shared" si="67"/>
        <v>0</v>
      </c>
      <c r="L312" s="56">
        <f t="shared" si="68"/>
        <v>0</v>
      </c>
      <c r="M312" s="56">
        <f t="shared" si="69"/>
        <v>0</v>
      </c>
      <c r="N312" s="56">
        <f t="shared" si="70"/>
        <v>0</v>
      </c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50">
        <f t="shared" si="71"/>
        <v>0</v>
      </c>
    </row>
    <row r="313" spans="6:65" x14ac:dyDescent="0.15">
      <c r="F313" s="12" t="s">
        <v>928</v>
      </c>
      <c r="G313" s="205" t="s">
        <v>602</v>
      </c>
      <c r="H313" s="4" t="s">
        <v>609</v>
      </c>
      <c r="I313" s="45">
        <f t="shared" si="65"/>
        <v>0</v>
      </c>
      <c r="J313" s="56">
        <f t="shared" si="66"/>
        <v>0</v>
      </c>
      <c r="K313" s="56">
        <f t="shared" si="67"/>
        <v>0</v>
      </c>
      <c r="L313" s="56">
        <f t="shared" si="68"/>
        <v>0</v>
      </c>
      <c r="M313" s="56">
        <f t="shared" si="69"/>
        <v>0</v>
      </c>
      <c r="N313" s="56">
        <f t="shared" si="70"/>
        <v>0</v>
      </c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50">
        <f t="shared" si="71"/>
        <v>0</v>
      </c>
    </row>
    <row r="314" spans="6:65" x14ac:dyDescent="0.15">
      <c r="F314" s="12" t="s">
        <v>930</v>
      </c>
      <c r="G314" s="205" t="s">
        <v>604</v>
      </c>
      <c r="H314" s="53" t="s">
        <v>611</v>
      </c>
      <c r="I314" s="45">
        <f t="shared" si="65"/>
        <v>0</v>
      </c>
      <c r="J314" s="56">
        <f t="shared" si="66"/>
        <v>0</v>
      </c>
      <c r="K314" s="56">
        <f t="shared" si="67"/>
        <v>0</v>
      </c>
      <c r="L314" s="56">
        <f t="shared" si="68"/>
        <v>0</v>
      </c>
      <c r="M314" s="56">
        <f t="shared" si="69"/>
        <v>0</v>
      </c>
      <c r="N314" s="56">
        <f t="shared" si="70"/>
        <v>0</v>
      </c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50">
        <f t="shared" si="71"/>
        <v>0</v>
      </c>
    </row>
    <row r="315" spans="6:65" x14ac:dyDescent="0.15">
      <c r="F315" s="12" t="s">
        <v>932</v>
      </c>
      <c r="G315" s="205" t="s">
        <v>606</v>
      </c>
      <c r="H315" s="4" t="s">
        <v>613</v>
      </c>
      <c r="I315" s="45">
        <f t="shared" si="65"/>
        <v>0</v>
      </c>
      <c r="J315" s="56">
        <f t="shared" si="66"/>
        <v>0</v>
      </c>
      <c r="K315" s="56">
        <f t="shared" si="67"/>
        <v>0</v>
      </c>
      <c r="L315" s="56">
        <f t="shared" si="68"/>
        <v>0</v>
      </c>
      <c r="M315" s="56">
        <f t="shared" si="69"/>
        <v>0</v>
      </c>
      <c r="N315" s="56">
        <f t="shared" si="70"/>
        <v>0</v>
      </c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50">
        <f t="shared" si="71"/>
        <v>0</v>
      </c>
    </row>
    <row r="316" spans="6:65" x14ac:dyDescent="0.15">
      <c r="F316" s="12" t="s">
        <v>928</v>
      </c>
      <c r="G316" s="205" t="s">
        <v>608</v>
      </c>
      <c r="H316" s="4" t="s">
        <v>615</v>
      </c>
      <c r="I316" s="45">
        <f t="shared" si="65"/>
        <v>0</v>
      </c>
      <c r="J316" s="56">
        <f t="shared" si="66"/>
        <v>0</v>
      </c>
      <c r="K316" s="56">
        <f t="shared" si="67"/>
        <v>0</v>
      </c>
      <c r="L316" s="56">
        <f t="shared" si="68"/>
        <v>0</v>
      </c>
      <c r="M316" s="56">
        <f t="shared" si="69"/>
        <v>0</v>
      </c>
      <c r="N316" s="56">
        <f t="shared" si="70"/>
        <v>0</v>
      </c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50">
        <f t="shared" si="71"/>
        <v>0</v>
      </c>
    </row>
    <row r="317" spans="6:65" x14ac:dyDescent="0.15">
      <c r="F317" s="12" t="s">
        <v>928</v>
      </c>
      <c r="G317" s="205" t="s">
        <v>610</v>
      </c>
      <c r="H317" s="53" t="s">
        <v>617</v>
      </c>
      <c r="I317" s="45">
        <f t="shared" si="65"/>
        <v>0</v>
      </c>
      <c r="J317" s="56">
        <f t="shared" si="66"/>
        <v>0</v>
      </c>
      <c r="K317" s="56">
        <f t="shared" si="67"/>
        <v>0</v>
      </c>
      <c r="L317" s="56">
        <f t="shared" si="68"/>
        <v>0</v>
      </c>
      <c r="M317" s="56">
        <f t="shared" si="69"/>
        <v>0</v>
      </c>
      <c r="N317" s="56">
        <f t="shared" si="70"/>
        <v>0</v>
      </c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50">
        <f t="shared" si="71"/>
        <v>0</v>
      </c>
    </row>
    <row r="318" spans="6:65" x14ac:dyDescent="0.15">
      <c r="F318" s="12" t="s">
        <v>928</v>
      </c>
      <c r="G318" s="205" t="s">
        <v>612</v>
      </c>
      <c r="H318" s="4" t="s">
        <v>619</v>
      </c>
      <c r="I318" s="45">
        <f t="shared" si="65"/>
        <v>0</v>
      </c>
      <c r="J318" s="56">
        <f t="shared" si="66"/>
        <v>0</v>
      </c>
      <c r="K318" s="56">
        <f t="shared" si="67"/>
        <v>0</v>
      </c>
      <c r="L318" s="56">
        <f t="shared" si="68"/>
        <v>0</v>
      </c>
      <c r="M318" s="56">
        <f t="shared" si="69"/>
        <v>0</v>
      </c>
      <c r="N318" s="56">
        <f t="shared" si="70"/>
        <v>0</v>
      </c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50">
        <f t="shared" si="71"/>
        <v>0</v>
      </c>
    </row>
    <row r="319" spans="6:65" x14ac:dyDescent="0.15">
      <c r="F319" s="12" t="s">
        <v>928</v>
      </c>
      <c r="G319" s="205" t="s">
        <v>614</v>
      </c>
      <c r="H319" s="4" t="s">
        <v>621</v>
      </c>
      <c r="I319" s="45">
        <f t="shared" si="65"/>
        <v>0</v>
      </c>
      <c r="J319" s="56">
        <f t="shared" si="66"/>
        <v>0</v>
      </c>
      <c r="K319" s="56">
        <f t="shared" si="67"/>
        <v>0</v>
      </c>
      <c r="L319" s="56">
        <f t="shared" si="68"/>
        <v>0</v>
      </c>
      <c r="M319" s="56">
        <f t="shared" si="69"/>
        <v>0</v>
      </c>
      <c r="N319" s="56">
        <f t="shared" si="70"/>
        <v>0</v>
      </c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50">
        <f t="shared" si="71"/>
        <v>0</v>
      </c>
    </row>
    <row r="320" spans="6:65" x14ac:dyDescent="0.15">
      <c r="F320" s="12" t="s">
        <v>932</v>
      </c>
      <c r="G320" s="205" t="s">
        <v>616</v>
      </c>
      <c r="H320" s="53" t="s">
        <v>623</v>
      </c>
      <c r="I320" s="45">
        <f t="shared" si="65"/>
        <v>0</v>
      </c>
      <c r="J320" s="56">
        <f t="shared" si="66"/>
        <v>0</v>
      </c>
      <c r="K320" s="56">
        <f t="shared" si="67"/>
        <v>0</v>
      </c>
      <c r="L320" s="56">
        <f t="shared" si="68"/>
        <v>0</v>
      </c>
      <c r="M320" s="56">
        <f t="shared" si="69"/>
        <v>0</v>
      </c>
      <c r="N320" s="56">
        <f t="shared" si="70"/>
        <v>0</v>
      </c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50">
        <f t="shared" si="71"/>
        <v>0</v>
      </c>
    </row>
    <row r="321" spans="6:65" x14ac:dyDescent="0.15">
      <c r="F321" s="12" t="s">
        <v>928</v>
      </c>
      <c r="G321" s="205" t="s">
        <v>618</v>
      </c>
      <c r="H321" s="4" t="s">
        <v>898</v>
      </c>
      <c r="I321" s="45">
        <f t="shared" si="65"/>
        <v>0</v>
      </c>
      <c r="J321" s="56">
        <f t="shared" si="66"/>
        <v>0</v>
      </c>
      <c r="K321" s="56">
        <f t="shared" si="67"/>
        <v>0</v>
      </c>
      <c r="L321" s="56">
        <f t="shared" si="68"/>
        <v>0</v>
      </c>
      <c r="M321" s="56">
        <f t="shared" si="69"/>
        <v>0</v>
      </c>
      <c r="N321" s="56">
        <f t="shared" si="70"/>
        <v>0</v>
      </c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50">
        <f t="shared" si="71"/>
        <v>0</v>
      </c>
    </row>
    <row r="322" spans="6:65" x14ac:dyDescent="0.15">
      <c r="F322" s="12" t="s">
        <v>932</v>
      </c>
      <c r="G322" s="205" t="s">
        <v>620</v>
      </c>
      <c r="H322" s="4" t="s">
        <v>899</v>
      </c>
      <c r="I322" s="45">
        <f t="shared" si="65"/>
        <v>0</v>
      </c>
      <c r="J322" s="56">
        <f t="shared" si="66"/>
        <v>0</v>
      </c>
      <c r="K322" s="56">
        <f t="shared" si="67"/>
        <v>0</v>
      </c>
      <c r="L322" s="56">
        <f t="shared" si="68"/>
        <v>0</v>
      </c>
      <c r="M322" s="56">
        <f t="shared" si="69"/>
        <v>0</v>
      </c>
      <c r="N322" s="56">
        <f t="shared" si="70"/>
        <v>0</v>
      </c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50">
        <f t="shared" si="71"/>
        <v>0</v>
      </c>
    </row>
    <row r="323" spans="6:65" x14ac:dyDescent="0.15">
      <c r="G323" s="209" t="s">
        <v>622</v>
      </c>
      <c r="H323" s="53" t="s">
        <v>900</v>
      </c>
      <c r="I323" s="45">
        <f t="shared" ref="I323:O323" si="85">SUM(I11:I17,I20:I26,I31:I34,I39:I45,I52:I53,I56:I64,I68:I70,I73:I76,I81:I88,I91:I102,I105:I110,I118:I119,I124:I150,I153:I159,I164:I165,I171:I174,I180:I195,I199:I210,I217:I223,I229:I233,I240:I243,I247:I250,I255:I271,I277:I278,I284:I287,I294:I295,I302:I304,I310,I313:I322)</f>
        <v>0</v>
      </c>
      <c r="J323" s="45">
        <f t="shared" si="85"/>
        <v>0</v>
      </c>
      <c r="K323" s="45">
        <f t="shared" si="85"/>
        <v>0</v>
      </c>
      <c r="L323" s="45">
        <f t="shared" si="85"/>
        <v>0</v>
      </c>
      <c r="M323" s="45">
        <f t="shared" si="85"/>
        <v>0</v>
      </c>
      <c r="N323" s="45">
        <f t="shared" si="85"/>
        <v>0</v>
      </c>
      <c r="O323" s="45">
        <f t="shared" si="85"/>
        <v>0</v>
      </c>
      <c r="P323" s="45">
        <f t="shared" ref="P323:BL323" si="86">SUM(P11:P17,P20:P26,P31:P34,P39:P45,P52:P53,P56:P64,P68:P70,P73:P76,P81:P88,P91:P102,P105:P110,P118:P119,P124:P150,P153:P159,P164:P165,P171:P174,P180:P195,P199:P210,P217:P223,P229:P233,P240:P243,P247:P250,P255:P271,P277:P278,P284:P287,P294:P295,P302:P304,P310,P313:P322)</f>
        <v>0</v>
      </c>
      <c r="Q323" s="45">
        <f t="shared" si="86"/>
        <v>0</v>
      </c>
      <c r="R323" s="45">
        <f t="shared" si="86"/>
        <v>0</v>
      </c>
      <c r="S323" s="45">
        <f t="shared" si="86"/>
        <v>0</v>
      </c>
      <c r="T323" s="45">
        <f t="shared" si="86"/>
        <v>0</v>
      </c>
      <c r="U323" s="45">
        <f t="shared" si="86"/>
        <v>0</v>
      </c>
      <c r="V323" s="45">
        <f t="shared" si="86"/>
        <v>0</v>
      </c>
      <c r="W323" s="45">
        <f t="shared" si="86"/>
        <v>0</v>
      </c>
      <c r="X323" s="45">
        <f t="shared" si="86"/>
        <v>0</v>
      </c>
      <c r="Y323" s="45">
        <f t="shared" si="86"/>
        <v>0</v>
      </c>
      <c r="Z323" s="45">
        <f t="shared" si="86"/>
        <v>0</v>
      </c>
      <c r="AA323" s="45">
        <f t="shared" si="86"/>
        <v>0</v>
      </c>
      <c r="AB323" s="45">
        <f t="shared" si="86"/>
        <v>0</v>
      </c>
      <c r="AC323" s="45">
        <f t="shared" si="86"/>
        <v>0</v>
      </c>
      <c r="AD323" s="45">
        <f t="shared" si="86"/>
        <v>0</v>
      </c>
      <c r="AE323" s="45">
        <f t="shared" si="86"/>
        <v>0</v>
      </c>
      <c r="AF323" s="45">
        <f t="shared" si="86"/>
        <v>0</v>
      </c>
      <c r="AG323" s="45">
        <f t="shared" si="86"/>
        <v>0</v>
      </c>
      <c r="AH323" s="45">
        <f t="shared" si="86"/>
        <v>0</v>
      </c>
      <c r="AI323" s="45">
        <f t="shared" si="86"/>
        <v>0</v>
      </c>
      <c r="AJ323" s="45">
        <f t="shared" si="86"/>
        <v>0</v>
      </c>
      <c r="AK323" s="45">
        <f t="shared" si="86"/>
        <v>0</v>
      </c>
      <c r="AL323" s="45">
        <f t="shared" si="86"/>
        <v>0</v>
      </c>
      <c r="AM323" s="45">
        <f t="shared" si="86"/>
        <v>0</v>
      </c>
      <c r="AN323" s="45">
        <f t="shared" si="86"/>
        <v>0</v>
      </c>
      <c r="AO323" s="45">
        <f t="shared" si="86"/>
        <v>0</v>
      </c>
      <c r="AP323" s="45">
        <f t="shared" si="86"/>
        <v>0</v>
      </c>
      <c r="AQ323" s="45">
        <f t="shared" si="86"/>
        <v>0</v>
      </c>
      <c r="AR323" s="45">
        <f>SUM(AR11:AR17,AR20:AR26,AR31:AR34,AR39:AR45,AR52:AR53,AR56:AR64,AR68:AR70,AR73:AR76,AR81:AR88,AR91:AR102,AR105:AR110,AR118:AR119,AR124:AR150,AR153:AR159,AR164:AR165,AR171:AR174,AR180:AR195,AR199:AR210,AR217:AR223,AR229:AR233,AR240:AR243,AR247:AR250,AR255:AR271,AR277:AR278,AR284:AR287,AR294:AR295,AR302:AR304,AR310,AR313:AR322)</f>
        <v>0</v>
      </c>
      <c r="AS323" s="45">
        <f>SUM(AS11:AS17,AS20:AS26,AS31:AS34,AS39:AS45,AS52:AS53,AS56:AS64,AS68:AS70,AS73:AS76,AS81:AS88,AS91:AS102,AS105:AS110,AS118:AS119,AS124:AS150,AS153:AS159,AS164:AS165,AS171:AS174,AS180:AS195,AS199:AS210,AS217:AS223,AS229:AS233,AS240:AS243,AS247:AS250,AS255:AS271,AS277:AS278,AS284:AS287,AS294:AS295,AS302:AS304,AS310,AS313:AS322)</f>
        <v>0</v>
      </c>
      <c r="AT323" s="45">
        <f t="shared" si="86"/>
        <v>0</v>
      </c>
      <c r="AU323" s="45">
        <f t="shared" si="86"/>
        <v>0</v>
      </c>
      <c r="AV323" s="45">
        <f t="shared" si="86"/>
        <v>0</v>
      </c>
      <c r="AW323" s="45">
        <f t="shared" si="86"/>
        <v>0</v>
      </c>
      <c r="AX323" s="45">
        <f t="shared" si="86"/>
        <v>0</v>
      </c>
      <c r="AY323" s="45">
        <f t="shared" si="86"/>
        <v>0</v>
      </c>
      <c r="AZ323" s="45">
        <f t="shared" si="86"/>
        <v>0</v>
      </c>
      <c r="BA323" s="45">
        <f t="shared" si="86"/>
        <v>0</v>
      </c>
      <c r="BB323" s="45">
        <f t="shared" si="86"/>
        <v>0</v>
      </c>
      <c r="BC323" s="45">
        <f t="shared" si="86"/>
        <v>0</v>
      </c>
      <c r="BD323" s="45">
        <f t="shared" si="86"/>
        <v>0</v>
      </c>
      <c r="BE323" s="45">
        <f t="shared" si="86"/>
        <v>0</v>
      </c>
      <c r="BF323" s="45">
        <f t="shared" si="86"/>
        <v>0</v>
      </c>
      <c r="BG323" s="45">
        <f t="shared" si="86"/>
        <v>0</v>
      </c>
      <c r="BH323" s="45">
        <f t="shared" si="86"/>
        <v>0</v>
      </c>
      <c r="BI323" s="45">
        <f t="shared" si="86"/>
        <v>0</v>
      </c>
      <c r="BJ323" s="45">
        <f t="shared" si="86"/>
        <v>0</v>
      </c>
      <c r="BK323" s="45">
        <f t="shared" si="86"/>
        <v>0</v>
      </c>
      <c r="BL323" s="45">
        <f t="shared" si="86"/>
        <v>0</v>
      </c>
      <c r="BM323" s="50">
        <f>SUM(I11:BL323)</f>
        <v>0</v>
      </c>
    </row>
  </sheetData>
  <sheetProtection algorithmName="SHA-512" hashValue="w/MCGn46nPYnCTTBaASpplKyx3zPPNzAfiFFc0Jlu6VJ/tmrgaQ3OBEOBUeHOfJNHmOa5B8fPk/ibhwEI1YsrA==" saltValue="NsdMi1rk/sNg9MRG4vpnxw==" spinCount="100000" sheet="1" objects="1" scenarios="1" selectLockedCells="1"/>
  <mergeCells count="15">
    <mergeCell ref="G5:BL5"/>
    <mergeCell ref="G6:G9"/>
    <mergeCell ref="H6:H9"/>
    <mergeCell ref="I6:BL6"/>
    <mergeCell ref="BC7:BG8"/>
    <mergeCell ref="BH7:BL8"/>
    <mergeCell ref="I7:N8"/>
    <mergeCell ref="O7:S8"/>
    <mergeCell ref="T7:X8"/>
    <mergeCell ref="Y7:AC8"/>
    <mergeCell ref="AD7:AH8"/>
    <mergeCell ref="AI7:AM8"/>
    <mergeCell ref="AN7:AR8"/>
    <mergeCell ref="AS7:AW8"/>
    <mergeCell ref="AX7:BB8"/>
  </mergeCells>
  <phoneticPr fontId="20" type="noConversion"/>
  <conditionalFormatting sqref="I11:BL323">
    <cfRule type="expression" dxfId="82" priority="1">
      <formula>MOD(I11,1)&lt;&gt;0</formula>
    </cfRule>
    <cfRule type="expression" dxfId="81" priority="3">
      <formula>ISTEXT(I11)</formula>
    </cfRule>
  </conditionalFormatting>
  <conditionalFormatting sqref="O11:BL16 O18:BL25 O27:BL33 O35:BL44 O46:BL52 O54:BL63 O65:BL69 O71:BL75 O77:BL87 O89:BL101 O103:BL109 O111:BL118 O120:BL149 O151:BL158 O160:BL164 O166:BL173 O175:BL194 O196:BL209 O211:BL222 O224:BL232 O234:BL242 O244:BL249 O251:BL270 O272:BL277 O279:BL286 O288:BL294 O296:BL303 O305:BL309 O311:BL322">
    <cfRule type="expression" dxfId="80" priority="2">
      <formula>_xlfn.ISFORMULA(O11)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638F432B-7F2A-4FC3-AAA2-70AE5A0925A4}">
            <xm:f>'Раздел 2'!$I11=1</xm:f>
            <x14:dxf>
              <fill>
                <patternFill>
                  <bgColor theme="0" tint="-4.9989318521683403E-2"/>
                </patternFill>
              </fill>
            </x14:dxf>
          </x14:cfRule>
          <x14:cfRule type="expression" priority="5" id="{46F59159-748B-4BA3-9EEC-AA7F397EF8D9}">
            <xm:f>AND('Раздел 1'!$H$5=0,'Раздел 2'!$I11=0,($I11+$M11+$N11)&gt;0)</xm:f>
            <x14:dxf>
              <fill>
                <patternFill>
                  <bgColor theme="5" tint="0.79998168889431442"/>
                </patternFill>
              </fill>
            </x14:dxf>
          </x14:cfRule>
          <xm:sqref>O11:BL16 O18:BL25 O27:BL33 O35:BL44 O46:BL52 O54:BL63 O65:BL69 O71:BL75 O77:BL87 O89:BL101 O103:BL109 O111:BL118 O120:BL149 O151:BL158 O160:BL164 O166:BL173 O175:BL194 O196:BL209 O211:BL222 O224:BL232 O234:BL242 O244:BL249 O251:BL270 O272:BL277 O279:BL286 O288:BL294 O296:BL303 O305:BL309 O311:BL322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B416-3839-48BA-A729-74469626360B}">
  <dimension ref="A1:AM323"/>
  <sheetViews>
    <sheetView topLeftCell="A3" zoomScaleNormal="100" workbookViewId="0">
      <pane xSplit="9" ySplit="8" topLeftCell="J313" activePane="bottomRight" state="frozen"/>
      <selection activeCell="H19" sqref="H19:I19"/>
      <selection pane="topRight" activeCell="H19" sqref="H19:I19"/>
      <selection pane="bottomLeft" activeCell="H19" sqref="H19:I19"/>
      <selection pane="bottomRight" activeCell="O320" sqref="O320"/>
    </sheetView>
  </sheetViews>
  <sheetFormatPr defaultColWidth="9.140625" defaultRowHeight="10.5" x14ac:dyDescent="0.15"/>
  <cols>
    <col min="1" max="1" width="4" style="12" hidden="1" customWidth="1"/>
    <col min="2" max="2" width="12.28515625" style="12" hidden="1" customWidth="1"/>
    <col min="3" max="5" width="7.42578125" style="12" hidden="1" customWidth="1"/>
    <col min="6" max="6" width="7.5703125" style="12" hidden="1" customWidth="1"/>
    <col min="7" max="7" width="32.5703125" style="17" customWidth="1"/>
    <col min="8" max="8" width="4.5703125" style="17" customWidth="1"/>
    <col min="9" max="9" width="13.85546875" style="17" customWidth="1"/>
    <col min="10" max="10" width="12" style="17" customWidth="1"/>
    <col min="11" max="11" width="15.5703125" style="17" customWidth="1"/>
    <col min="12" max="13" width="9.28515625" style="17" customWidth="1"/>
    <col min="14" max="15" width="11.140625" style="17" customWidth="1"/>
    <col min="16" max="16" width="19" style="17" customWidth="1"/>
    <col min="17" max="17" width="15.5703125" style="17" customWidth="1"/>
    <col min="18" max="18" width="12" style="17" customWidth="1"/>
    <col min="19" max="20" width="8.5703125" style="17" customWidth="1"/>
    <col min="21" max="21" width="12.28515625" style="17" customWidth="1"/>
    <col min="22" max="23" width="8.5703125" style="17" customWidth="1"/>
    <col min="24" max="25" width="12.7109375" style="17" customWidth="1"/>
    <col min="26" max="26" width="18.28515625" style="17" customWidth="1"/>
    <col min="27" max="27" width="16.140625" style="17" customWidth="1"/>
    <col min="28" max="28" width="12.140625" style="17" customWidth="1"/>
    <col min="29" max="30" width="8" style="17" customWidth="1"/>
    <col min="31" max="33" width="8.85546875" style="17" customWidth="1"/>
    <col min="34" max="34" width="12.5703125" style="17" customWidth="1"/>
    <col min="35" max="35" width="12.42578125" style="17" customWidth="1"/>
    <col min="36" max="38" width="11.7109375" style="17" customWidth="1"/>
    <col min="39" max="39" width="6" style="17" customWidth="1"/>
    <col min="40" max="16384" width="9.140625" style="12"/>
  </cols>
  <sheetData>
    <row r="1" spans="1:39" hidden="1" x14ac:dyDescent="0.15"/>
    <row r="2" spans="1:39" hidden="1" x14ac:dyDescent="0.15"/>
    <row r="3" spans="1:39" ht="12.75" customHeight="1" x14ac:dyDescent="0.15">
      <c r="G3" s="366" t="s">
        <v>692</v>
      </c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366"/>
      <c r="AF3" s="366"/>
      <c r="AG3" s="366"/>
      <c r="AH3" s="366"/>
      <c r="AI3" s="366"/>
      <c r="AJ3" s="366"/>
      <c r="AK3" s="366"/>
      <c r="AL3" s="366"/>
    </row>
    <row r="4" spans="1:39" ht="15" customHeight="1" x14ac:dyDescent="0.15">
      <c r="G4" s="367" t="s">
        <v>1</v>
      </c>
      <c r="H4" s="370" t="s">
        <v>2</v>
      </c>
      <c r="I4" s="347" t="s">
        <v>693</v>
      </c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47"/>
      <c r="AL4" s="347"/>
    </row>
    <row r="5" spans="1:39" ht="27.75" customHeight="1" x14ac:dyDescent="0.15">
      <c r="G5" s="368"/>
      <c r="H5" s="371"/>
      <c r="I5" s="347" t="s">
        <v>694</v>
      </c>
      <c r="J5" s="347" t="s">
        <v>695</v>
      </c>
      <c r="K5" s="347" t="s">
        <v>696</v>
      </c>
      <c r="L5" s="347" t="s">
        <v>697</v>
      </c>
      <c r="M5" s="347"/>
      <c r="N5" s="347"/>
      <c r="O5" s="347"/>
      <c r="P5" s="347"/>
      <c r="Q5" s="347"/>
      <c r="R5" s="347"/>
      <c r="S5" s="347"/>
      <c r="T5" s="347"/>
      <c r="U5" s="347" t="s">
        <v>698</v>
      </c>
      <c r="V5" s="347"/>
      <c r="W5" s="347"/>
      <c r="X5" s="347"/>
      <c r="Y5" s="347"/>
      <c r="Z5" s="347"/>
      <c r="AA5" s="347"/>
      <c r="AB5" s="347"/>
      <c r="AC5" s="347"/>
      <c r="AD5" s="347"/>
      <c r="AE5" s="374" t="s">
        <v>699</v>
      </c>
      <c r="AF5" s="374"/>
      <c r="AG5" s="374"/>
      <c r="AH5" s="374"/>
      <c r="AI5" s="374"/>
      <c r="AJ5" s="354" t="s">
        <v>768</v>
      </c>
      <c r="AK5" s="355"/>
      <c r="AL5" s="356"/>
    </row>
    <row r="6" spans="1:39" ht="33" customHeight="1" x14ac:dyDescent="0.15">
      <c r="G6" s="368"/>
      <c r="H6" s="371"/>
      <c r="I6" s="347"/>
      <c r="J6" s="347"/>
      <c r="K6" s="347"/>
      <c r="L6" s="347" t="s">
        <v>700</v>
      </c>
      <c r="M6" s="347"/>
      <c r="N6" s="347"/>
      <c r="O6" s="347"/>
      <c r="P6" s="347"/>
      <c r="Q6" s="347" t="s">
        <v>701</v>
      </c>
      <c r="R6" s="347" t="s">
        <v>702</v>
      </c>
      <c r="S6" s="347" t="s">
        <v>703</v>
      </c>
      <c r="T6" s="347"/>
      <c r="U6" s="347" t="s">
        <v>704</v>
      </c>
      <c r="V6" s="347" t="s">
        <v>700</v>
      </c>
      <c r="W6" s="347"/>
      <c r="X6" s="347"/>
      <c r="Y6" s="347"/>
      <c r="Z6" s="347"/>
      <c r="AA6" s="347" t="s">
        <v>701</v>
      </c>
      <c r="AB6" s="347" t="s">
        <v>702</v>
      </c>
      <c r="AC6" s="347" t="s">
        <v>703</v>
      </c>
      <c r="AD6" s="347"/>
      <c r="AE6" s="344" t="s">
        <v>705</v>
      </c>
      <c r="AF6" s="344"/>
      <c r="AG6" s="344"/>
      <c r="AH6" s="344" t="s">
        <v>706</v>
      </c>
      <c r="AI6" s="343" t="s">
        <v>926</v>
      </c>
      <c r="AJ6" s="357"/>
      <c r="AK6" s="358"/>
      <c r="AL6" s="359"/>
    </row>
    <row r="7" spans="1:39" ht="18" customHeight="1" x14ac:dyDescent="0.15">
      <c r="G7" s="368"/>
      <c r="H7" s="371"/>
      <c r="I7" s="347"/>
      <c r="J7" s="347"/>
      <c r="K7" s="347"/>
      <c r="L7" s="347" t="s">
        <v>707</v>
      </c>
      <c r="M7" s="347" t="s">
        <v>708</v>
      </c>
      <c r="N7" s="354" t="s">
        <v>769</v>
      </c>
      <c r="O7" s="356"/>
      <c r="P7" s="347" t="s">
        <v>709</v>
      </c>
      <c r="Q7" s="347"/>
      <c r="R7" s="347"/>
      <c r="S7" s="373" t="s">
        <v>710</v>
      </c>
      <c r="T7" s="373" t="s">
        <v>711</v>
      </c>
      <c r="U7" s="347"/>
      <c r="V7" s="347" t="s">
        <v>707</v>
      </c>
      <c r="W7" s="347" t="s">
        <v>708</v>
      </c>
      <c r="X7" s="347" t="s">
        <v>769</v>
      </c>
      <c r="Y7" s="347"/>
      <c r="Z7" s="347" t="s">
        <v>712</v>
      </c>
      <c r="AA7" s="347"/>
      <c r="AB7" s="347"/>
      <c r="AC7" s="373" t="s">
        <v>710</v>
      </c>
      <c r="AD7" s="373" t="s">
        <v>711</v>
      </c>
      <c r="AE7" s="347"/>
      <c r="AF7" s="347"/>
      <c r="AG7" s="347"/>
      <c r="AH7" s="347"/>
      <c r="AI7" s="343"/>
      <c r="AJ7" s="347" t="s">
        <v>713</v>
      </c>
      <c r="AK7" s="347" t="s">
        <v>714</v>
      </c>
      <c r="AL7" s="342" t="s">
        <v>770</v>
      </c>
    </row>
    <row r="8" spans="1:39" ht="24.75" customHeight="1" x14ac:dyDescent="0.15">
      <c r="G8" s="368"/>
      <c r="H8" s="371"/>
      <c r="I8" s="347"/>
      <c r="J8" s="347"/>
      <c r="K8" s="347"/>
      <c r="L8" s="347"/>
      <c r="M8" s="347"/>
      <c r="N8" s="357"/>
      <c r="O8" s="359"/>
      <c r="P8" s="347"/>
      <c r="Q8" s="347"/>
      <c r="R8" s="347"/>
      <c r="S8" s="373"/>
      <c r="T8" s="373"/>
      <c r="U8" s="347"/>
      <c r="V8" s="347"/>
      <c r="W8" s="347"/>
      <c r="X8" s="347"/>
      <c r="Y8" s="347"/>
      <c r="Z8" s="347"/>
      <c r="AA8" s="347"/>
      <c r="AB8" s="347"/>
      <c r="AC8" s="373"/>
      <c r="AD8" s="373"/>
      <c r="AE8" s="347" t="s">
        <v>715</v>
      </c>
      <c r="AF8" s="347" t="s">
        <v>716</v>
      </c>
      <c r="AG8" s="347" t="s">
        <v>717</v>
      </c>
      <c r="AH8" s="347"/>
      <c r="AI8" s="343"/>
      <c r="AJ8" s="347"/>
      <c r="AK8" s="347"/>
      <c r="AL8" s="343"/>
    </row>
    <row r="9" spans="1:39" ht="36.75" customHeight="1" x14ac:dyDescent="0.15">
      <c r="G9" s="369"/>
      <c r="H9" s="372"/>
      <c r="I9" s="347"/>
      <c r="J9" s="347"/>
      <c r="K9" s="347"/>
      <c r="L9" s="347"/>
      <c r="M9" s="347"/>
      <c r="N9" s="13" t="s">
        <v>707</v>
      </c>
      <c r="O9" s="13" t="s">
        <v>708</v>
      </c>
      <c r="P9" s="347"/>
      <c r="Q9" s="347"/>
      <c r="R9" s="347"/>
      <c r="S9" s="373"/>
      <c r="T9" s="373"/>
      <c r="U9" s="347"/>
      <c r="V9" s="347"/>
      <c r="W9" s="347"/>
      <c r="X9" s="13" t="s">
        <v>707</v>
      </c>
      <c r="Y9" s="13" t="s">
        <v>708</v>
      </c>
      <c r="Z9" s="347"/>
      <c r="AA9" s="347"/>
      <c r="AB9" s="347"/>
      <c r="AC9" s="373"/>
      <c r="AD9" s="373"/>
      <c r="AE9" s="347"/>
      <c r="AF9" s="347"/>
      <c r="AG9" s="347"/>
      <c r="AH9" s="347"/>
      <c r="AI9" s="344"/>
      <c r="AJ9" s="347"/>
      <c r="AK9" s="347"/>
      <c r="AL9" s="344"/>
    </row>
    <row r="10" spans="1:39" ht="11.25" thickBot="1" x14ac:dyDescent="0.2">
      <c r="A10" s="186">
        <f>'Раздел 0'!M27</f>
        <v>0</v>
      </c>
      <c r="B10" s="185">
        <f>'Раздел 1'!D15</f>
        <v>0</v>
      </c>
      <c r="C10" s="184" t="str" cm="1">
        <f t="array" ref="C10">_xlfn.IFS(SUM('Раздел 1'!$D$5:$D$6)&gt;0,"ФКиС",SUM('Раздел 1'!$D$7:$D$8)&gt;0,"Образование",SUM('Раздел 1'!$D$9:$D$10)&gt;0,"Другая")</f>
        <v>ФКиС</v>
      </c>
      <c r="D10" s="184" t="str" cm="1">
        <f t="array" ref="D10">_xlfn.IFS(SUM('Раздел 1'!$E$12)&gt;0,"СШ",SUM('Раздел 1'!$F$12)&gt;0,"СШОР",SUM('Раздел 1'!$G$12)&gt;0,"УОР",SUM('Раздел 1'!$H$12)&gt;0,"ЦСП",SUM('Раздел 1'!$I$12)&gt;0,"ДРУГИЕ",SUM('Раздел 1'!$E$13)&gt;0,"ОСП СШ",SUM('Раздел 1'!$F$13)&gt;0,"ОСП СШОР",SUM('Раздел 1'!$I$13)&gt;0,"ОСП ДРУГИЕ")</f>
        <v>ЦСП</v>
      </c>
      <c r="E10" s="184">
        <f>IF(SUM('Раздел 1'!$D$12)&gt;0,SUM('Раздел 1'!$D$13),"")</f>
        <v>0</v>
      </c>
      <c r="F10" s="184" t="e" cm="1">
        <f t="array" ref="F10">_xlfn.IFS(SUM('Раздел 1'!$D$19)&gt;0,"РФ",SUM('Раздел 1'!$E$19)&gt;0,"СУБЪЕКТ",SUM('Раздел 1'!$F$19:$G$19)&gt;0,"МУНИЦИПАЛ",SUM('Раздел 1'!$H$19:$I$19)&gt;0,"ИНЫЕ")</f>
        <v>#N/A</v>
      </c>
      <c r="G10" s="55">
        <v>1</v>
      </c>
      <c r="H10" s="55">
        <v>2</v>
      </c>
      <c r="I10" s="149">
        <v>3</v>
      </c>
      <c r="J10" s="149">
        <v>4</v>
      </c>
      <c r="K10" s="149">
        <v>5</v>
      </c>
      <c r="L10" s="149">
        <v>6</v>
      </c>
      <c r="M10" s="149">
        <v>7</v>
      </c>
      <c r="N10" s="149">
        <v>8</v>
      </c>
      <c r="O10" s="149">
        <v>9</v>
      </c>
      <c r="P10" s="149">
        <v>10</v>
      </c>
      <c r="Q10" s="149">
        <v>11</v>
      </c>
      <c r="R10" s="149">
        <v>12</v>
      </c>
      <c r="S10" s="149">
        <v>13</v>
      </c>
      <c r="T10" s="149">
        <v>14</v>
      </c>
      <c r="U10" s="149">
        <v>15</v>
      </c>
      <c r="V10" s="149">
        <v>16</v>
      </c>
      <c r="W10" s="149">
        <v>17</v>
      </c>
      <c r="X10" s="149">
        <v>18</v>
      </c>
      <c r="Y10" s="149">
        <v>19</v>
      </c>
      <c r="Z10" s="149">
        <v>20</v>
      </c>
      <c r="AA10" s="149">
        <v>21</v>
      </c>
      <c r="AB10" s="149">
        <v>22</v>
      </c>
      <c r="AC10" s="149">
        <v>23</v>
      </c>
      <c r="AD10" s="149">
        <v>24</v>
      </c>
      <c r="AE10" s="149">
        <v>25</v>
      </c>
      <c r="AF10" s="149">
        <v>26</v>
      </c>
      <c r="AG10" s="149">
        <v>27</v>
      </c>
      <c r="AH10" s="149">
        <v>28</v>
      </c>
      <c r="AI10" s="149">
        <v>29</v>
      </c>
      <c r="AJ10" s="149">
        <v>30</v>
      </c>
      <c r="AK10" s="149">
        <v>31</v>
      </c>
      <c r="AL10" s="149">
        <v>32</v>
      </c>
      <c r="AM10" s="49">
        <v>33</v>
      </c>
    </row>
    <row r="11" spans="1:39" x14ac:dyDescent="0.15">
      <c r="G11" s="204" t="s">
        <v>21</v>
      </c>
      <c r="H11" s="53" t="s">
        <v>22</v>
      </c>
      <c r="I11" s="56">
        <f>J11+U11</f>
        <v>0</v>
      </c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2">
        <f>SUM(I11:AL11)</f>
        <v>0</v>
      </c>
    </row>
    <row r="12" spans="1:39" x14ac:dyDescent="0.15">
      <c r="G12" s="205" t="s">
        <v>23</v>
      </c>
      <c r="H12" s="4" t="s">
        <v>24</v>
      </c>
      <c r="I12" s="45">
        <f t="shared" ref="I12:I75" si="0">J12+U12</f>
        <v>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52">
        <f t="shared" ref="AM12:AM75" si="1">SUM(I12:AL12)</f>
        <v>0</v>
      </c>
    </row>
    <row r="13" spans="1:39" x14ac:dyDescent="0.15">
      <c r="G13" s="205" t="s">
        <v>25</v>
      </c>
      <c r="H13" s="4" t="s">
        <v>26</v>
      </c>
      <c r="I13" s="45">
        <f t="shared" si="0"/>
        <v>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52">
        <f t="shared" si="1"/>
        <v>0</v>
      </c>
    </row>
    <row r="14" spans="1:39" x14ac:dyDescent="0.15">
      <c r="G14" s="205" t="s">
        <v>27</v>
      </c>
      <c r="H14" s="53" t="s">
        <v>28</v>
      </c>
      <c r="I14" s="45">
        <f t="shared" si="0"/>
        <v>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52">
        <f t="shared" si="1"/>
        <v>0</v>
      </c>
    </row>
    <row r="15" spans="1:39" x14ac:dyDescent="0.15">
      <c r="G15" s="205" t="s">
        <v>29</v>
      </c>
      <c r="H15" s="4" t="s">
        <v>30</v>
      </c>
      <c r="I15" s="45">
        <f t="shared" si="0"/>
        <v>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52">
        <f t="shared" si="1"/>
        <v>0</v>
      </c>
    </row>
    <row r="16" spans="1:39" x14ac:dyDescent="0.15">
      <c r="G16" s="205" t="s">
        <v>31</v>
      </c>
      <c r="H16" s="4" t="s">
        <v>32</v>
      </c>
      <c r="I16" s="45">
        <f t="shared" si="0"/>
        <v>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52">
        <f t="shared" si="1"/>
        <v>0</v>
      </c>
    </row>
    <row r="17" spans="7:39" x14ac:dyDescent="0.15">
      <c r="G17" s="205" t="s">
        <v>33</v>
      </c>
      <c r="H17" s="53" t="s">
        <v>34</v>
      </c>
      <c r="I17" s="45">
        <f t="shared" si="0"/>
        <v>0</v>
      </c>
      <c r="J17" s="45">
        <f t="shared" ref="J17:AL17" si="2">SUM(J18:J19)</f>
        <v>0</v>
      </c>
      <c r="K17" s="45">
        <f t="shared" si="2"/>
        <v>0</v>
      </c>
      <c r="L17" s="45">
        <f t="shared" si="2"/>
        <v>0</v>
      </c>
      <c r="M17" s="45">
        <f t="shared" si="2"/>
        <v>0</v>
      </c>
      <c r="N17" s="45">
        <f t="shared" si="2"/>
        <v>0</v>
      </c>
      <c r="O17" s="45">
        <f t="shared" si="2"/>
        <v>0</v>
      </c>
      <c r="P17" s="45">
        <f t="shared" si="2"/>
        <v>0</v>
      </c>
      <c r="Q17" s="45">
        <f t="shared" si="2"/>
        <v>0</v>
      </c>
      <c r="R17" s="45">
        <f t="shared" si="2"/>
        <v>0</v>
      </c>
      <c r="S17" s="45">
        <f t="shared" si="2"/>
        <v>0</v>
      </c>
      <c r="T17" s="45">
        <f t="shared" si="2"/>
        <v>0</v>
      </c>
      <c r="U17" s="45">
        <f t="shared" si="2"/>
        <v>0</v>
      </c>
      <c r="V17" s="45">
        <f t="shared" si="2"/>
        <v>0</v>
      </c>
      <c r="W17" s="45">
        <f t="shared" si="2"/>
        <v>0</v>
      </c>
      <c r="X17" s="45">
        <f t="shared" si="2"/>
        <v>0</v>
      </c>
      <c r="Y17" s="45">
        <f t="shared" si="2"/>
        <v>0</v>
      </c>
      <c r="Z17" s="45">
        <f t="shared" si="2"/>
        <v>0</v>
      </c>
      <c r="AA17" s="45">
        <f t="shared" si="2"/>
        <v>0</v>
      </c>
      <c r="AB17" s="45">
        <f t="shared" si="2"/>
        <v>0</v>
      </c>
      <c r="AC17" s="45">
        <f t="shared" si="2"/>
        <v>0</v>
      </c>
      <c r="AD17" s="45">
        <f t="shared" si="2"/>
        <v>0</v>
      </c>
      <c r="AE17" s="45">
        <f t="shared" si="2"/>
        <v>0</v>
      </c>
      <c r="AF17" s="45">
        <f t="shared" si="2"/>
        <v>0</v>
      </c>
      <c r="AG17" s="45">
        <f t="shared" si="2"/>
        <v>0</v>
      </c>
      <c r="AH17" s="45">
        <f t="shared" si="2"/>
        <v>0</v>
      </c>
      <c r="AI17" s="45">
        <f t="shared" si="2"/>
        <v>0</v>
      </c>
      <c r="AJ17" s="45">
        <f t="shared" si="2"/>
        <v>0</v>
      </c>
      <c r="AK17" s="45">
        <f t="shared" si="2"/>
        <v>0</v>
      </c>
      <c r="AL17" s="45">
        <f t="shared" si="2"/>
        <v>0</v>
      </c>
      <c r="AM17" s="52">
        <f t="shared" si="1"/>
        <v>0</v>
      </c>
    </row>
    <row r="18" spans="7:39" ht="21" x14ac:dyDescent="0.15">
      <c r="G18" s="206" t="s">
        <v>35</v>
      </c>
      <c r="H18" s="4" t="s">
        <v>36</v>
      </c>
      <c r="I18" s="45">
        <f t="shared" si="0"/>
        <v>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52">
        <f t="shared" si="1"/>
        <v>0</v>
      </c>
    </row>
    <row r="19" spans="7:39" ht="21" x14ac:dyDescent="0.15">
      <c r="G19" s="206" t="s">
        <v>37</v>
      </c>
      <c r="H19" s="4" t="s">
        <v>38</v>
      </c>
      <c r="I19" s="45">
        <f t="shared" si="0"/>
        <v>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52">
        <f t="shared" si="1"/>
        <v>0</v>
      </c>
    </row>
    <row r="20" spans="7:39" x14ac:dyDescent="0.15">
      <c r="G20" s="205" t="s">
        <v>39</v>
      </c>
      <c r="H20" s="53" t="s">
        <v>40</v>
      </c>
      <c r="I20" s="45">
        <f t="shared" si="0"/>
        <v>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52">
        <f t="shared" si="1"/>
        <v>0</v>
      </c>
    </row>
    <row r="21" spans="7:39" x14ac:dyDescent="0.15">
      <c r="G21" s="205" t="s">
        <v>41</v>
      </c>
      <c r="H21" s="4" t="s">
        <v>42</v>
      </c>
      <c r="I21" s="45">
        <f t="shared" si="0"/>
        <v>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52">
        <f t="shared" si="1"/>
        <v>0</v>
      </c>
    </row>
    <row r="22" spans="7:39" x14ac:dyDescent="0.15">
      <c r="G22" s="205" t="s">
        <v>43</v>
      </c>
      <c r="H22" s="4" t="s">
        <v>44</v>
      </c>
      <c r="I22" s="45">
        <f t="shared" si="0"/>
        <v>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52">
        <f t="shared" si="1"/>
        <v>0</v>
      </c>
    </row>
    <row r="23" spans="7:39" ht="21" x14ac:dyDescent="0.15">
      <c r="G23" s="205" t="s">
        <v>45</v>
      </c>
      <c r="H23" s="53" t="s">
        <v>46</v>
      </c>
      <c r="I23" s="45">
        <f t="shared" si="0"/>
        <v>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52">
        <f t="shared" si="1"/>
        <v>0</v>
      </c>
    </row>
    <row r="24" spans="7:39" x14ac:dyDescent="0.15">
      <c r="G24" s="205" t="s">
        <v>47</v>
      </c>
      <c r="H24" s="4" t="s">
        <v>48</v>
      </c>
      <c r="I24" s="45">
        <f t="shared" si="0"/>
        <v>0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52">
        <f t="shared" si="1"/>
        <v>0</v>
      </c>
    </row>
    <row r="25" spans="7:39" x14ac:dyDescent="0.15">
      <c r="G25" s="205" t="s">
        <v>49</v>
      </c>
      <c r="H25" s="4" t="s">
        <v>50</v>
      </c>
      <c r="I25" s="45">
        <f t="shared" si="0"/>
        <v>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52">
        <f t="shared" si="1"/>
        <v>0</v>
      </c>
    </row>
    <row r="26" spans="7:39" x14ac:dyDescent="0.15">
      <c r="G26" s="205" t="s">
        <v>51</v>
      </c>
      <c r="H26" s="53" t="s">
        <v>52</v>
      </c>
      <c r="I26" s="45">
        <f t="shared" si="0"/>
        <v>0</v>
      </c>
      <c r="J26" s="46">
        <f t="shared" ref="J26:AL26" si="3">SUM(J27:J30)</f>
        <v>0</v>
      </c>
      <c r="K26" s="46">
        <f t="shared" si="3"/>
        <v>0</v>
      </c>
      <c r="L26" s="46">
        <f t="shared" si="3"/>
        <v>0</v>
      </c>
      <c r="M26" s="46">
        <f t="shared" si="3"/>
        <v>0</v>
      </c>
      <c r="N26" s="46">
        <f t="shared" si="3"/>
        <v>0</v>
      </c>
      <c r="O26" s="46">
        <f t="shared" si="3"/>
        <v>0</v>
      </c>
      <c r="P26" s="46">
        <f t="shared" si="3"/>
        <v>0</v>
      </c>
      <c r="Q26" s="46">
        <f t="shared" si="3"/>
        <v>0</v>
      </c>
      <c r="R26" s="46">
        <f t="shared" si="3"/>
        <v>0</v>
      </c>
      <c r="S26" s="46">
        <f t="shared" si="3"/>
        <v>0</v>
      </c>
      <c r="T26" s="46">
        <f t="shared" si="3"/>
        <v>0</v>
      </c>
      <c r="U26" s="46">
        <f t="shared" si="3"/>
        <v>0</v>
      </c>
      <c r="V26" s="46">
        <f t="shared" si="3"/>
        <v>0</v>
      </c>
      <c r="W26" s="46">
        <f t="shared" si="3"/>
        <v>0</v>
      </c>
      <c r="X26" s="46">
        <f t="shared" si="3"/>
        <v>0</v>
      </c>
      <c r="Y26" s="46">
        <f t="shared" si="3"/>
        <v>0</v>
      </c>
      <c r="Z26" s="46">
        <f t="shared" si="3"/>
        <v>0</v>
      </c>
      <c r="AA26" s="46">
        <f t="shared" si="3"/>
        <v>0</v>
      </c>
      <c r="AB26" s="46">
        <f t="shared" si="3"/>
        <v>0</v>
      </c>
      <c r="AC26" s="46">
        <f t="shared" si="3"/>
        <v>0</v>
      </c>
      <c r="AD26" s="46">
        <f t="shared" si="3"/>
        <v>0</v>
      </c>
      <c r="AE26" s="46">
        <f t="shared" si="3"/>
        <v>0</v>
      </c>
      <c r="AF26" s="46">
        <f t="shared" si="3"/>
        <v>0</v>
      </c>
      <c r="AG26" s="46">
        <f t="shared" si="3"/>
        <v>0</v>
      </c>
      <c r="AH26" s="46">
        <f t="shared" si="3"/>
        <v>0</v>
      </c>
      <c r="AI26" s="46">
        <f t="shared" si="3"/>
        <v>0</v>
      </c>
      <c r="AJ26" s="46">
        <f t="shared" si="3"/>
        <v>0</v>
      </c>
      <c r="AK26" s="46">
        <f t="shared" si="3"/>
        <v>0</v>
      </c>
      <c r="AL26" s="46">
        <f t="shared" si="3"/>
        <v>0</v>
      </c>
      <c r="AM26" s="52">
        <f t="shared" si="1"/>
        <v>0</v>
      </c>
    </row>
    <row r="27" spans="7:39" ht="21" x14ac:dyDescent="0.15">
      <c r="G27" s="206" t="s">
        <v>865</v>
      </c>
      <c r="H27" s="4" t="s">
        <v>53</v>
      </c>
      <c r="I27" s="45">
        <f t="shared" si="0"/>
        <v>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52">
        <f t="shared" si="1"/>
        <v>0</v>
      </c>
    </row>
    <row r="28" spans="7:39" x14ac:dyDescent="0.15">
      <c r="G28" s="206" t="s">
        <v>54</v>
      </c>
      <c r="H28" s="4" t="s">
        <v>55</v>
      </c>
      <c r="I28" s="45">
        <f t="shared" si="0"/>
        <v>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52">
        <f t="shared" si="1"/>
        <v>0</v>
      </c>
    </row>
    <row r="29" spans="7:39" x14ac:dyDescent="0.15">
      <c r="G29" s="206" t="s">
        <v>56</v>
      </c>
      <c r="H29" s="53" t="s">
        <v>57</v>
      </c>
      <c r="I29" s="45">
        <f t="shared" si="0"/>
        <v>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52">
        <f t="shared" si="1"/>
        <v>0</v>
      </c>
    </row>
    <row r="30" spans="7:39" ht="21" x14ac:dyDescent="0.15">
      <c r="G30" s="206" t="s">
        <v>58</v>
      </c>
      <c r="H30" s="4" t="s">
        <v>59</v>
      </c>
      <c r="I30" s="45">
        <f t="shared" si="0"/>
        <v>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52">
        <f t="shared" si="1"/>
        <v>0</v>
      </c>
    </row>
    <row r="31" spans="7:39" x14ac:dyDescent="0.15">
      <c r="G31" s="205" t="s">
        <v>60</v>
      </c>
      <c r="H31" s="4" t="s">
        <v>61</v>
      </c>
      <c r="I31" s="45">
        <f t="shared" si="0"/>
        <v>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52">
        <f t="shared" si="1"/>
        <v>0</v>
      </c>
    </row>
    <row r="32" spans="7:39" x14ac:dyDescent="0.15">
      <c r="G32" s="205" t="s">
        <v>62</v>
      </c>
      <c r="H32" s="53" t="s">
        <v>63</v>
      </c>
      <c r="I32" s="45">
        <f t="shared" si="0"/>
        <v>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52">
        <f t="shared" si="1"/>
        <v>0</v>
      </c>
    </row>
    <row r="33" spans="7:39" x14ac:dyDescent="0.15">
      <c r="G33" s="205" t="s">
        <v>64</v>
      </c>
      <c r="H33" s="4" t="s">
        <v>65</v>
      </c>
      <c r="I33" s="45">
        <f t="shared" si="0"/>
        <v>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52">
        <f t="shared" si="1"/>
        <v>0</v>
      </c>
    </row>
    <row r="34" spans="7:39" x14ac:dyDescent="0.15">
      <c r="G34" s="205" t="s">
        <v>66</v>
      </c>
      <c r="H34" s="4" t="s">
        <v>67</v>
      </c>
      <c r="I34" s="45">
        <f t="shared" si="0"/>
        <v>0</v>
      </c>
      <c r="J34" s="46">
        <f t="shared" ref="J34:AL34" si="4">SUM(J35:J38)</f>
        <v>0</v>
      </c>
      <c r="K34" s="46">
        <f t="shared" si="4"/>
        <v>0</v>
      </c>
      <c r="L34" s="46">
        <f t="shared" si="4"/>
        <v>0</v>
      </c>
      <c r="M34" s="46">
        <f t="shared" si="4"/>
        <v>0</v>
      </c>
      <c r="N34" s="46">
        <f t="shared" si="4"/>
        <v>0</v>
      </c>
      <c r="O34" s="46">
        <f t="shared" si="4"/>
        <v>0</v>
      </c>
      <c r="P34" s="46">
        <f t="shared" si="4"/>
        <v>0</v>
      </c>
      <c r="Q34" s="46">
        <f t="shared" si="4"/>
        <v>0</v>
      </c>
      <c r="R34" s="46">
        <f t="shared" si="4"/>
        <v>0</v>
      </c>
      <c r="S34" s="46">
        <f t="shared" si="4"/>
        <v>0</v>
      </c>
      <c r="T34" s="46">
        <f t="shared" si="4"/>
        <v>0</v>
      </c>
      <c r="U34" s="46">
        <f t="shared" si="4"/>
        <v>0</v>
      </c>
      <c r="V34" s="46">
        <f t="shared" si="4"/>
        <v>0</v>
      </c>
      <c r="W34" s="46">
        <f t="shared" si="4"/>
        <v>0</v>
      </c>
      <c r="X34" s="46">
        <f t="shared" si="4"/>
        <v>0</v>
      </c>
      <c r="Y34" s="46">
        <f t="shared" si="4"/>
        <v>0</v>
      </c>
      <c r="Z34" s="46">
        <f t="shared" si="4"/>
        <v>0</v>
      </c>
      <c r="AA34" s="46">
        <f t="shared" si="4"/>
        <v>0</v>
      </c>
      <c r="AB34" s="46">
        <f t="shared" si="4"/>
        <v>0</v>
      </c>
      <c r="AC34" s="46">
        <f t="shared" si="4"/>
        <v>0</v>
      </c>
      <c r="AD34" s="46">
        <f t="shared" si="4"/>
        <v>0</v>
      </c>
      <c r="AE34" s="46">
        <f t="shared" si="4"/>
        <v>0</v>
      </c>
      <c r="AF34" s="46">
        <f t="shared" si="4"/>
        <v>0</v>
      </c>
      <c r="AG34" s="46">
        <f t="shared" si="4"/>
        <v>0</v>
      </c>
      <c r="AH34" s="46">
        <f t="shared" si="4"/>
        <v>0</v>
      </c>
      <c r="AI34" s="46">
        <f t="shared" si="4"/>
        <v>0</v>
      </c>
      <c r="AJ34" s="46">
        <f t="shared" si="4"/>
        <v>0</v>
      </c>
      <c r="AK34" s="46">
        <f t="shared" si="4"/>
        <v>0</v>
      </c>
      <c r="AL34" s="46">
        <f t="shared" si="4"/>
        <v>0</v>
      </c>
      <c r="AM34" s="52">
        <f t="shared" si="1"/>
        <v>0</v>
      </c>
    </row>
    <row r="35" spans="7:39" ht="21" x14ac:dyDescent="0.15">
      <c r="G35" s="206" t="s">
        <v>68</v>
      </c>
      <c r="H35" s="53" t="s">
        <v>69</v>
      </c>
      <c r="I35" s="45">
        <f t="shared" si="0"/>
        <v>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52">
        <f t="shared" si="1"/>
        <v>0</v>
      </c>
    </row>
    <row r="36" spans="7:39" x14ac:dyDescent="0.15">
      <c r="G36" s="206" t="s">
        <v>70</v>
      </c>
      <c r="H36" s="4" t="s">
        <v>71</v>
      </c>
      <c r="I36" s="45">
        <f t="shared" si="0"/>
        <v>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52">
        <f t="shared" si="1"/>
        <v>0</v>
      </c>
    </row>
    <row r="37" spans="7:39" x14ac:dyDescent="0.15">
      <c r="G37" s="206" t="s">
        <v>72</v>
      </c>
      <c r="H37" s="4" t="s">
        <v>73</v>
      </c>
      <c r="I37" s="45">
        <f t="shared" si="0"/>
        <v>0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52">
        <f t="shared" si="1"/>
        <v>0</v>
      </c>
    </row>
    <row r="38" spans="7:39" ht="21" x14ac:dyDescent="0.15">
      <c r="G38" s="206" t="s">
        <v>74</v>
      </c>
      <c r="H38" s="53" t="s">
        <v>75</v>
      </c>
      <c r="I38" s="45">
        <f t="shared" si="0"/>
        <v>0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52">
        <f t="shared" si="1"/>
        <v>0</v>
      </c>
    </row>
    <row r="39" spans="7:39" x14ac:dyDescent="0.15">
      <c r="G39" s="205" t="s">
        <v>76</v>
      </c>
      <c r="H39" s="4" t="s">
        <v>77</v>
      </c>
      <c r="I39" s="45">
        <f t="shared" si="0"/>
        <v>0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52">
        <f t="shared" si="1"/>
        <v>0</v>
      </c>
    </row>
    <row r="40" spans="7:39" x14ac:dyDescent="0.15">
      <c r="G40" s="205" t="s">
        <v>78</v>
      </c>
      <c r="H40" s="4" t="s">
        <v>79</v>
      </c>
      <c r="I40" s="45">
        <f t="shared" si="0"/>
        <v>0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52">
        <f t="shared" si="1"/>
        <v>0</v>
      </c>
    </row>
    <row r="41" spans="7:39" x14ac:dyDescent="0.15">
      <c r="G41" s="205" t="s">
        <v>80</v>
      </c>
      <c r="H41" s="53" t="s">
        <v>81</v>
      </c>
      <c r="I41" s="45">
        <f t="shared" si="0"/>
        <v>0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52">
        <f t="shared" si="1"/>
        <v>0</v>
      </c>
    </row>
    <row r="42" spans="7:39" x14ac:dyDescent="0.15">
      <c r="G42" s="205" t="s">
        <v>82</v>
      </c>
      <c r="H42" s="4" t="s">
        <v>83</v>
      </c>
      <c r="I42" s="45">
        <f t="shared" si="0"/>
        <v>0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52">
        <f t="shared" si="1"/>
        <v>0</v>
      </c>
    </row>
    <row r="43" spans="7:39" x14ac:dyDescent="0.15">
      <c r="G43" s="205" t="s">
        <v>84</v>
      </c>
      <c r="H43" s="4" t="s">
        <v>85</v>
      </c>
      <c r="I43" s="45">
        <f t="shared" si="0"/>
        <v>0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52">
        <f t="shared" si="1"/>
        <v>0</v>
      </c>
    </row>
    <row r="44" spans="7:39" x14ac:dyDescent="0.15">
      <c r="G44" s="205" t="s">
        <v>86</v>
      </c>
      <c r="H44" s="53" t="s">
        <v>87</v>
      </c>
      <c r="I44" s="45">
        <f t="shared" si="0"/>
        <v>0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52">
        <f t="shared" si="1"/>
        <v>0</v>
      </c>
    </row>
    <row r="45" spans="7:39" x14ac:dyDescent="0.15">
      <c r="G45" s="205" t="s">
        <v>88</v>
      </c>
      <c r="H45" s="4" t="s">
        <v>89</v>
      </c>
      <c r="I45" s="45">
        <f t="shared" si="0"/>
        <v>0</v>
      </c>
      <c r="J45" s="46">
        <f t="shared" ref="J45:AL45" si="5">SUM(J46:J51)</f>
        <v>0</v>
      </c>
      <c r="K45" s="46">
        <f t="shared" si="5"/>
        <v>0</v>
      </c>
      <c r="L45" s="46">
        <f t="shared" si="5"/>
        <v>0</v>
      </c>
      <c r="M45" s="46">
        <f t="shared" si="5"/>
        <v>0</v>
      </c>
      <c r="N45" s="46">
        <f t="shared" si="5"/>
        <v>0</v>
      </c>
      <c r="O45" s="46">
        <f t="shared" si="5"/>
        <v>0</v>
      </c>
      <c r="P45" s="46">
        <f t="shared" si="5"/>
        <v>0</v>
      </c>
      <c r="Q45" s="46">
        <f t="shared" si="5"/>
        <v>0</v>
      </c>
      <c r="R45" s="46">
        <f t="shared" si="5"/>
        <v>0</v>
      </c>
      <c r="S45" s="46">
        <f t="shared" si="5"/>
        <v>0</v>
      </c>
      <c r="T45" s="46">
        <f t="shared" si="5"/>
        <v>0</v>
      </c>
      <c r="U45" s="46">
        <f t="shared" si="5"/>
        <v>0</v>
      </c>
      <c r="V45" s="46">
        <f t="shared" si="5"/>
        <v>0</v>
      </c>
      <c r="W45" s="46">
        <f t="shared" si="5"/>
        <v>0</v>
      </c>
      <c r="X45" s="46">
        <f t="shared" si="5"/>
        <v>0</v>
      </c>
      <c r="Y45" s="46">
        <f t="shared" si="5"/>
        <v>0</v>
      </c>
      <c r="Z45" s="46">
        <f t="shared" si="5"/>
        <v>0</v>
      </c>
      <c r="AA45" s="46">
        <f t="shared" si="5"/>
        <v>0</v>
      </c>
      <c r="AB45" s="46">
        <f t="shared" si="5"/>
        <v>0</v>
      </c>
      <c r="AC45" s="46">
        <f t="shared" si="5"/>
        <v>0</v>
      </c>
      <c r="AD45" s="46">
        <f t="shared" si="5"/>
        <v>0</v>
      </c>
      <c r="AE45" s="46">
        <f t="shared" si="5"/>
        <v>0</v>
      </c>
      <c r="AF45" s="46">
        <f t="shared" si="5"/>
        <v>0</v>
      </c>
      <c r="AG45" s="46">
        <f t="shared" si="5"/>
        <v>0</v>
      </c>
      <c r="AH45" s="46">
        <f t="shared" si="5"/>
        <v>0</v>
      </c>
      <c r="AI45" s="46">
        <f t="shared" si="5"/>
        <v>0</v>
      </c>
      <c r="AJ45" s="46">
        <f t="shared" si="5"/>
        <v>0</v>
      </c>
      <c r="AK45" s="46">
        <f t="shared" si="5"/>
        <v>0</v>
      </c>
      <c r="AL45" s="46">
        <f t="shared" si="5"/>
        <v>0</v>
      </c>
      <c r="AM45" s="52">
        <f t="shared" si="1"/>
        <v>0</v>
      </c>
    </row>
    <row r="46" spans="7:39" ht="21" x14ac:dyDescent="0.15">
      <c r="G46" s="206" t="s">
        <v>90</v>
      </c>
      <c r="H46" s="4" t="s">
        <v>91</v>
      </c>
      <c r="I46" s="45">
        <f t="shared" si="0"/>
        <v>0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52">
        <f t="shared" si="1"/>
        <v>0</v>
      </c>
    </row>
    <row r="47" spans="7:39" x14ac:dyDescent="0.15">
      <c r="G47" s="206" t="s">
        <v>92</v>
      </c>
      <c r="H47" s="53" t="s">
        <v>93</v>
      </c>
      <c r="I47" s="45">
        <f t="shared" si="0"/>
        <v>0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52">
        <f t="shared" si="1"/>
        <v>0</v>
      </c>
    </row>
    <row r="48" spans="7:39" x14ac:dyDescent="0.15">
      <c r="G48" s="206" t="s">
        <v>94</v>
      </c>
      <c r="H48" s="4" t="s">
        <v>95</v>
      </c>
      <c r="I48" s="45">
        <f t="shared" si="0"/>
        <v>0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52">
        <f t="shared" si="1"/>
        <v>0</v>
      </c>
    </row>
    <row r="49" spans="7:39" x14ac:dyDescent="0.15">
      <c r="G49" s="206" t="s">
        <v>96</v>
      </c>
      <c r="H49" s="4" t="s">
        <v>97</v>
      </c>
      <c r="I49" s="45">
        <f t="shared" si="0"/>
        <v>0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52">
        <f t="shared" si="1"/>
        <v>0</v>
      </c>
    </row>
    <row r="50" spans="7:39" x14ac:dyDescent="0.15">
      <c r="G50" s="206" t="s">
        <v>98</v>
      </c>
      <c r="H50" s="53" t="s">
        <v>99</v>
      </c>
      <c r="I50" s="45">
        <f t="shared" si="0"/>
        <v>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52">
        <f t="shared" si="1"/>
        <v>0</v>
      </c>
    </row>
    <row r="51" spans="7:39" x14ac:dyDescent="0.15">
      <c r="G51" s="206" t="s">
        <v>100</v>
      </c>
      <c r="H51" s="4" t="s">
        <v>101</v>
      </c>
      <c r="I51" s="45">
        <f t="shared" si="0"/>
        <v>0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52">
        <f t="shared" si="1"/>
        <v>0</v>
      </c>
    </row>
    <row r="52" spans="7:39" x14ac:dyDescent="0.15">
      <c r="G52" s="205" t="s">
        <v>102</v>
      </c>
      <c r="H52" s="4" t="s">
        <v>638</v>
      </c>
      <c r="I52" s="45">
        <f t="shared" si="0"/>
        <v>0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52">
        <f t="shared" si="1"/>
        <v>0</v>
      </c>
    </row>
    <row r="53" spans="7:39" x14ac:dyDescent="0.15">
      <c r="G53" s="205" t="s">
        <v>103</v>
      </c>
      <c r="H53" s="53" t="s">
        <v>104</v>
      </c>
      <c r="I53" s="45">
        <f t="shared" si="0"/>
        <v>0</v>
      </c>
      <c r="J53" s="46">
        <f t="shared" ref="J53:AL53" si="6">SUM(J54:J55)</f>
        <v>0</v>
      </c>
      <c r="K53" s="46">
        <f t="shared" si="6"/>
        <v>0</v>
      </c>
      <c r="L53" s="46">
        <f t="shared" si="6"/>
        <v>0</v>
      </c>
      <c r="M53" s="46">
        <f t="shared" si="6"/>
        <v>0</v>
      </c>
      <c r="N53" s="46">
        <f t="shared" si="6"/>
        <v>0</v>
      </c>
      <c r="O53" s="46">
        <f t="shared" si="6"/>
        <v>0</v>
      </c>
      <c r="P53" s="46">
        <f t="shared" si="6"/>
        <v>0</v>
      </c>
      <c r="Q53" s="46">
        <f t="shared" si="6"/>
        <v>0</v>
      </c>
      <c r="R53" s="46">
        <f t="shared" si="6"/>
        <v>0</v>
      </c>
      <c r="S53" s="46">
        <f t="shared" si="6"/>
        <v>0</v>
      </c>
      <c r="T53" s="46">
        <f t="shared" si="6"/>
        <v>0</v>
      </c>
      <c r="U53" s="46">
        <f t="shared" si="6"/>
        <v>0</v>
      </c>
      <c r="V53" s="46">
        <f t="shared" si="6"/>
        <v>0</v>
      </c>
      <c r="W53" s="46">
        <f t="shared" si="6"/>
        <v>0</v>
      </c>
      <c r="X53" s="46">
        <f t="shared" si="6"/>
        <v>0</v>
      </c>
      <c r="Y53" s="46">
        <f t="shared" si="6"/>
        <v>0</v>
      </c>
      <c r="Z53" s="46">
        <f t="shared" si="6"/>
        <v>0</v>
      </c>
      <c r="AA53" s="46">
        <f t="shared" si="6"/>
        <v>0</v>
      </c>
      <c r="AB53" s="46">
        <f t="shared" si="6"/>
        <v>0</v>
      </c>
      <c r="AC53" s="46">
        <f t="shared" si="6"/>
        <v>0</v>
      </c>
      <c r="AD53" s="46">
        <f t="shared" si="6"/>
        <v>0</v>
      </c>
      <c r="AE53" s="46">
        <f t="shared" si="6"/>
        <v>0</v>
      </c>
      <c r="AF53" s="46">
        <f t="shared" si="6"/>
        <v>0</v>
      </c>
      <c r="AG53" s="46">
        <f t="shared" si="6"/>
        <v>0</v>
      </c>
      <c r="AH53" s="46">
        <f t="shared" si="6"/>
        <v>0</v>
      </c>
      <c r="AI53" s="46">
        <f t="shared" si="6"/>
        <v>0</v>
      </c>
      <c r="AJ53" s="46">
        <f t="shared" si="6"/>
        <v>0</v>
      </c>
      <c r="AK53" s="46">
        <f t="shared" si="6"/>
        <v>0</v>
      </c>
      <c r="AL53" s="46">
        <f t="shared" si="6"/>
        <v>0</v>
      </c>
      <c r="AM53" s="52">
        <f t="shared" si="1"/>
        <v>0</v>
      </c>
    </row>
    <row r="54" spans="7:39" ht="21" x14ac:dyDescent="0.15">
      <c r="G54" s="206" t="s">
        <v>866</v>
      </c>
      <c r="H54" s="4" t="s">
        <v>105</v>
      </c>
      <c r="I54" s="45">
        <f t="shared" si="0"/>
        <v>0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52">
        <f t="shared" si="1"/>
        <v>0</v>
      </c>
    </row>
    <row r="55" spans="7:39" ht="21" x14ac:dyDescent="0.15">
      <c r="G55" s="206" t="s">
        <v>106</v>
      </c>
      <c r="H55" s="4" t="s">
        <v>107</v>
      </c>
      <c r="I55" s="45">
        <f t="shared" si="0"/>
        <v>0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52">
        <f t="shared" si="1"/>
        <v>0</v>
      </c>
    </row>
    <row r="56" spans="7:39" x14ac:dyDescent="0.15">
      <c r="G56" s="205" t="s">
        <v>108</v>
      </c>
      <c r="H56" s="53" t="s">
        <v>109</v>
      </c>
      <c r="I56" s="45">
        <f t="shared" si="0"/>
        <v>0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52">
        <f t="shared" si="1"/>
        <v>0</v>
      </c>
    </row>
    <row r="57" spans="7:39" x14ac:dyDescent="0.15">
      <c r="G57" s="205" t="s">
        <v>110</v>
      </c>
      <c r="H57" s="4" t="s">
        <v>111</v>
      </c>
      <c r="I57" s="45">
        <f t="shared" si="0"/>
        <v>0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52">
        <f t="shared" si="1"/>
        <v>0</v>
      </c>
    </row>
    <row r="58" spans="7:39" x14ac:dyDescent="0.15">
      <c r="G58" s="205" t="s">
        <v>112</v>
      </c>
      <c r="H58" s="4" t="s">
        <v>113</v>
      </c>
      <c r="I58" s="45">
        <f t="shared" si="0"/>
        <v>0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52">
        <f t="shared" si="1"/>
        <v>0</v>
      </c>
    </row>
    <row r="59" spans="7:39" x14ac:dyDescent="0.15">
      <c r="G59" s="205" t="s">
        <v>114</v>
      </c>
      <c r="H59" s="53" t="s">
        <v>115</v>
      </c>
      <c r="I59" s="45">
        <f t="shared" si="0"/>
        <v>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52">
        <f t="shared" si="1"/>
        <v>0</v>
      </c>
    </row>
    <row r="60" spans="7:39" x14ac:dyDescent="0.15">
      <c r="G60" s="205" t="s">
        <v>116</v>
      </c>
      <c r="H60" s="4" t="s">
        <v>117</v>
      </c>
      <c r="I60" s="45">
        <f t="shared" si="0"/>
        <v>0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52">
        <f t="shared" si="1"/>
        <v>0</v>
      </c>
    </row>
    <row r="61" spans="7:39" x14ac:dyDescent="0.15">
      <c r="G61" s="205" t="s">
        <v>118</v>
      </c>
      <c r="H61" s="4" t="s">
        <v>119</v>
      </c>
      <c r="I61" s="45">
        <f t="shared" si="0"/>
        <v>0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52">
        <f t="shared" si="1"/>
        <v>0</v>
      </c>
    </row>
    <row r="62" spans="7:39" x14ac:dyDescent="0.15">
      <c r="G62" s="205" t="s">
        <v>120</v>
      </c>
      <c r="H62" s="53" t="s">
        <v>121</v>
      </c>
      <c r="I62" s="45">
        <f t="shared" si="0"/>
        <v>0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52">
        <f t="shared" si="1"/>
        <v>0</v>
      </c>
    </row>
    <row r="63" spans="7:39" x14ac:dyDescent="0.15">
      <c r="G63" s="205" t="s">
        <v>122</v>
      </c>
      <c r="H63" s="4" t="s">
        <v>123</v>
      </c>
      <c r="I63" s="45">
        <f t="shared" si="0"/>
        <v>0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52">
        <f t="shared" si="1"/>
        <v>0</v>
      </c>
    </row>
    <row r="64" spans="7:39" x14ac:dyDescent="0.15">
      <c r="G64" s="205" t="s">
        <v>124</v>
      </c>
      <c r="H64" s="4" t="s">
        <v>125</v>
      </c>
      <c r="I64" s="45">
        <f t="shared" si="0"/>
        <v>0</v>
      </c>
      <c r="J64" s="46">
        <f t="shared" ref="J64:AL64" si="7">SUM(J65:J67)</f>
        <v>0</v>
      </c>
      <c r="K64" s="46">
        <f t="shared" si="7"/>
        <v>0</v>
      </c>
      <c r="L64" s="46">
        <f t="shared" si="7"/>
        <v>0</v>
      </c>
      <c r="M64" s="46">
        <f t="shared" si="7"/>
        <v>0</v>
      </c>
      <c r="N64" s="46">
        <f t="shared" si="7"/>
        <v>0</v>
      </c>
      <c r="O64" s="46">
        <f t="shared" si="7"/>
        <v>0</v>
      </c>
      <c r="P64" s="46">
        <f t="shared" si="7"/>
        <v>0</v>
      </c>
      <c r="Q64" s="46">
        <f t="shared" si="7"/>
        <v>0</v>
      </c>
      <c r="R64" s="46">
        <f t="shared" si="7"/>
        <v>0</v>
      </c>
      <c r="S64" s="46">
        <f t="shared" si="7"/>
        <v>0</v>
      </c>
      <c r="T64" s="46">
        <f t="shared" si="7"/>
        <v>0</v>
      </c>
      <c r="U64" s="46">
        <f t="shared" si="7"/>
        <v>0</v>
      </c>
      <c r="V64" s="46">
        <f t="shared" si="7"/>
        <v>0</v>
      </c>
      <c r="W64" s="46">
        <f t="shared" si="7"/>
        <v>0</v>
      </c>
      <c r="X64" s="46">
        <f t="shared" si="7"/>
        <v>0</v>
      </c>
      <c r="Y64" s="46">
        <f t="shared" si="7"/>
        <v>0</v>
      </c>
      <c r="Z64" s="46">
        <f t="shared" si="7"/>
        <v>0</v>
      </c>
      <c r="AA64" s="46">
        <f t="shared" si="7"/>
        <v>0</v>
      </c>
      <c r="AB64" s="46">
        <f t="shared" si="7"/>
        <v>0</v>
      </c>
      <c r="AC64" s="46">
        <f t="shared" si="7"/>
        <v>0</v>
      </c>
      <c r="AD64" s="46">
        <f t="shared" si="7"/>
        <v>0</v>
      </c>
      <c r="AE64" s="46">
        <f t="shared" si="7"/>
        <v>0</v>
      </c>
      <c r="AF64" s="46">
        <f t="shared" si="7"/>
        <v>0</v>
      </c>
      <c r="AG64" s="46">
        <f t="shared" si="7"/>
        <v>0</v>
      </c>
      <c r="AH64" s="46">
        <f t="shared" si="7"/>
        <v>0</v>
      </c>
      <c r="AI64" s="46">
        <f t="shared" si="7"/>
        <v>0</v>
      </c>
      <c r="AJ64" s="46">
        <f t="shared" si="7"/>
        <v>0</v>
      </c>
      <c r="AK64" s="46">
        <f t="shared" si="7"/>
        <v>0</v>
      </c>
      <c r="AL64" s="46">
        <f t="shared" si="7"/>
        <v>0</v>
      </c>
      <c r="AM64" s="52">
        <f t="shared" si="1"/>
        <v>0</v>
      </c>
    </row>
    <row r="65" spans="7:39" ht="21" x14ac:dyDescent="0.15">
      <c r="G65" s="206" t="s">
        <v>867</v>
      </c>
      <c r="H65" s="53" t="s">
        <v>126</v>
      </c>
      <c r="I65" s="45">
        <f t="shared" si="0"/>
        <v>0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52">
        <f t="shared" si="1"/>
        <v>0</v>
      </c>
    </row>
    <row r="66" spans="7:39" x14ac:dyDescent="0.15">
      <c r="G66" s="206" t="s">
        <v>127</v>
      </c>
      <c r="H66" s="4" t="s">
        <v>128</v>
      </c>
      <c r="I66" s="45">
        <f t="shared" si="0"/>
        <v>0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52">
        <f t="shared" si="1"/>
        <v>0</v>
      </c>
    </row>
    <row r="67" spans="7:39" x14ac:dyDescent="0.15">
      <c r="G67" s="206" t="s">
        <v>129</v>
      </c>
      <c r="H67" s="4" t="s">
        <v>130</v>
      </c>
      <c r="I67" s="45">
        <f t="shared" si="0"/>
        <v>0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52">
        <f t="shared" si="1"/>
        <v>0</v>
      </c>
    </row>
    <row r="68" spans="7:39" x14ac:dyDescent="0.15">
      <c r="G68" s="205" t="s">
        <v>131</v>
      </c>
      <c r="H68" s="53" t="s">
        <v>132</v>
      </c>
      <c r="I68" s="45">
        <f t="shared" si="0"/>
        <v>0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52">
        <f t="shared" si="1"/>
        <v>0</v>
      </c>
    </row>
    <row r="69" spans="7:39" x14ac:dyDescent="0.15">
      <c r="G69" s="205" t="s">
        <v>133</v>
      </c>
      <c r="H69" s="4" t="s">
        <v>134</v>
      </c>
      <c r="I69" s="45">
        <f t="shared" si="0"/>
        <v>0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52">
        <f t="shared" si="1"/>
        <v>0</v>
      </c>
    </row>
    <row r="70" spans="7:39" x14ac:dyDescent="0.15">
      <c r="G70" s="205" t="s">
        <v>135</v>
      </c>
      <c r="H70" s="4" t="s">
        <v>136</v>
      </c>
      <c r="I70" s="45">
        <f t="shared" si="0"/>
        <v>0</v>
      </c>
      <c r="J70" s="46">
        <f t="shared" ref="J70:AL70" si="8">SUM(J71:J72)</f>
        <v>0</v>
      </c>
      <c r="K70" s="46">
        <f t="shared" si="8"/>
        <v>0</v>
      </c>
      <c r="L70" s="46">
        <f t="shared" si="8"/>
        <v>0</v>
      </c>
      <c r="M70" s="46">
        <f t="shared" si="8"/>
        <v>0</v>
      </c>
      <c r="N70" s="46">
        <f t="shared" si="8"/>
        <v>0</v>
      </c>
      <c r="O70" s="46">
        <f t="shared" si="8"/>
        <v>0</v>
      </c>
      <c r="P70" s="46">
        <f t="shared" si="8"/>
        <v>0</v>
      </c>
      <c r="Q70" s="46">
        <f t="shared" si="8"/>
        <v>0</v>
      </c>
      <c r="R70" s="46">
        <f t="shared" si="8"/>
        <v>0</v>
      </c>
      <c r="S70" s="46">
        <f t="shared" si="8"/>
        <v>0</v>
      </c>
      <c r="T70" s="46">
        <f t="shared" si="8"/>
        <v>0</v>
      </c>
      <c r="U70" s="46">
        <f t="shared" si="8"/>
        <v>0</v>
      </c>
      <c r="V70" s="46">
        <f t="shared" si="8"/>
        <v>0</v>
      </c>
      <c r="W70" s="46">
        <f t="shared" si="8"/>
        <v>0</v>
      </c>
      <c r="X70" s="46">
        <f t="shared" si="8"/>
        <v>0</v>
      </c>
      <c r="Y70" s="46">
        <f t="shared" si="8"/>
        <v>0</v>
      </c>
      <c r="Z70" s="46">
        <f t="shared" si="8"/>
        <v>0</v>
      </c>
      <c r="AA70" s="46">
        <f t="shared" si="8"/>
        <v>0</v>
      </c>
      <c r="AB70" s="46">
        <f t="shared" si="8"/>
        <v>0</v>
      </c>
      <c r="AC70" s="46">
        <f t="shared" si="8"/>
        <v>0</v>
      </c>
      <c r="AD70" s="46">
        <f t="shared" si="8"/>
        <v>0</v>
      </c>
      <c r="AE70" s="46">
        <f t="shared" si="8"/>
        <v>0</v>
      </c>
      <c r="AF70" s="46">
        <f t="shared" si="8"/>
        <v>0</v>
      </c>
      <c r="AG70" s="46">
        <f t="shared" si="8"/>
        <v>0</v>
      </c>
      <c r="AH70" s="46">
        <f t="shared" si="8"/>
        <v>0</v>
      </c>
      <c r="AI70" s="46">
        <f t="shared" si="8"/>
        <v>0</v>
      </c>
      <c r="AJ70" s="46">
        <f t="shared" si="8"/>
        <v>0</v>
      </c>
      <c r="AK70" s="46">
        <f t="shared" si="8"/>
        <v>0</v>
      </c>
      <c r="AL70" s="46">
        <f t="shared" si="8"/>
        <v>0</v>
      </c>
      <c r="AM70" s="52">
        <f t="shared" si="1"/>
        <v>0</v>
      </c>
    </row>
    <row r="71" spans="7:39" ht="21" x14ac:dyDescent="0.15">
      <c r="G71" s="206" t="s">
        <v>868</v>
      </c>
      <c r="H71" s="53" t="s">
        <v>137</v>
      </c>
      <c r="I71" s="45">
        <f t="shared" si="0"/>
        <v>0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52">
        <f t="shared" si="1"/>
        <v>0</v>
      </c>
    </row>
    <row r="72" spans="7:39" x14ac:dyDescent="0.15">
      <c r="G72" s="206" t="s">
        <v>138</v>
      </c>
      <c r="H72" s="4" t="s">
        <v>139</v>
      </c>
      <c r="I72" s="45">
        <f t="shared" si="0"/>
        <v>0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52">
        <f t="shared" si="1"/>
        <v>0</v>
      </c>
    </row>
    <row r="73" spans="7:39" x14ac:dyDescent="0.15">
      <c r="G73" s="205" t="s">
        <v>140</v>
      </c>
      <c r="H73" s="4" t="s">
        <v>141</v>
      </c>
      <c r="I73" s="45">
        <f t="shared" si="0"/>
        <v>0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52">
        <f t="shared" si="1"/>
        <v>0</v>
      </c>
    </row>
    <row r="74" spans="7:39" x14ac:dyDescent="0.15">
      <c r="G74" s="205" t="s">
        <v>142</v>
      </c>
      <c r="H74" s="53" t="s">
        <v>143</v>
      </c>
      <c r="I74" s="45">
        <f t="shared" si="0"/>
        <v>0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52">
        <f t="shared" si="1"/>
        <v>0</v>
      </c>
    </row>
    <row r="75" spans="7:39" x14ac:dyDescent="0.15">
      <c r="G75" s="205" t="s">
        <v>144</v>
      </c>
      <c r="H75" s="4" t="s">
        <v>145</v>
      </c>
      <c r="I75" s="45">
        <f t="shared" si="0"/>
        <v>0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52">
        <f t="shared" si="1"/>
        <v>0</v>
      </c>
    </row>
    <row r="76" spans="7:39" ht="21" x14ac:dyDescent="0.15">
      <c r="G76" s="205" t="s">
        <v>146</v>
      </c>
      <c r="H76" s="4" t="s">
        <v>147</v>
      </c>
      <c r="I76" s="45">
        <f t="shared" ref="I76:I140" si="9">J76+U76</f>
        <v>0</v>
      </c>
      <c r="J76" s="48">
        <f t="shared" ref="J76:AL76" si="10">SUM(J77:J80)</f>
        <v>0</v>
      </c>
      <c r="K76" s="48">
        <f t="shared" si="10"/>
        <v>0</v>
      </c>
      <c r="L76" s="48">
        <f t="shared" si="10"/>
        <v>0</v>
      </c>
      <c r="M76" s="48">
        <f t="shared" si="10"/>
        <v>0</v>
      </c>
      <c r="N76" s="48">
        <f t="shared" si="10"/>
        <v>0</v>
      </c>
      <c r="O76" s="48">
        <f t="shared" si="10"/>
        <v>0</v>
      </c>
      <c r="P76" s="48">
        <f t="shared" si="10"/>
        <v>0</v>
      </c>
      <c r="Q76" s="48">
        <f t="shared" si="10"/>
        <v>0</v>
      </c>
      <c r="R76" s="48">
        <f t="shared" si="10"/>
        <v>0</v>
      </c>
      <c r="S76" s="48">
        <f t="shared" si="10"/>
        <v>0</v>
      </c>
      <c r="T76" s="48">
        <f t="shared" si="10"/>
        <v>0</v>
      </c>
      <c r="U76" s="48">
        <f t="shared" si="10"/>
        <v>0</v>
      </c>
      <c r="V76" s="48">
        <f t="shared" si="10"/>
        <v>0</v>
      </c>
      <c r="W76" s="48">
        <f t="shared" si="10"/>
        <v>0</v>
      </c>
      <c r="X76" s="48">
        <f t="shared" si="10"/>
        <v>0</v>
      </c>
      <c r="Y76" s="48">
        <f t="shared" si="10"/>
        <v>0</v>
      </c>
      <c r="Z76" s="48">
        <f t="shared" si="10"/>
        <v>0</v>
      </c>
      <c r="AA76" s="48">
        <f t="shared" si="10"/>
        <v>0</v>
      </c>
      <c r="AB76" s="48">
        <f t="shared" si="10"/>
        <v>0</v>
      </c>
      <c r="AC76" s="48">
        <f t="shared" si="10"/>
        <v>0</v>
      </c>
      <c r="AD76" s="48">
        <f t="shared" si="10"/>
        <v>0</v>
      </c>
      <c r="AE76" s="48">
        <f t="shared" si="10"/>
        <v>0</v>
      </c>
      <c r="AF76" s="48">
        <f t="shared" si="10"/>
        <v>0</v>
      </c>
      <c r="AG76" s="48">
        <f t="shared" si="10"/>
        <v>0</v>
      </c>
      <c r="AH76" s="48">
        <f t="shared" si="10"/>
        <v>0</v>
      </c>
      <c r="AI76" s="48">
        <f t="shared" si="10"/>
        <v>0</v>
      </c>
      <c r="AJ76" s="48">
        <f t="shared" si="10"/>
        <v>0</v>
      </c>
      <c r="AK76" s="48">
        <f t="shared" si="10"/>
        <v>0</v>
      </c>
      <c r="AL76" s="48">
        <f t="shared" si="10"/>
        <v>0</v>
      </c>
      <c r="AM76" s="52">
        <f t="shared" ref="AM76:AM140" si="11">SUM(I76:AL76)</f>
        <v>0</v>
      </c>
    </row>
    <row r="77" spans="7:39" ht="21" x14ac:dyDescent="0.15">
      <c r="G77" s="206" t="s">
        <v>148</v>
      </c>
      <c r="H77" s="53" t="s">
        <v>149</v>
      </c>
      <c r="I77" s="45">
        <f t="shared" si="9"/>
        <v>0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52">
        <f t="shared" si="11"/>
        <v>0</v>
      </c>
    </row>
    <row r="78" spans="7:39" x14ac:dyDescent="0.15">
      <c r="G78" s="206" t="s">
        <v>150</v>
      </c>
      <c r="H78" s="4" t="s">
        <v>151</v>
      </c>
      <c r="I78" s="45">
        <f t="shared" si="9"/>
        <v>0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52">
        <f t="shared" si="11"/>
        <v>0</v>
      </c>
    </row>
    <row r="79" spans="7:39" x14ac:dyDescent="0.15">
      <c r="G79" s="206" t="s">
        <v>152</v>
      </c>
      <c r="H79" s="4" t="s">
        <v>153</v>
      </c>
      <c r="I79" s="45">
        <f t="shared" si="9"/>
        <v>0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52">
        <f t="shared" si="11"/>
        <v>0</v>
      </c>
    </row>
    <row r="80" spans="7:39" x14ac:dyDescent="0.15">
      <c r="G80" s="206" t="s">
        <v>154</v>
      </c>
      <c r="H80" s="53" t="s">
        <v>155</v>
      </c>
      <c r="I80" s="45">
        <f t="shared" si="9"/>
        <v>0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52">
        <f t="shared" si="11"/>
        <v>0</v>
      </c>
    </row>
    <row r="81" spans="7:39" x14ac:dyDescent="0.15">
      <c r="G81" s="205" t="s">
        <v>156</v>
      </c>
      <c r="H81" s="4" t="s">
        <v>157</v>
      </c>
      <c r="I81" s="45">
        <f t="shared" si="9"/>
        <v>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52">
        <f t="shared" si="11"/>
        <v>0</v>
      </c>
    </row>
    <row r="82" spans="7:39" x14ac:dyDescent="0.15">
      <c r="G82" s="205" t="s">
        <v>158</v>
      </c>
      <c r="H82" s="4" t="s">
        <v>159</v>
      </c>
      <c r="I82" s="45">
        <f t="shared" si="9"/>
        <v>0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52">
        <f t="shared" si="11"/>
        <v>0</v>
      </c>
    </row>
    <row r="83" spans="7:39" x14ac:dyDescent="0.15">
      <c r="G83" s="205" t="s">
        <v>160</v>
      </c>
      <c r="H83" s="53" t="s">
        <v>161</v>
      </c>
      <c r="I83" s="45">
        <f t="shared" si="9"/>
        <v>0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52">
        <f t="shared" si="11"/>
        <v>0</v>
      </c>
    </row>
    <row r="84" spans="7:39" x14ac:dyDescent="0.15">
      <c r="G84" s="205" t="s">
        <v>162</v>
      </c>
      <c r="H84" s="4" t="s">
        <v>163</v>
      </c>
      <c r="I84" s="45">
        <f t="shared" si="9"/>
        <v>0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52">
        <f t="shared" si="11"/>
        <v>0</v>
      </c>
    </row>
    <row r="85" spans="7:39" x14ac:dyDescent="0.15">
      <c r="G85" s="205" t="s">
        <v>164</v>
      </c>
      <c r="H85" s="4" t="s">
        <v>165</v>
      </c>
      <c r="I85" s="45">
        <f t="shared" si="9"/>
        <v>0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52">
        <f t="shared" si="11"/>
        <v>0</v>
      </c>
    </row>
    <row r="86" spans="7:39" x14ac:dyDescent="0.15">
      <c r="G86" s="205" t="s">
        <v>166</v>
      </c>
      <c r="H86" s="53" t="s">
        <v>167</v>
      </c>
      <c r="I86" s="45">
        <f t="shared" si="9"/>
        <v>0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52">
        <f t="shared" si="11"/>
        <v>0</v>
      </c>
    </row>
    <row r="87" spans="7:39" x14ac:dyDescent="0.15">
      <c r="G87" s="205" t="s">
        <v>168</v>
      </c>
      <c r="H87" s="4" t="s">
        <v>169</v>
      </c>
      <c r="I87" s="45">
        <f t="shared" si="9"/>
        <v>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52">
        <f t="shared" si="11"/>
        <v>0</v>
      </c>
    </row>
    <row r="88" spans="7:39" x14ac:dyDescent="0.15">
      <c r="G88" s="205" t="s">
        <v>170</v>
      </c>
      <c r="H88" s="4" t="s">
        <v>171</v>
      </c>
      <c r="I88" s="45">
        <f t="shared" si="9"/>
        <v>0</v>
      </c>
      <c r="J88" s="46">
        <f t="shared" ref="J88:AL88" si="12">SUM(J89:J90)</f>
        <v>0</v>
      </c>
      <c r="K88" s="46">
        <f t="shared" si="12"/>
        <v>0</v>
      </c>
      <c r="L88" s="46">
        <f t="shared" si="12"/>
        <v>0</v>
      </c>
      <c r="M88" s="46">
        <f t="shared" si="12"/>
        <v>0</v>
      </c>
      <c r="N88" s="46">
        <f t="shared" si="12"/>
        <v>0</v>
      </c>
      <c r="O88" s="46">
        <f t="shared" si="12"/>
        <v>0</v>
      </c>
      <c r="P88" s="46">
        <f t="shared" si="12"/>
        <v>0</v>
      </c>
      <c r="Q88" s="46">
        <f t="shared" si="12"/>
        <v>0</v>
      </c>
      <c r="R88" s="46">
        <f t="shared" si="12"/>
        <v>0</v>
      </c>
      <c r="S88" s="46">
        <f t="shared" si="12"/>
        <v>0</v>
      </c>
      <c r="T88" s="46">
        <f t="shared" si="12"/>
        <v>0</v>
      </c>
      <c r="U88" s="46">
        <f t="shared" si="12"/>
        <v>0</v>
      </c>
      <c r="V88" s="46">
        <f t="shared" si="12"/>
        <v>0</v>
      </c>
      <c r="W88" s="46">
        <f t="shared" si="12"/>
        <v>0</v>
      </c>
      <c r="X88" s="46">
        <f t="shared" si="12"/>
        <v>0</v>
      </c>
      <c r="Y88" s="46">
        <f t="shared" si="12"/>
        <v>0</v>
      </c>
      <c r="Z88" s="46">
        <f t="shared" si="12"/>
        <v>0</v>
      </c>
      <c r="AA88" s="46">
        <f t="shared" si="12"/>
        <v>0</v>
      </c>
      <c r="AB88" s="46">
        <f t="shared" si="12"/>
        <v>0</v>
      </c>
      <c r="AC88" s="46">
        <f t="shared" si="12"/>
        <v>0</v>
      </c>
      <c r="AD88" s="46">
        <f t="shared" si="12"/>
        <v>0</v>
      </c>
      <c r="AE88" s="46">
        <f t="shared" si="12"/>
        <v>0</v>
      </c>
      <c r="AF88" s="46">
        <f t="shared" si="12"/>
        <v>0</v>
      </c>
      <c r="AG88" s="46">
        <f t="shared" si="12"/>
        <v>0</v>
      </c>
      <c r="AH88" s="46">
        <f t="shared" si="12"/>
        <v>0</v>
      </c>
      <c r="AI88" s="46">
        <f t="shared" si="12"/>
        <v>0</v>
      </c>
      <c r="AJ88" s="46">
        <f t="shared" si="12"/>
        <v>0</v>
      </c>
      <c r="AK88" s="46">
        <f t="shared" si="12"/>
        <v>0</v>
      </c>
      <c r="AL88" s="46">
        <f t="shared" si="12"/>
        <v>0</v>
      </c>
      <c r="AM88" s="52">
        <f t="shared" si="11"/>
        <v>0</v>
      </c>
    </row>
    <row r="89" spans="7:39" ht="21" x14ac:dyDescent="0.15">
      <c r="G89" s="206" t="s">
        <v>172</v>
      </c>
      <c r="H89" s="53" t="s">
        <v>173</v>
      </c>
      <c r="I89" s="45">
        <f t="shared" si="9"/>
        <v>0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52">
        <f t="shared" si="11"/>
        <v>0</v>
      </c>
    </row>
    <row r="90" spans="7:39" ht="21" x14ac:dyDescent="0.15">
      <c r="G90" s="206" t="s">
        <v>174</v>
      </c>
      <c r="H90" s="4" t="s">
        <v>175</v>
      </c>
      <c r="I90" s="45">
        <f t="shared" si="9"/>
        <v>0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52">
        <f t="shared" si="11"/>
        <v>0</v>
      </c>
    </row>
    <row r="91" spans="7:39" x14ac:dyDescent="0.15">
      <c r="G91" s="205" t="s">
        <v>176</v>
      </c>
      <c r="H91" s="4" t="s">
        <v>177</v>
      </c>
      <c r="I91" s="45">
        <f t="shared" si="9"/>
        <v>0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52">
        <f t="shared" si="11"/>
        <v>0</v>
      </c>
    </row>
    <row r="92" spans="7:39" x14ac:dyDescent="0.15">
      <c r="G92" s="205" t="s">
        <v>178</v>
      </c>
      <c r="H92" s="53" t="s">
        <v>179</v>
      </c>
      <c r="I92" s="45">
        <f t="shared" si="9"/>
        <v>0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52">
        <f t="shared" si="11"/>
        <v>0</v>
      </c>
    </row>
    <row r="93" spans="7:39" x14ac:dyDescent="0.15">
      <c r="G93" s="205" t="s">
        <v>180</v>
      </c>
      <c r="H93" s="4" t="s">
        <v>181</v>
      </c>
      <c r="I93" s="45">
        <f t="shared" si="9"/>
        <v>0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52">
        <f t="shared" si="11"/>
        <v>0</v>
      </c>
    </row>
    <row r="94" spans="7:39" x14ac:dyDescent="0.15">
      <c r="G94" s="205" t="s">
        <v>182</v>
      </c>
      <c r="H94" s="4" t="s">
        <v>183</v>
      </c>
      <c r="I94" s="45">
        <f t="shared" si="9"/>
        <v>0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52">
        <f t="shared" si="11"/>
        <v>0</v>
      </c>
    </row>
    <row r="95" spans="7:39" x14ac:dyDescent="0.15">
      <c r="G95" s="205" t="s">
        <v>184</v>
      </c>
      <c r="H95" s="53" t="s">
        <v>185</v>
      </c>
      <c r="I95" s="45">
        <f t="shared" si="9"/>
        <v>0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52">
        <f t="shared" si="11"/>
        <v>0</v>
      </c>
    </row>
    <row r="96" spans="7:39" x14ac:dyDescent="0.15">
      <c r="G96" s="205" t="s">
        <v>186</v>
      </c>
      <c r="H96" s="4" t="s">
        <v>187</v>
      </c>
      <c r="I96" s="45">
        <f t="shared" si="9"/>
        <v>0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52">
        <f t="shared" si="11"/>
        <v>0</v>
      </c>
    </row>
    <row r="97" spans="7:39" x14ac:dyDescent="0.15">
      <c r="G97" s="205" t="s">
        <v>188</v>
      </c>
      <c r="H97" s="4" t="s">
        <v>189</v>
      </c>
      <c r="I97" s="45">
        <f t="shared" si="9"/>
        <v>0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52">
        <f t="shared" si="11"/>
        <v>0</v>
      </c>
    </row>
    <row r="98" spans="7:39" x14ac:dyDescent="0.15">
      <c r="G98" s="205" t="s">
        <v>190</v>
      </c>
      <c r="H98" s="53" t="s">
        <v>191</v>
      </c>
      <c r="I98" s="45">
        <f t="shared" si="9"/>
        <v>0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52">
        <f t="shared" si="11"/>
        <v>0</v>
      </c>
    </row>
    <row r="99" spans="7:39" x14ac:dyDescent="0.15">
      <c r="G99" s="205" t="s">
        <v>192</v>
      </c>
      <c r="H99" s="4" t="s">
        <v>193</v>
      </c>
      <c r="I99" s="45">
        <f t="shared" si="9"/>
        <v>0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52">
        <f t="shared" si="11"/>
        <v>0</v>
      </c>
    </row>
    <row r="100" spans="7:39" x14ac:dyDescent="0.15">
      <c r="G100" s="205" t="s">
        <v>194</v>
      </c>
      <c r="H100" s="4" t="s">
        <v>195</v>
      </c>
      <c r="I100" s="45">
        <f t="shared" si="9"/>
        <v>0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52">
        <f t="shared" si="11"/>
        <v>0</v>
      </c>
    </row>
    <row r="101" spans="7:39" x14ac:dyDescent="0.15">
      <c r="G101" s="205" t="s">
        <v>196</v>
      </c>
      <c r="H101" s="53" t="s">
        <v>197</v>
      </c>
      <c r="I101" s="45">
        <f t="shared" si="9"/>
        <v>0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52">
        <f t="shared" si="11"/>
        <v>0</v>
      </c>
    </row>
    <row r="102" spans="7:39" x14ac:dyDescent="0.15">
      <c r="G102" s="205" t="s">
        <v>198</v>
      </c>
      <c r="H102" s="4" t="s">
        <v>199</v>
      </c>
      <c r="I102" s="45">
        <f t="shared" si="9"/>
        <v>0</v>
      </c>
      <c r="J102" s="46">
        <f t="shared" ref="J102:AL102" si="13">SUM(J103:J104)</f>
        <v>0</v>
      </c>
      <c r="K102" s="46">
        <f t="shared" si="13"/>
        <v>0</v>
      </c>
      <c r="L102" s="46">
        <f t="shared" si="13"/>
        <v>0</v>
      </c>
      <c r="M102" s="46">
        <f t="shared" si="13"/>
        <v>0</v>
      </c>
      <c r="N102" s="46">
        <f t="shared" si="13"/>
        <v>0</v>
      </c>
      <c r="O102" s="46">
        <f t="shared" si="13"/>
        <v>0</v>
      </c>
      <c r="P102" s="46">
        <f t="shared" si="13"/>
        <v>0</v>
      </c>
      <c r="Q102" s="46">
        <f t="shared" si="13"/>
        <v>0</v>
      </c>
      <c r="R102" s="46">
        <f t="shared" si="13"/>
        <v>0</v>
      </c>
      <c r="S102" s="46">
        <f t="shared" si="13"/>
        <v>0</v>
      </c>
      <c r="T102" s="46">
        <f t="shared" si="13"/>
        <v>0</v>
      </c>
      <c r="U102" s="46">
        <f t="shared" si="13"/>
        <v>0</v>
      </c>
      <c r="V102" s="46">
        <f t="shared" si="13"/>
        <v>0</v>
      </c>
      <c r="W102" s="46">
        <f t="shared" si="13"/>
        <v>0</v>
      </c>
      <c r="X102" s="46">
        <f t="shared" si="13"/>
        <v>0</v>
      </c>
      <c r="Y102" s="46">
        <f t="shared" si="13"/>
        <v>0</v>
      </c>
      <c r="Z102" s="46">
        <f t="shared" si="13"/>
        <v>0</v>
      </c>
      <c r="AA102" s="46">
        <f t="shared" si="13"/>
        <v>0</v>
      </c>
      <c r="AB102" s="46">
        <f t="shared" si="13"/>
        <v>0</v>
      </c>
      <c r="AC102" s="46">
        <f t="shared" si="13"/>
        <v>0</v>
      </c>
      <c r="AD102" s="46">
        <f t="shared" si="13"/>
        <v>0</v>
      </c>
      <c r="AE102" s="46">
        <f t="shared" si="13"/>
        <v>0</v>
      </c>
      <c r="AF102" s="46">
        <f t="shared" si="13"/>
        <v>0</v>
      </c>
      <c r="AG102" s="46">
        <f t="shared" si="13"/>
        <v>0</v>
      </c>
      <c r="AH102" s="46">
        <f t="shared" si="13"/>
        <v>0</v>
      </c>
      <c r="AI102" s="46">
        <f t="shared" si="13"/>
        <v>0</v>
      </c>
      <c r="AJ102" s="46">
        <f t="shared" si="13"/>
        <v>0</v>
      </c>
      <c r="AK102" s="46">
        <f t="shared" si="13"/>
        <v>0</v>
      </c>
      <c r="AL102" s="46">
        <f t="shared" si="13"/>
        <v>0</v>
      </c>
      <c r="AM102" s="52">
        <f t="shared" si="11"/>
        <v>0</v>
      </c>
    </row>
    <row r="103" spans="7:39" ht="21" x14ac:dyDescent="0.15">
      <c r="G103" s="206" t="s">
        <v>869</v>
      </c>
      <c r="H103" s="4" t="s">
        <v>200</v>
      </c>
      <c r="I103" s="45">
        <f t="shared" si="9"/>
        <v>0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52">
        <f t="shared" si="11"/>
        <v>0</v>
      </c>
    </row>
    <row r="104" spans="7:39" x14ac:dyDescent="0.15">
      <c r="G104" s="206" t="s">
        <v>863</v>
      </c>
      <c r="H104" s="53" t="s">
        <v>201</v>
      </c>
      <c r="I104" s="45">
        <f t="shared" si="9"/>
        <v>0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52">
        <f t="shared" si="11"/>
        <v>0</v>
      </c>
    </row>
    <row r="105" spans="7:39" x14ac:dyDescent="0.15">
      <c r="G105" s="205" t="s">
        <v>202</v>
      </c>
      <c r="H105" s="4" t="s">
        <v>203</v>
      </c>
      <c r="I105" s="45">
        <f t="shared" si="9"/>
        <v>0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52">
        <f t="shared" si="11"/>
        <v>0</v>
      </c>
    </row>
    <row r="106" spans="7:39" x14ac:dyDescent="0.15">
      <c r="G106" s="205" t="s">
        <v>204</v>
      </c>
      <c r="H106" s="4" t="s">
        <v>205</v>
      </c>
      <c r="I106" s="45">
        <f t="shared" si="9"/>
        <v>0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52">
        <f t="shared" si="11"/>
        <v>0</v>
      </c>
    </row>
    <row r="107" spans="7:39" x14ac:dyDescent="0.15">
      <c r="G107" s="205" t="s">
        <v>206</v>
      </c>
      <c r="H107" s="53" t="s">
        <v>207</v>
      </c>
      <c r="I107" s="45">
        <f t="shared" si="9"/>
        <v>0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52">
        <f t="shared" si="11"/>
        <v>0</v>
      </c>
    </row>
    <row r="108" spans="7:39" x14ac:dyDescent="0.15">
      <c r="G108" s="205" t="s">
        <v>208</v>
      </c>
      <c r="H108" s="4" t="s">
        <v>209</v>
      </c>
      <c r="I108" s="45">
        <f t="shared" si="9"/>
        <v>0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52">
        <f t="shared" si="11"/>
        <v>0</v>
      </c>
    </row>
    <row r="109" spans="7:39" x14ac:dyDescent="0.15">
      <c r="G109" s="205" t="s">
        <v>210</v>
      </c>
      <c r="H109" s="4" t="s">
        <v>211</v>
      </c>
      <c r="I109" s="45">
        <f t="shared" si="9"/>
        <v>0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52">
        <f t="shared" si="11"/>
        <v>0</v>
      </c>
    </row>
    <row r="110" spans="7:39" x14ac:dyDescent="0.15">
      <c r="G110" s="205" t="s">
        <v>212</v>
      </c>
      <c r="H110" s="53" t="s">
        <v>213</v>
      </c>
      <c r="I110" s="45">
        <f t="shared" si="9"/>
        <v>0</v>
      </c>
      <c r="J110" s="48">
        <f t="shared" ref="J110:AL110" si="14">SUM(J111:J117)</f>
        <v>0</v>
      </c>
      <c r="K110" s="48">
        <f t="shared" si="14"/>
        <v>0</v>
      </c>
      <c r="L110" s="48">
        <f t="shared" si="14"/>
        <v>0</v>
      </c>
      <c r="M110" s="48">
        <f t="shared" si="14"/>
        <v>0</v>
      </c>
      <c r="N110" s="48">
        <f t="shared" si="14"/>
        <v>0</v>
      </c>
      <c r="O110" s="48">
        <f t="shared" si="14"/>
        <v>0</v>
      </c>
      <c r="P110" s="48">
        <f t="shared" si="14"/>
        <v>0</v>
      </c>
      <c r="Q110" s="48">
        <f t="shared" si="14"/>
        <v>0</v>
      </c>
      <c r="R110" s="48">
        <f t="shared" si="14"/>
        <v>0</v>
      </c>
      <c r="S110" s="48">
        <f t="shared" si="14"/>
        <v>0</v>
      </c>
      <c r="T110" s="48">
        <f t="shared" si="14"/>
        <v>0</v>
      </c>
      <c r="U110" s="48">
        <f t="shared" si="14"/>
        <v>0</v>
      </c>
      <c r="V110" s="48">
        <f t="shared" si="14"/>
        <v>0</v>
      </c>
      <c r="W110" s="48">
        <f t="shared" si="14"/>
        <v>0</v>
      </c>
      <c r="X110" s="48">
        <f t="shared" si="14"/>
        <v>0</v>
      </c>
      <c r="Y110" s="48">
        <f t="shared" si="14"/>
        <v>0</v>
      </c>
      <c r="Z110" s="48">
        <f t="shared" si="14"/>
        <v>0</v>
      </c>
      <c r="AA110" s="48">
        <f t="shared" si="14"/>
        <v>0</v>
      </c>
      <c r="AB110" s="48">
        <f t="shared" si="14"/>
        <v>0</v>
      </c>
      <c r="AC110" s="48">
        <f t="shared" si="14"/>
        <v>0</v>
      </c>
      <c r="AD110" s="48">
        <f t="shared" si="14"/>
        <v>0</v>
      </c>
      <c r="AE110" s="48">
        <f t="shared" si="14"/>
        <v>0</v>
      </c>
      <c r="AF110" s="48">
        <f t="shared" si="14"/>
        <v>0</v>
      </c>
      <c r="AG110" s="48">
        <f t="shared" si="14"/>
        <v>0</v>
      </c>
      <c r="AH110" s="48">
        <f t="shared" si="14"/>
        <v>0</v>
      </c>
      <c r="AI110" s="48">
        <f t="shared" si="14"/>
        <v>0</v>
      </c>
      <c r="AJ110" s="48">
        <f t="shared" si="14"/>
        <v>0</v>
      </c>
      <c r="AK110" s="48">
        <f t="shared" si="14"/>
        <v>0</v>
      </c>
      <c r="AL110" s="48">
        <f t="shared" si="14"/>
        <v>0</v>
      </c>
      <c r="AM110" s="52">
        <f t="shared" si="11"/>
        <v>0</v>
      </c>
    </row>
    <row r="111" spans="7:39" ht="21" x14ac:dyDescent="0.15">
      <c r="G111" s="206" t="s">
        <v>214</v>
      </c>
      <c r="H111" s="4" t="s">
        <v>215</v>
      </c>
      <c r="I111" s="45">
        <f t="shared" si="9"/>
        <v>0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52">
        <f t="shared" si="11"/>
        <v>0</v>
      </c>
    </row>
    <row r="112" spans="7:39" x14ac:dyDescent="0.15">
      <c r="G112" s="206" t="s">
        <v>216</v>
      </c>
      <c r="H112" s="4" t="s">
        <v>217</v>
      </c>
      <c r="I112" s="45">
        <f t="shared" si="9"/>
        <v>0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52">
        <f t="shared" si="11"/>
        <v>0</v>
      </c>
    </row>
    <row r="113" spans="7:39" x14ac:dyDescent="0.15">
      <c r="G113" s="206" t="s">
        <v>218</v>
      </c>
      <c r="H113" s="53" t="s">
        <v>219</v>
      </c>
      <c r="I113" s="45">
        <f t="shared" si="9"/>
        <v>0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52">
        <f t="shared" si="11"/>
        <v>0</v>
      </c>
    </row>
    <row r="114" spans="7:39" x14ac:dyDescent="0.15">
      <c r="G114" s="206" t="s">
        <v>220</v>
      </c>
      <c r="H114" s="4" t="s">
        <v>221</v>
      </c>
      <c r="I114" s="45">
        <f t="shared" si="9"/>
        <v>0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52">
        <f t="shared" si="11"/>
        <v>0</v>
      </c>
    </row>
    <row r="115" spans="7:39" x14ac:dyDescent="0.15">
      <c r="G115" s="206" t="s">
        <v>222</v>
      </c>
      <c r="H115" s="4" t="s">
        <v>223</v>
      </c>
      <c r="I115" s="45">
        <f t="shared" si="9"/>
        <v>0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52">
        <f t="shared" si="11"/>
        <v>0</v>
      </c>
    </row>
    <row r="116" spans="7:39" x14ac:dyDescent="0.15">
      <c r="G116" s="206" t="s">
        <v>154</v>
      </c>
      <c r="H116" s="53" t="s">
        <v>224</v>
      </c>
      <c r="I116" s="45">
        <f t="shared" si="9"/>
        <v>0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52">
        <f t="shared" si="11"/>
        <v>0</v>
      </c>
    </row>
    <row r="117" spans="7:39" x14ac:dyDescent="0.15">
      <c r="G117" s="206" t="s">
        <v>225</v>
      </c>
      <c r="H117" s="4" t="s">
        <v>226</v>
      </c>
      <c r="I117" s="45">
        <f t="shared" si="9"/>
        <v>0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52">
        <f t="shared" si="11"/>
        <v>0</v>
      </c>
    </row>
    <row r="118" spans="7:39" x14ac:dyDescent="0.15">
      <c r="G118" s="205" t="s">
        <v>227</v>
      </c>
      <c r="H118" s="4" t="s">
        <v>228</v>
      </c>
      <c r="I118" s="45">
        <f t="shared" si="9"/>
        <v>0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52">
        <f t="shared" si="11"/>
        <v>0</v>
      </c>
    </row>
    <row r="119" spans="7:39" x14ac:dyDescent="0.15">
      <c r="G119" s="205" t="s">
        <v>229</v>
      </c>
      <c r="H119" s="53" t="s">
        <v>230</v>
      </c>
      <c r="I119" s="45">
        <f t="shared" si="9"/>
        <v>0</v>
      </c>
      <c r="J119" s="46">
        <f t="shared" ref="J119:AL119" si="15">SUM(J120:J123)</f>
        <v>0</v>
      </c>
      <c r="K119" s="46">
        <f t="shared" si="15"/>
        <v>0</v>
      </c>
      <c r="L119" s="46">
        <f t="shared" si="15"/>
        <v>0</v>
      </c>
      <c r="M119" s="46">
        <f t="shared" si="15"/>
        <v>0</v>
      </c>
      <c r="N119" s="46">
        <f t="shared" si="15"/>
        <v>0</v>
      </c>
      <c r="O119" s="46">
        <f t="shared" si="15"/>
        <v>0</v>
      </c>
      <c r="P119" s="46">
        <f t="shared" si="15"/>
        <v>0</v>
      </c>
      <c r="Q119" s="46">
        <f t="shared" si="15"/>
        <v>0</v>
      </c>
      <c r="R119" s="46">
        <f t="shared" si="15"/>
        <v>0</v>
      </c>
      <c r="S119" s="46">
        <f t="shared" si="15"/>
        <v>0</v>
      </c>
      <c r="T119" s="46">
        <f t="shared" si="15"/>
        <v>0</v>
      </c>
      <c r="U119" s="46">
        <f t="shared" si="15"/>
        <v>0</v>
      </c>
      <c r="V119" s="46">
        <f t="shared" si="15"/>
        <v>0</v>
      </c>
      <c r="W119" s="46">
        <f t="shared" si="15"/>
        <v>0</v>
      </c>
      <c r="X119" s="46">
        <f t="shared" si="15"/>
        <v>0</v>
      </c>
      <c r="Y119" s="46">
        <f t="shared" si="15"/>
        <v>0</v>
      </c>
      <c r="Z119" s="46">
        <f t="shared" si="15"/>
        <v>0</v>
      </c>
      <c r="AA119" s="46">
        <f t="shared" si="15"/>
        <v>0</v>
      </c>
      <c r="AB119" s="46">
        <f t="shared" si="15"/>
        <v>0</v>
      </c>
      <c r="AC119" s="46">
        <f t="shared" si="15"/>
        <v>0</v>
      </c>
      <c r="AD119" s="46">
        <f t="shared" si="15"/>
        <v>0</v>
      </c>
      <c r="AE119" s="46">
        <f t="shared" si="15"/>
        <v>0</v>
      </c>
      <c r="AF119" s="46">
        <f t="shared" si="15"/>
        <v>0</v>
      </c>
      <c r="AG119" s="46">
        <f t="shared" si="15"/>
        <v>0</v>
      </c>
      <c r="AH119" s="46">
        <f t="shared" si="15"/>
        <v>0</v>
      </c>
      <c r="AI119" s="46">
        <f t="shared" si="15"/>
        <v>0</v>
      </c>
      <c r="AJ119" s="46">
        <f t="shared" si="15"/>
        <v>0</v>
      </c>
      <c r="AK119" s="46">
        <f t="shared" si="15"/>
        <v>0</v>
      </c>
      <c r="AL119" s="46">
        <f t="shared" si="15"/>
        <v>0</v>
      </c>
      <c r="AM119" s="52">
        <f t="shared" si="11"/>
        <v>0</v>
      </c>
    </row>
    <row r="120" spans="7:39" ht="21" x14ac:dyDescent="0.15">
      <c r="G120" s="206" t="s">
        <v>870</v>
      </c>
      <c r="H120" s="4" t="s">
        <v>231</v>
      </c>
      <c r="I120" s="45">
        <f t="shared" si="9"/>
        <v>0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52">
        <f t="shared" si="11"/>
        <v>0</v>
      </c>
    </row>
    <row r="121" spans="7:39" x14ac:dyDescent="0.15">
      <c r="G121" s="206" t="s">
        <v>232</v>
      </c>
      <c r="H121" s="4" t="s">
        <v>233</v>
      </c>
      <c r="I121" s="45">
        <f t="shared" si="9"/>
        <v>0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52">
        <f t="shared" si="11"/>
        <v>0</v>
      </c>
    </row>
    <row r="122" spans="7:39" x14ac:dyDescent="0.15">
      <c r="G122" s="206" t="s">
        <v>234</v>
      </c>
      <c r="H122" s="53" t="s">
        <v>235</v>
      </c>
      <c r="I122" s="45">
        <f t="shared" si="9"/>
        <v>0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52">
        <f t="shared" si="11"/>
        <v>0</v>
      </c>
    </row>
    <row r="123" spans="7:39" ht="21" x14ac:dyDescent="0.15">
      <c r="G123" s="206" t="s">
        <v>236</v>
      </c>
      <c r="H123" s="4" t="s">
        <v>237</v>
      </c>
      <c r="I123" s="45">
        <f t="shared" si="9"/>
        <v>0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52">
        <f t="shared" si="11"/>
        <v>0</v>
      </c>
    </row>
    <row r="124" spans="7:39" x14ac:dyDescent="0.15">
      <c r="G124" s="205" t="s">
        <v>238</v>
      </c>
      <c r="H124" s="4" t="s">
        <v>239</v>
      </c>
      <c r="I124" s="45">
        <f t="shared" si="9"/>
        <v>0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52">
        <f t="shared" si="11"/>
        <v>0</v>
      </c>
    </row>
    <row r="125" spans="7:39" x14ac:dyDescent="0.15">
      <c r="G125" s="205" t="s">
        <v>240</v>
      </c>
      <c r="H125" s="53" t="s">
        <v>241</v>
      </c>
      <c r="I125" s="45">
        <f t="shared" si="9"/>
        <v>0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52">
        <f t="shared" si="11"/>
        <v>0</v>
      </c>
    </row>
    <row r="126" spans="7:39" x14ac:dyDescent="0.15">
      <c r="G126" s="205" t="s">
        <v>242</v>
      </c>
      <c r="H126" s="4" t="s">
        <v>243</v>
      </c>
      <c r="I126" s="45">
        <f t="shared" si="9"/>
        <v>0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52">
        <f t="shared" si="11"/>
        <v>0</v>
      </c>
    </row>
    <row r="127" spans="7:39" x14ac:dyDescent="0.15">
      <c r="G127" s="205" t="s">
        <v>244</v>
      </c>
      <c r="H127" s="4" t="s">
        <v>245</v>
      </c>
      <c r="I127" s="45">
        <f t="shared" si="9"/>
        <v>0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52">
        <f t="shared" si="11"/>
        <v>0</v>
      </c>
    </row>
    <row r="128" spans="7:39" x14ac:dyDescent="0.15">
      <c r="G128" s="205" t="s">
        <v>246</v>
      </c>
      <c r="H128" s="53" t="s">
        <v>247</v>
      </c>
      <c r="I128" s="45">
        <f t="shared" si="9"/>
        <v>0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52">
        <f t="shared" si="11"/>
        <v>0</v>
      </c>
    </row>
    <row r="129" spans="7:39" x14ac:dyDescent="0.15">
      <c r="G129" s="205" t="s">
        <v>248</v>
      </c>
      <c r="H129" s="4" t="s">
        <v>249</v>
      </c>
      <c r="I129" s="45">
        <f t="shared" si="9"/>
        <v>0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52">
        <f t="shared" si="11"/>
        <v>0</v>
      </c>
    </row>
    <row r="130" spans="7:39" x14ac:dyDescent="0.15">
      <c r="G130" s="205" t="s">
        <v>895</v>
      </c>
      <c r="H130" s="4" t="s">
        <v>251</v>
      </c>
      <c r="I130" s="45">
        <f t="shared" ref="I130" si="16">J130+U130</f>
        <v>0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52">
        <f t="shared" ref="AM130" si="17">SUM(I130:AL130)</f>
        <v>0</v>
      </c>
    </row>
    <row r="131" spans="7:39" x14ac:dyDescent="0.15">
      <c r="G131" s="205" t="s">
        <v>250</v>
      </c>
      <c r="H131" s="53" t="s">
        <v>253</v>
      </c>
      <c r="I131" s="45">
        <f t="shared" si="9"/>
        <v>0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52">
        <f t="shared" si="11"/>
        <v>0</v>
      </c>
    </row>
    <row r="132" spans="7:39" x14ac:dyDescent="0.15">
      <c r="G132" s="205" t="s">
        <v>252</v>
      </c>
      <c r="H132" s="4" t="s">
        <v>255</v>
      </c>
      <c r="I132" s="45">
        <f t="shared" si="9"/>
        <v>0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52">
        <f t="shared" si="11"/>
        <v>0</v>
      </c>
    </row>
    <row r="133" spans="7:39" x14ac:dyDescent="0.15">
      <c r="G133" s="205" t="s">
        <v>254</v>
      </c>
      <c r="H133" s="4" t="s">
        <v>257</v>
      </c>
      <c r="I133" s="45">
        <f t="shared" si="9"/>
        <v>0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52">
        <f t="shared" si="11"/>
        <v>0</v>
      </c>
    </row>
    <row r="134" spans="7:39" ht="21" x14ac:dyDescent="0.15">
      <c r="G134" s="207" t="s">
        <v>256</v>
      </c>
      <c r="H134" s="53" t="s">
        <v>259</v>
      </c>
      <c r="I134" s="45">
        <f t="shared" si="9"/>
        <v>0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52">
        <f t="shared" si="11"/>
        <v>0</v>
      </c>
    </row>
    <row r="135" spans="7:39" x14ac:dyDescent="0.15">
      <c r="G135" s="207" t="s">
        <v>258</v>
      </c>
      <c r="H135" s="4" t="s">
        <v>261</v>
      </c>
      <c r="I135" s="45">
        <f t="shared" si="9"/>
        <v>0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52">
        <f t="shared" si="11"/>
        <v>0</v>
      </c>
    </row>
    <row r="136" spans="7:39" x14ac:dyDescent="0.15">
      <c r="G136" s="207" t="s">
        <v>260</v>
      </c>
      <c r="H136" s="4" t="s">
        <v>263</v>
      </c>
      <c r="I136" s="45">
        <f t="shared" si="9"/>
        <v>0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52">
        <f t="shared" si="11"/>
        <v>0</v>
      </c>
    </row>
    <row r="137" spans="7:39" x14ac:dyDescent="0.15">
      <c r="G137" s="205" t="s">
        <v>262</v>
      </c>
      <c r="H137" s="53" t="s">
        <v>265</v>
      </c>
      <c r="I137" s="45">
        <f t="shared" si="9"/>
        <v>0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52">
        <f t="shared" si="11"/>
        <v>0</v>
      </c>
    </row>
    <row r="138" spans="7:39" x14ac:dyDescent="0.15">
      <c r="G138" s="205" t="s">
        <v>264</v>
      </c>
      <c r="H138" s="4" t="s">
        <v>267</v>
      </c>
      <c r="I138" s="45">
        <f t="shared" si="9"/>
        <v>0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52">
        <f t="shared" si="11"/>
        <v>0</v>
      </c>
    </row>
    <row r="139" spans="7:39" x14ac:dyDescent="0.15">
      <c r="G139" s="205" t="s">
        <v>266</v>
      </c>
      <c r="H139" s="4" t="s">
        <v>269</v>
      </c>
      <c r="I139" s="45">
        <f t="shared" si="9"/>
        <v>0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52">
        <f t="shared" si="11"/>
        <v>0</v>
      </c>
    </row>
    <row r="140" spans="7:39" x14ac:dyDescent="0.15">
      <c r="G140" s="205" t="s">
        <v>268</v>
      </c>
      <c r="H140" s="53" t="s">
        <v>271</v>
      </c>
      <c r="I140" s="45">
        <f t="shared" si="9"/>
        <v>0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52">
        <f t="shared" si="11"/>
        <v>0</v>
      </c>
    </row>
    <row r="141" spans="7:39" x14ac:dyDescent="0.15">
      <c r="G141" s="205" t="s">
        <v>270</v>
      </c>
      <c r="H141" s="4" t="s">
        <v>273</v>
      </c>
      <c r="I141" s="45">
        <f t="shared" ref="I141:I204" si="18">J141+U141</f>
        <v>0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52">
        <f t="shared" ref="AM141:AM204" si="19">SUM(I141:AL141)</f>
        <v>0</v>
      </c>
    </row>
    <row r="142" spans="7:39" x14ac:dyDescent="0.15">
      <c r="G142" s="205" t="s">
        <v>272</v>
      </c>
      <c r="H142" s="4" t="s">
        <v>275</v>
      </c>
      <c r="I142" s="45">
        <f t="shared" si="18"/>
        <v>0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52">
        <f t="shared" si="19"/>
        <v>0</v>
      </c>
    </row>
    <row r="143" spans="7:39" x14ac:dyDescent="0.15">
      <c r="G143" s="205" t="s">
        <v>274</v>
      </c>
      <c r="H143" s="53" t="s">
        <v>277</v>
      </c>
      <c r="I143" s="45">
        <f t="shared" si="18"/>
        <v>0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52">
        <f t="shared" si="19"/>
        <v>0</v>
      </c>
    </row>
    <row r="144" spans="7:39" x14ac:dyDescent="0.15">
      <c r="G144" s="205" t="s">
        <v>276</v>
      </c>
      <c r="H144" s="4" t="s">
        <v>279</v>
      </c>
      <c r="I144" s="45">
        <f t="shared" si="18"/>
        <v>0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52">
        <f t="shared" si="19"/>
        <v>0</v>
      </c>
    </row>
    <row r="145" spans="7:39" x14ac:dyDescent="0.15">
      <c r="G145" s="205" t="s">
        <v>278</v>
      </c>
      <c r="H145" s="4" t="s">
        <v>281</v>
      </c>
      <c r="I145" s="45">
        <f t="shared" si="18"/>
        <v>0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52">
        <f t="shared" si="19"/>
        <v>0</v>
      </c>
    </row>
    <row r="146" spans="7:39" x14ac:dyDescent="0.15">
      <c r="G146" s="205" t="s">
        <v>280</v>
      </c>
      <c r="H146" s="53" t="s">
        <v>283</v>
      </c>
      <c r="I146" s="45">
        <f t="shared" si="18"/>
        <v>0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52">
        <f t="shared" si="19"/>
        <v>0</v>
      </c>
    </row>
    <row r="147" spans="7:39" x14ac:dyDescent="0.15">
      <c r="G147" s="205" t="s">
        <v>282</v>
      </c>
      <c r="H147" s="4" t="s">
        <v>285</v>
      </c>
      <c r="I147" s="45">
        <f t="shared" si="18"/>
        <v>0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52">
        <f t="shared" si="19"/>
        <v>0</v>
      </c>
    </row>
    <row r="148" spans="7:39" x14ac:dyDescent="0.15">
      <c r="G148" s="205" t="s">
        <v>284</v>
      </c>
      <c r="H148" s="4" t="s">
        <v>287</v>
      </c>
      <c r="I148" s="45">
        <f t="shared" si="18"/>
        <v>0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52">
        <f t="shared" si="19"/>
        <v>0</v>
      </c>
    </row>
    <row r="149" spans="7:39" x14ac:dyDescent="0.15">
      <c r="G149" s="205" t="s">
        <v>286</v>
      </c>
      <c r="H149" s="53" t="s">
        <v>289</v>
      </c>
      <c r="I149" s="45">
        <f t="shared" si="18"/>
        <v>0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52">
        <f t="shared" si="19"/>
        <v>0</v>
      </c>
    </row>
    <row r="150" spans="7:39" x14ac:dyDescent="0.15">
      <c r="G150" s="205" t="s">
        <v>288</v>
      </c>
      <c r="H150" s="4" t="s">
        <v>291</v>
      </c>
      <c r="I150" s="45">
        <f t="shared" si="18"/>
        <v>0</v>
      </c>
      <c r="J150" s="48">
        <f t="shared" ref="J150:AL150" si="20">SUM(J151:J152)</f>
        <v>0</v>
      </c>
      <c r="K150" s="48">
        <f t="shared" si="20"/>
        <v>0</v>
      </c>
      <c r="L150" s="48">
        <f t="shared" si="20"/>
        <v>0</v>
      </c>
      <c r="M150" s="48">
        <f t="shared" si="20"/>
        <v>0</v>
      </c>
      <c r="N150" s="48">
        <f t="shared" si="20"/>
        <v>0</v>
      </c>
      <c r="O150" s="48">
        <f t="shared" si="20"/>
        <v>0</v>
      </c>
      <c r="P150" s="48">
        <f t="shared" si="20"/>
        <v>0</v>
      </c>
      <c r="Q150" s="48">
        <f t="shared" si="20"/>
        <v>0</v>
      </c>
      <c r="R150" s="48">
        <f t="shared" si="20"/>
        <v>0</v>
      </c>
      <c r="S150" s="48">
        <f t="shared" si="20"/>
        <v>0</v>
      </c>
      <c r="T150" s="48">
        <f t="shared" si="20"/>
        <v>0</v>
      </c>
      <c r="U150" s="48">
        <f t="shared" si="20"/>
        <v>0</v>
      </c>
      <c r="V150" s="48">
        <f t="shared" si="20"/>
        <v>0</v>
      </c>
      <c r="W150" s="48">
        <f t="shared" si="20"/>
        <v>0</v>
      </c>
      <c r="X150" s="48">
        <f t="shared" si="20"/>
        <v>0</v>
      </c>
      <c r="Y150" s="48">
        <f t="shared" si="20"/>
        <v>0</v>
      </c>
      <c r="Z150" s="48">
        <f t="shared" si="20"/>
        <v>0</v>
      </c>
      <c r="AA150" s="48">
        <f t="shared" si="20"/>
        <v>0</v>
      </c>
      <c r="AB150" s="48">
        <f t="shared" si="20"/>
        <v>0</v>
      </c>
      <c r="AC150" s="48">
        <f t="shared" si="20"/>
        <v>0</v>
      </c>
      <c r="AD150" s="48">
        <f t="shared" si="20"/>
        <v>0</v>
      </c>
      <c r="AE150" s="48">
        <f t="shared" si="20"/>
        <v>0</v>
      </c>
      <c r="AF150" s="48">
        <f t="shared" si="20"/>
        <v>0</v>
      </c>
      <c r="AG150" s="48">
        <f t="shared" si="20"/>
        <v>0</v>
      </c>
      <c r="AH150" s="48">
        <f t="shared" si="20"/>
        <v>0</v>
      </c>
      <c r="AI150" s="48">
        <f t="shared" si="20"/>
        <v>0</v>
      </c>
      <c r="AJ150" s="48">
        <f t="shared" si="20"/>
        <v>0</v>
      </c>
      <c r="AK150" s="48">
        <f t="shared" si="20"/>
        <v>0</v>
      </c>
      <c r="AL150" s="48">
        <f t="shared" si="20"/>
        <v>0</v>
      </c>
      <c r="AM150" s="52">
        <f t="shared" si="19"/>
        <v>0</v>
      </c>
    </row>
    <row r="151" spans="7:39" ht="21" x14ac:dyDescent="0.15">
      <c r="G151" s="206" t="s">
        <v>290</v>
      </c>
      <c r="H151" s="4" t="s">
        <v>293</v>
      </c>
      <c r="I151" s="45">
        <f t="shared" si="18"/>
        <v>0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52">
        <f t="shared" si="19"/>
        <v>0</v>
      </c>
    </row>
    <row r="152" spans="7:39" ht="21" x14ac:dyDescent="0.15">
      <c r="G152" s="206" t="s">
        <v>292</v>
      </c>
      <c r="H152" s="53" t="s">
        <v>295</v>
      </c>
      <c r="I152" s="45">
        <f t="shared" si="18"/>
        <v>0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52">
        <f t="shared" si="19"/>
        <v>0</v>
      </c>
    </row>
    <row r="153" spans="7:39" x14ac:dyDescent="0.15">
      <c r="G153" s="205" t="s">
        <v>294</v>
      </c>
      <c r="H153" s="4" t="s">
        <v>297</v>
      </c>
      <c r="I153" s="45">
        <f t="shared" si="18"/>
        <v>0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52">
        <f t="shared" si="19"/>
        <v>0</v>
      </c>
    </row>
    <row r="154" spans="7:39" x14ac:dyDescent="0.15">
      <c r="G154" s="205" t="s">
        <v>296</v>
      </c>
      <c r="H154" s="4" t="s">
        <v>299</v>
      </c>
      <c r="I154" s="45">
        <f t="shared" si="18"/>
        <v>0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52">
        <f t="shared" si="19"/>
        <v>0</v>
      </c>
    </row>
    <row r="155" spans="7:39" x14ac:dyDescent="0.15">
      <c r="G155" s="205" t="s">
        <v>298</v>
      </c>
      <c r="H155" s="53" t="s">
        <v>301</v>
      </c>
      <c r="I155" s="45">
        <f t="shared" si="18"/>
        <v>0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52">
        <f t="shared" si="19"/>
        <v>0</v>
      </c>
    </row>
    <row r="156" spans="7:39" x14ac:dyDescent="0.15">
      <c r="G156" s="205" t="s">
        <v>300</v>
      </c>
      <c r="H156" s="4" t="s">
        <v>303</v>
      </c>
      <c r="I156" s="45">
        <f t="shared" si="18"/>
        <v>0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52">
        <f t="shared" si="19"/>
        <v>0</v>
      </c>
    </row>
    <row r="157" spans="7:39" x14ac:dyDescent="0.15">
      <c r="G157" s="205" t="s">
        <v>302</v>
      </c>
      <c r="H157" s="4" t="s">
        <v>305</v>
      </c>
      <c r="I157" s="45">
        <f t="shared" si="18"/>
        <v>0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52">
        <f t="shared" si="19"/>
        <v>0</v>
      </c>
    </row>
    <row r="158" spans="7:39" x14ac:dyDescent="0.15">
      <c r="G158" s="205" t="s">
        <v>304</v>
      </c>
      <c r="H158" s="53" t="s">
        <v>307</v>
      </c>
      <c r="I158" s="45">
        <f t="shared" si="18"/>
        <v>0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52">
        <f t="shared" si="19"/>
        <v>0</v>
      </c>
    </row>
    <row r="159" spans="7:39" x14ac:dyDescent="0.15">
      <c r="G159" s="205" t="s">
        <v>306</v>
      </c>
      <c r="H159" s="4" t="s">
        <v>309</v>
      </c>
      <c r="I159" s="45">
        <f t="shared" si="18"/>
        <v>0</v>
      </c>
      <c r="J159" s="46">
        <f t="shared" ref="J159:AL159" si="21">SUM(J160:J163)</f>
        <v>0</v>
      </c>
      <c r="K159" s="46">
        <f t="shared" si="21"/>
        <v>0</v>
      </c>
      <c r="L159" s="46">
        <f t="shared" si="21"/>
        <v>0</v>
      </c>
      <c r="M159" s="46">
        <f t="shared" si="21"/>
        <v>0</v>
      </c>
      <c r="N159" s="46">
        <f t="shared" si="21"/>
        <v>0</v>
      </c>
      <c r="O159" s="46">
        <f t="shared" si="21"/>
        <v>0</v>
      </c>
      <c r="P159" s="46">
        <f t="shared" si="21"/>
        <v>0</v>
      </c>
      <c r="Q159" s="46">
        <f t="shared" si="21"/>
        <v>0</v>
      </c>
      <c r="R159" s="46">
        <f t="shared" si="21"/>
        <v>0</v>
      </c>
      <c r="S159" s="46">
        <f t="shared" si="21"/>
        <v>0</v>
      </c>
      <c r="T159" s="46">
        <f t="shared" si="21"/>
        <v>0</v>
      </c>
      <c r="U159" s="46">
        <f t="shared" si="21"/>
        <v>0</v>
      </c>
      <c r="V159" s="46">
        <f t="shared" si="21"/>
        <v>0</v>
      </c>
      <c r="W159" s="46">
        <f t="shared" si="21"/>
        <v>0</v>
      </c>
      <c r="X159" s="46">
        <f t="shared" si="21"/>
        <v>0</v>
      </c>
      <c r="Y159" s="46">
        <f t="shared" si="21"/>
        <v>0</v>
      </c>
      <c r="Z159" s="46">
        <f t="shared" si="21"/>
        <v>0</v>
      </c>
      <c r="AA159" s="46">
        <f t="shared" si="21"/>
        <v>0</v>
      </c>
      <c r="AB159" s="46">
        <f t="shared" si="21"/>
        <v>0</v>
      </c>
      <c r="AC159" s="46">
        <f t="shared" si="21"/>
        <v>0</v>
      </c>
      <c r="AD159" s="46">
        <f t="shared" si="21"/>
        <v>0</v>
      </c>
      <c r="AE159" s="46">
        <f t="shared" si="21"/>
        <v>0</v>
      </c>
      <c r="AF159" s="46">
        <f t="shared" si="21"/>
        <v>0</v>
      </c>
      <c r="AG159" s="46">
        <f t="shared" si="21"/>
        <v>0</v>
      </c>
      <c r="AH159" s="46">
        <f t="shared" si="21"/>
        <v>0</v>
      </c>
      <c r="AI159" s="46">
        <f t="shared" si="21"/>
        <v>0</v>
      </c>
      <c r="AJ159" s="46">
        <f t="shared" si="21"/>
        <v>0</v>
      </c>
      <c r="AK159" s="46">
        <f t="shared" si="21"/>
        <v>0</v>
      </c>
      <c r="AL159" s="46">
        <f t="shared" si="21"/>
        <v>0</v>
      </c>
      <c r="AM159" s="52">
        <f t="shared" si="19"/>
        <v>0</v>
      </c>
    </row>
    <row r="160" spans="7:39" ht="21" x14ac:dyDescent="0.15">
      <c r="G160" s="206" t="s">
        <v>308</v>
      </c>
      <c r="H160" s="4" t="s">
        <v>311</v>
      </c>
      <c r="I160" s="45">
        <f t="shared" si="18"/>
        <v>0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52">
        <f t="shared" si="19"/>
        <v>0</v>
      </c>
    </row>
    <row r="161" spans="7:39" x14ac:dyDescent="0.15">
      <c r="G161" s="206" t="s">
        <v>310</v>
      </c>
      <c r="H161" s="53" t="s">
        <v>313</v>
      </c>
      <c r="I161" s="45">
        <f t="shared" si="18"/>
        <v>0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52">
        <f t="shared" si="19"/>
        <v>0</v>
      </c>
    </row>
    <row r="162" spans="7:39" x14ac:dyDescent="0.15">
      <c r="G162" s="206" t="s">
        <v>312</v>
      </c>
      <c r="H162" s="4" t="s">
        <v>315</v>
      </c>
      <c r="I162" s="45">
        <f t="shared" si="18"/>
        <v>0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52">
        <f t="shared" si="19"/>
        <v>0</v>
      </c>
    </row>
    <row r="163" spans="7:39" x14ac:dyDescent="0.15">
      <c r="G163" s="206" t="s">
        <v>314</v>
      </c>
      <c r="H163" s="4" t="s">
        <v>317</v>
      </c>
      <c r="I163" s="45">
        <f t="shared" si="18"/>
        <v>0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52">
        <f t="shared" si="19"/>
        <v>0</v>
      </c>
    </row>
    <row r="164" spans="7:39" x14ac:dyDescent="0.15">
      <c r="G164" s="205" t="s">
        <v>316</v>
      </c>
      <c r="H164" s="53" t="s">
        <v>319</v>
      </c>
      <c r="I164" s="45">
        <f t="shared" si="18"/>
        <v>0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52">
        <f t="shared" si="19"/>
        <v>0</v>
      </c>
    </row>
    <row r="165" spans="7:39" x14ac:dyDescent="0.15">
      <c r="G165" s="205" t="s">
        <v>318</v>
      </c>
      <c r="H165" s="4" t="s">
        <v>321</v>
      </c>
      <c r="I165" s="45">
        <f t="shared" si="18"/>
        <v>0</v>
      </c>
      <c r="J165" s="46">
        <f t="shared" ref="J165:AL165" si="22">SUM(J166:J170)</f>
        <v>0</v>
      </c>
      <c r="K165" s="46">
        <f t="shared" si="22"/>
        <v>0</v>
      </c>
      <c r="L165" s="46">
        <f t="shared" si="22"/>
        <v>0</v>
      </c>
      <c r="M165" s="46">
        <f t="shared" si="22"/>
        <v>0</v>
      </c>
      <c r="N165" s="46">
        <f t="shared" si="22"/>
        <v>0</v>
      </c>
      <c r="O165" s="46">
        <f t="shared" si="22"/>
        <v>0</v>
      </c>
      <c r="P165" s="46">
        <f t="shared" si="22"/>
        <v>0</v>
      </c>
      <c r="Q165" s="46">
        <f t="shared" si="22"/>
        <v>0</v>
      </c>
      <c r="R165" s="46">
        <f t="shared" si="22"/>
        <v>0</v>
      </c>
      <c r="S165" s="46">
        <f t="shared" si="22"/>
        <v>0</v>
      </c>
      <c r="T165" s="46">
        <f t="shared" si="22"/>
        <v>0</v>
      </c>
      <c r="U165" s="46">
        <f t="shared" si="22"/>
        <v>0</v>
      </c>
      <c r="V165" s="46">
        <f t="shared" si="22"/>
        <v>0</v>
      </c>
      <c r="W165" s="46">
        <f t="shared" si="22"/>
        <v>0</v>
      </c>
      <c r="X165" s="46">
        <f t="shared" si="22"/>
        <v>0</v>
      </c>
      <c r="Y165" s="46">
        <f t="shared" si="22"/>
        <v>0</v>
      </c>
      <c r="Z165" s="46">
        <f t="shared" si="22"/>
        <v>0</v>
      </c>
      <c r="AA165" s="46">
        <f t="shared" si="22"/>
        <v>0</v>
      </c>
      <c r="AB165" s="46">
        <f t="shared" si="22"/>
        <v>0</v>
      </c>
      <c r="AC165" s="46">
        <f t="shared" si="22"/>
        <v>0</v>
      </c>
      <c r="AD165" s="46">
        <f t="shared" si="22"/>
        <v>0</v>
      </c>
      <c r="AE165" s="46">
        <f t="shared" si="22"/>
        <v>0</v>
      </c>
      <c r="AF165" s="46">
        <f t="shared" si="22"/>
        <v>0</v>
      </c>
      <c r="AG165" s="46">
        <f t="shared" si="22"/>
        <v>0</v>
      </c>
      <c r="AH165" s="46">
        <f t="shared" si="22"/>
        <v>0</v>
      </c>
      <c r="AI165" s="46">
        <f t="shared" si="22"/>
        <v>0</v>
      </c>
      <c r="AJ165" s="46">
        <f t="shared" si="22"/>
        <v>0</v>
      </c>
      <c r="AK165" s="46">
        <f t="shared" si="22"/>
        <v>0</v>
      </c>
      <c r="AL165" s="46">
        <f t="shared" si="22"/>
        <v>0</v>
      </c>
      <c r="AM165" s="52">
        <f t="shared" si="19"/>
        <v>0</v>
      </c>
    </row>
    <row r="166" spans="7:39" ht="21" x14ac:dyDescent="0.15">
      <c r="G166" s="206" t="s">
        <v>320</v>
      </c>
      <c r="H166" s="4" t="s">
        <v>323</v>
      </c>
      <c r="I166" s="45">
        <f t="shared" si="18"/>
        <v>0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52">
        <f t="shared" si="19"/>
        <v>0</v>
      </c>
    </row>
    <row r="167" spans="7:39" x14ac:dyDescent="0.15">
      <c r="G167" s="206" t="s">
        <v>322</v>
      </c>
      <c r="H167" s="53" t="s">
        <v>325</v>
      </c>
      <c r="I167" s="45">
        <f t="shared" si="18"/>
        <v>0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52">
        <f t="shared" si="19"/>
        <v>0</v>
      </c>
    </row>
    <row r="168" spans="7:39" x14ac:dyDescent="0.15">
      <c r="G168" s="206" t="s">
        <v>324</v>
      </c>
      <c r="H168" s="4" t="s">
        <v>327</v>
      </c>
      <c r="I168" s="45">
        <f t="shared" si="18"/>
        <v>0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52">
        <f t="shared" si="19"/>
        <v>0</v>
      </c>
    </row>
    <row r="169" spans="7:39" x14ac:dyDescent="0.15">
      <c r="G169" s="206" t="s">
        <v>326</v>
      </c>
      <c r="H169" s="4" t="s">
        <v>329</v>
      </c>
      <c r="I169" s="45">
        <f t="shared" si="18"/>
        <v>0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52">
        <f t="shared" si="19"/>
        <v>0</v>
      </c>
    </row>
    <row r="170" spans="7:39" ht="21" x14ac:dyDescent="0.15">
      <c r="G170" s="206" t="s">
        <v>328</v>
      </c>
      <c r="H170" s="53" t="s">
        <v>331</v>
      </c>
      <c r="I170" s="45">
        <f t="shared" si="18"/>
        <v>0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52">
        <f t="shared" si="19"/>
        <v>0</v>
      </c>
    </row>
    <row r="171" spans="7:39" x14ac:dyDescent="0.15">
      <c r="G171" s="205" t="s">
        <v>330</v>
      </c>
      <c r="H171" s="4" t="s">
        <v>333</v>
      </c>
      <c r="I171" s="45">
        <f t="shared" si="18"/>
        <v>0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52">
        <f t="shared" si="19"/>
        <v>0</v>
      </c>
    </row>
    <row r="172" spans="7:39" x14ac:dyDescent="0.15">
      <c r="G172" s="205" t="s">
        <v>332</v>
      </c>
      <c r="H172" s="4" t="s">
        <v>335</v>
      </c>
      <c r="I172" s="45">
        <f t="shared" si="18"/>
        <v>0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52">
        <f t="shared" si="19"/>
        <v>0</v>
      </c>
    </row>
    <row r="173" spans="7:39" x14ac:dyDescent="0.15">
      <c r="G173" s="205" t="s">
        <v>334</v>
      </c>
      <c r="H173" s="53" t="s">
        <v>337</v>
      </c>
      <c r="I173" s="45">
        <f t="shared" si="18"/>
        <v>0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52">
        <f t="shared" si="19"/>
        <v>0</v>
      </c>
    </row>
    <row r="174" spans="7:39" x14ac:dyDescent="0.15">
      <c r="G174" s="205" t="s">
        <v>336</v>
      </c>
      <c r="H174" s="4" t="s">
        <v>339</v>
      </c>
      <c r="I174" s="45">
        <f t="shared" si="18"/>
        <v>0</v>
      </c>
      <c r="J174" s="46">
        <f t="shared" ref="J174:AL174" si="23">SUM(J175:J179)</f>
        <v>0</v>
      </c>
      <c r="K174" s="46">
        <f t="shared" si="23"/>
        <v>0</v>
      </c>
      <c r="L174" s="46">
        <f t="shared" si="23"/>
        <v>0</v>
      </c>
      <c r="M174" s="46">
        <f t="shared" si="23"/>
        <v>0</v>
      </c>
      <c r="N174" s="46">
        <f t="shared" si="23"/>
        <v>0</v>
      </c>
      <c r="O174" s="46">
        <f t="shared" si="23"/>
        <v>0</v>
      </c>
      <c r="P174" s="46">
        <f t="shared" si="23"/>
        <v>0</v>
      </c>
      <c r="Q174" s="46">
        <f t="shared" si="23"/>
        <v>0</v>
      </c>
      <c r="R174" s="46">
        <f t="shared" si="23"/>
        <v>0</v>
      </c>
      <c r="S174" s="46">
        <f t="shared" si="23"/>
        <v>0</v>
      </c>
      <c r="T174" s="46">
        <f t="shared" si="23"/>
        <v>0</v>
      </c>
      <c r="U174" s="46">
        <f t="shared" si="23"/>
        <v>0</v>
      </c>
      <c r="V174" s="46">
        <f t="shared" si="23"/>
        <v>0</v>
      </c>
      <c r="W174" s="46">
        <f t="shared" si="23"/>
        <v>0</v>
      </c>
      <c r="X174" s="46">
        <f t="shared" si="23"/>
        <v>0</v>
      </c>
      <c r="Y174" s="46">
        <f t="shared" si="23"/>
        <v>0</v>
      </c>
      <c r="Z174" s="46">
        <f t="shared" si="23"/>
        <v>0</v>
      </c>
      <c r="AA174" s="46">
        <f t="shared" si="23"/>
        <v>0</v>
      </c>
      <c r="AB174" s="46">
        <f t="shared" si="23"/>
        <v>0</v>
      </c>
      <c r="AC174" s="46">
        <f t="shared" si="23"/>
        <v>0</v>
      </c>
      <c r="AD174" s="46">
        <f t="shared" si="23"/>
        <v>0</v>
      </c>
      <c r="AE174" s="46">
        <f t="shared" si="23"/>
        <v>0</v>
      </c>
      <c r="AF174" s="46">
        <f t="shared" si="23"/>
        <v>0</v>
      </c>
      <c r="AG174" s="46">
        <f t="shared" si="23"/>
        <v>0</v>
      </c>
      <c r="AH174" s="46">
        <f t="shared" si="23"/>
        <v>0</v>
      </c>
      <c r="AI174" s="46">
        <f t="shared" si="23"/>
        <v>0</v>
      </c>
      <c r="AJ174" s="46">
        <f t="shared" si="23"/>
        <v>0</v>
      </c>
      <c r="AK174" s="46">
        <f t="shared" si="23"/>
        <v>0</v>
      </c>
      <c r="AL174" s="46">
        <f t="shared" si="23"/>
        <v>0</v>
      </c>
      <c r="AM174" s="52">
        <f t="shared" si="19"/>
        <v>0</v>
      </c>
    </row>
    <row r="175" spans="7:39" ht="21" x14ac:dyDescent="0.15">
      <c r="G175" s="206" t="s">
        <v>338</v>
      </c>
      <c r="H175" s="4" t="s">
        <v>341</v>
      </c>
      <c r="I175" s="45">
        <f t="shared" si="18"/>
        <v>0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52">
        <f t="shared" si="19"/>
        <v>0</v>
      </c>
    </row>
    <row r="176" spans="7:39" x14ac:dyDescent="0.15">
      <c r="G176" s="206" t="s">
        <v>340</v>
      </c>
      <c r="H176" s="53" t="s">
        <v>343</v>
      </c>
      <c r="I176" s="45">
        <f t="shared" si="18"/>
        <v>0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52">
        <f t="shared" si="19"/>
        <v>0</v>
      </c>
    </row>
    <row r="177" spans="7:39" x14ac:dyDescent="0.15">
      <c r="G177" s="206" t="s">
        <v>342</v>
      </c>
      <c r="H177" s="4" t="s">
        <v>345</v>
      </c>
      <c r="I177" s="45">
        <f t="shared" si="18"/>
        <v>0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52">
        <f t="shared" si="19"/>
        <v>0</v>
      </c>
    </row>
    <row r="178" spans="7:39" x14ac:dyDescent="0.15">
      <c r="G178" s="206" t="s">
        <v>344</v>
      </c>
      <c r="H178" s="4" t="s">
        <v>347</v>
      </c>
      <c r="I178" s="45">
        <f t="shared" si="18"/>
        <v>0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52">
        <f t="shared" si="19"/>
        <v>0</v>
      </c>
    </row>
    <row r="179" spans="7:39" x14ac:dyDescent="0.15">
      <c r="G179" s="206" t="s">
        <v>346</v>
      </c>
      <c r="H179" s="53" t="s">
        <v>349</v>
      </c>
      <c r="I179" s="45">
        <f t="shared" si="18"/>
        <v>0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52">
        <f t="shared" si="19"/>
        <v>0</v>
      </c>
    </row>
    <row r="180" spans="7:39" x14ac:dyDescent="0.15">
      <c r="G180" s="205" t="s">
        <v>348</v>
      </c>
      <c r="H180" s="4" t="s">
        <v>351</v>
      </c>
      <c r="I180" s="45">
        <f t="shared" si="18"/>
        <v>0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52">
        <f t="shared" si="19"/>
        <v>0</v>
      </c>
    </row>
    <row r="181" spans="7:39" x14ac:dyDescent="0.15">
      <c r="G181" s="205" t="s">
        <v>350</v>
      </c>
      <c r="H181" s="4" t="s">
        <v>353</v>
      </c>
      <c r="I181" s="45">
        <f t="shared" si="18"/>
        <v>0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52">
        <f t="shared" si="19"/>
        <v>0</v>
      </c>
    </row>
    <row r="182" spans="7:39" x14ac:dyDescent="0.15">
      <c r="G182" s="205" t="s">
        <v>352</v>
      </c>
      <c r="H182" s="53" t="s">
        <v>355</v>
      </c>
      <c r="I182" s="45">
        <f t="shared" si="18"/>
        <v>0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52">
        <f t="shared" si="19"/>
        <v>0</v>
      </c>
    </row>
    <row r="183" spans="7:39" x14ac:dyDescent="0.15">
      <c r="G183" s="205" t="s">
        <v>354</v>
      </c>
      <c r="H183" s="4" t="s">
        <v>357</v>
      </c>
      <c r="I183" s="45">
        <f t="shared" si="18"/>
        <v>0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52">
        <f t="shared" si="19"/>
        <v>0</v>
      </c>
    </row>
    <row r="184" spans="7:39" x14ac:dyDescent="0.15">
      <c r="G184" s="205" t="s">
        <v>356</v>
      </c>
      <c r="H184" s="4" t="s">
        <v>359</v>
      </c>
      <c r="I184" s="45">
        <f t="shared" si="18"/>
        <v>0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52">
        <f t="shared" si="19"/>
        <v>0</v>
      </c>
    </row>
    <row r="185" spans="7:39" x14ac:dyDescent="0.15">
      <c r="G185" s="205" t="s">
        <v>358</v>
      </c>
      <c r="H185" s="53" t="s">
        <v>361</v>
      </c>
      <c r="I185" s="45">
        <f t="shared" si="18"/>
        <v>0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52">
        <f t="shared" si="19"/>
        <v>0</v>
      </c>
    </row>
    <row r="186" spans="7:39" x14ac:dyDescent="0.15">
      <c r="G186" s="205" t="s">
        <v>360</v>
      </c>
      <c r="H186" s="4" t="s">
        <v>363</v>
      </c>
      <c r="I186" s="45">
        <f t="shared" si="18"/>
        <v>0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52">
        <f t="shared" si="19"/>
        <v>0</v>
      </c>
    </row>
    <row r="187" spans="7:39" x14ac:dyDescent="0.15">
      <c r="G187" s="205" t="s">
        <v>362</v>
      </c>
      <c r="H187" s="4" t="s">
        <v>365</v>
      </c>
      <c r="I187" s="45">
        <f t="shared" si="18"/>
        <v>0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52">
        <f t="shared" si="19"/>
        <v>0</v>
      </c>
    </row>
    <row r="188" spans="7:39" x14ac:dyDescent="0.15">
      <c r="G188" s="205" t="s">
        <v>364</v>
      </c>
      <c r="H188" s="53" t="s">
        <v>367</v>
      </c>
      <c r="I188" s="45">
        <f t="shared" si="18"/>
        <v>0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52">
        <f t="shared" si="19"/>
        <v>0</v>
      </c>
    </row>
    <row r="189" spans="7:39" x14ac:dyDescent="0.15">
      <c r="G189" s="205" t="s">
        <v>366</v>
      </c>
      <c r="H189" s="4" t="s">
        <v>369</v>
      </c>
      <c r="I189" s="45">
        <f t="shared" si="18"/>
        <v>0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52">
        <f t="shared" si="19"/>
        <v>0</v>
      </c>
    </row>
    <row r="190" spans="7:39" x14ac:dyDescent="0.15">
      <c r="G190" s="205" t="s">
        <v>368</v>
      </c>
      <c r="H190" s="4" t="s">
        <v>371</v>
      </c>
      <c r="I190" s="45">
        <f t="shared" si="18"/>
        <v>0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52">
        <f t="shared" si="19"/>
        <v>0</v>
      </c>
    </row>
    <row r="191" spans="7:39" x14ac:dyDescent="0.15">
      <c r="G191" s="205" t="s">
        <v>370</v>
      </c>
      <c r="H191" s="53" t="s">
        <v>373</v>
      </c>
      <c r="I191" s="45">
        <f t="shared" si="18"/>
        <v>0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52">
        <f t="shared" si="19"/>
        <v>0</v>
      </c>
    </row>
    <row r="192" spans="7:39" x14ac:dyDescent="0.15">
      <c r="G192" s="205" t="s">
        <v>372</v>
      </c>
      <c r="H192" s="4" t="s">
        <v>375</v>
      </c>
      <c r="I192" s="45">
        <f t="shared" si="18"/>
        <v>0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52">
        <f t="shared" si="19"/>
        <v>0</v>
      </c>
    </row>
    <row r="193" spans="7:39" x14ac:dyDescent="0.15">
      <c r="G193" s="205" t="s">
        <v>374</v>
      </c>
      <c r="H193" s="4" t="s">
        <v>377</v>
      </c>
      <c r="I193" s="45">
        <f t="shared" si="18"/>
        <v>0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52">
        <f t="shared" si="19"/>
        <v>0</v>
      </c>
    </row>
    <row r="194" spans="7:39" x14ac:dyDescent="0.15">
      <c r="G194" s="205" t="s">
        <v>376</v>
      </c>
      <c r="H194" s="53" t="s">
        <v>379</v>
      </c>
      <c r="I194" s="45">
        <f t="shared" si="18"/>
        <v>0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52">
        <f t="shared" si="19"/>
        <v>0</v>
      </c>
    </row>
    <row r="195" spans="7:39" x14ac:dyDescent="0.15">
      <c r="G195" s="205" t="s">
        <v>378</v>
      </c>
      <c r="H195" s="4" t="s">
        <v>381</v>
      </c>
      <c r="I195" s="45">
        <f t="shared" si="18"/>
        <v>0</v>
      </c>
      <c r="J195" s="46">
        <f t="shared" ref="J195:AL195" si="24">SUM(J196:J198)</f>
        <v>0</v>
      </c>
      <c r="K195" s="46">
        <f t="shared" si="24"/>
        <v>0</v>
      </c>
      <c r="L195" s="46">
        <f t="shared" si="24"/>
        <v>0</v>
      </c>
      <c r="M195" s="46">
        <f t="shared" si="24"/>
        <v>0</v>
      </c>
      <c r="N195" s="46">
        <f t="shared" si="24"/>
        <v>0</v>
      </c>
      <c r="O195" s="46">
        <f t="shared" si="24"/>
        <v>0</v>
      </c>
      <c r="P195" s="46">
        <f t="shared" si="24"/>
        <v>0</v>
      </c>
      <c r="Q195" s="46">
        <f t="shared" si="24"/>
        <v>0</v>
      </c>
      <c r="R195" s="46">
        <f t="shared" si="24"/>
        <v>0</v>
      </c>
      <c r="S195" s="46">
        <f t="shared" si="24"/>
        <v>0</v>
      </c>
      <c r="T195" s="46">
        <f t="shared" si="24"/>
        <v>0</v>
      </c>
      <c r="U195" s="46">
        <f t="shared" si="24"/>
        <v>0</v>
      </c>
      <c r="V195" s="46">
        <f t="shared" si="24"/>
        <v>0</v>
      </c>
      <c r="W195" s="46">
        <f t="shared" si="24"/>
        <v>0</v>
      </c>
      <c r="X195" s="46">
        <f t="shared" si="24"/>
        <v>0</v>
      </c>
      <c r="Y195" s="46">
        <f t="shared" si="24"/>
        <v>0</v>
      </c>
      <c r="Z195" s="46">
        <f t="shared" si="24"/>
        <v>0</v>
      </c>
      <c r="AA195" s="46">
        <f t="shared" si="24"/>
        <v>0</v>
      </c>
      <c r="AB195" s="46">
        <f t="shared" si="24"/>
        <v>0</v>
      </c>
      <c r="AC195" s="46">
        <f t="shared" si="24"/>
        <v>0</v>
      </c>
      <c r="AD195" s="46">
        <f t="shared" si="24"/>
        <v>0</v>
      </c>
      <c r="AE195" s="46">
        <f t="shared" si="24"/>
        <v>0</v>
      </c>
      <c r="AF195" s="46">
        <f t="shared" si="24"/>
        <v>0</v>
      </c>
      <c r="AG195" s="46">
        <f t="shared" si="24"/>
        <v>0</v>
      </c>
      <c r="AH195" s="46">
        <f t="shared" si="24"/>
        <v>0</v>
      </c>
      <c r="AI195" s="46">
        <f t="shared" si="24"/>
        <v>0</v>
      </c>
      <c r="AJ195" s="46">
        <f t="shared" si="24"/>
        <v>0</v>
      </c>
      <c r="AK195" s="46">
        <f t="shared" si="24"/>
        <v>0</v>
      </c>
      <c r="AL195" s="46">
        <f t="shared" si="24"/>
        <v>0</v>
      </c>
      <c r="AM195" s="52">
        <f t="shared" si="19"/>
        <v>0</v>
      </c>
    </row>
    <row r="196" spans="7:39" ht="21" x14ac:dyDescent="0.15">
      <c r="G196" s="206" t="s">
        <v>380</v>
      </c>
      <c r="H196" s="4" t="s">
        <v>383</v>
      </c>
      <c r="I196" s="45">
        <f t="shared" si="18"/>
        <v>0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52">
        <f t="shared" si="19"/>
        <v>0</v>
      </c>
    </row>
    <row r="197" spans="7:39" x14ac:dyDescent="0.15">
      <c r="G197" s="206" t="s">
        <v>382</v>
      </c>
      <c r="H197" s="53" t="s">
        <v>385</v>
      </c>
      <c r="I197" s="45">
        <f t="shared" si="18"/>
        <v>0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52">
        <f t="shared" si="19"/>
        <v>0</v>
      </c>
    </row>
    <row r="198" spans="7:39" ht="21" x14ac:dyDescent="0.15">
      <c r="G198" s="206" t="s">
        <v>384</v>
      </c>
      <c r="H198" s="4" t="s">
        <v>387</v>
      </c>
      <c r="I198" s="45">
        <f t="shared" si="18"/>
        <v>0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52">
        <f t="shared" si="19"/>
        <v>0</v>
      </c>
    </row>
    <row r="199" spans="7:39" x14ac:dyDescent="0.15">
      <c r="G199" s="205" t="s">
        <v>386</v>
      </c>
      <c r="H199" s="4" t="s">
        <v>389</v>
      </c>
      <c r="I199" s="45">
        <f t="shared" si="18"/>
        <v>0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52">
        <f t="shared" si="19"/>
        <v>0</v>
      </c>
    </row>
    <row r="200" spans="7:39" x14ac:dyDescent="0.15">
      <c r="G200" s="205" t="s">
        <v>388</v>
      </c>
      <c r="H200" s="53" t="s">
        <v>391</v>
      </c>
      <c r="I200" s="45">
        <f t="shared" si="18"/>
        <v>0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52">
        <f t="shared" si="19"/>
        <v>0</v>
      </c>
    </row>
    <row r="201" spans="7:39" x14ac:dyDescent="0.15">
      <c r="G201" s="205" t="s">
        <v>390</v>
      </c>
      <c r="H201" s="4" t="s">
        <v>393</v>
      </c>
      <c r="I201" s="45">
        <f t="shared" si="18"/>
        <v>0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52">
        <f t="shared" si="19"/>
        <v>0</v>
      </c>
    </row>
    <row r="202" spans="7:39" x14ac:dyDescent="0.15">
      <c r="G202" s="205" t="s">
        <v>392</v>
      </c>
      <c r="H202" s="4" t="s">
        <v>395</v>
      </c>
      <c r="I202" s="45">
        <f t="shared" si="18"/>
        <v>0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52">
        <f t="shared" si="19"/>
        <v>0</v>
      </c>
    </row>
    <row r="203" spans="7:39" x14ac:dyDescent="0.15">
      <c r="G203" s="205" t="s">
        <v>394</v>
      </c>
      <c r="H203" s="53" t="s">
        <v>397</v>
      </c>
      <c r="I203" s="45">
        <f t="shared" si="18"/>
        <v>0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52">
        <f t="shared" si="19"/>
        <v>0</v>
      </c>
    </row>
    <row r="204" spans="7:39" x14ac:dyDescent="0.15">
      <c r="G204" s="205" t="s">
        <v>396</v>
      </c>
      <c r="H204" s="4" t="s">
        <v>399</v>
      </c>
      <c r="I204" s="45">
        <f t="shared" si="18"/>
        <v>0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52">
        <f t="shared" si="19"/>
        <v>0</v>
      </c>
    </row>
    <row r="205" spans="7:39" x14ac:dyDescent="0.15">
      <c r="G205" s="205" t="s">
        <v>398</v>
      </c>
      <c r="H205" s="4" t="s">
        <v>401</v>
      </c>
      <c r="I205" s="45">
        <f t="shared" ref="I205:I269" si="25">J205+U205</f>
        <v>0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52">
        <f t="shared" ref="AM205:AM269" si="26">SUM(I205:AL205)</f>
        <v>0</v>
      </c>
    </row>
    <row r="206" spans="7:39" x14ac:dyDescent="0.15">
      <c r="G206" s="205" t="s">
        <v>400</v>
      </c>
      <c r="H206" s="53" t="s">
        <v>403</v>
      </c>
      <c r="I206" s="45">
        <f t="shared" si="25"/>
        <v>0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52">
        <f t="shared" si="26"/>
        <v>0</v>
      </c>
    </row>
    <row r="207" spans="7:39" x14ac:dyDescent="0.15">
      <c r="G207" s="205" t="s">
        <v>402</v>
      </c>
      <c r="H207" s="4" t="s">
        <v>405</v>
      </c>
      <c r="I207" s="45">
        <f t="shared" si="25"/>
        <v>0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52">
        <f t="shared" si="26"/>
        <v>0</v>
      </c>
    </row>
    <row r="208" spans="7:39" x14ac:dyDescent="0.15">
      <c r="G208" s="205" t="s">
        <v>404</v>
      </c>
      <c r="H208" s="4" t="s">
        <v>407</v>
      </c>
      <c r="I208" s="45">
        <f t="shared" si="25"/>
        <v>0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52">
        <f t="shared" si="26"/>
        <v>0</v>
      </c>
    </row>
    <row r="209" spans="7:39" x14ac:dyDescent="0.15">
      <c r="G209" s="205" t="s">
        <v>406</v>
      </c>
      <c r="H209" s="53" t="s">
        <v>409</v>
      </c>
      <c r="I209" s="45">
        <f t="shared" si="25"/>
        <v>0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52">
        <f t="shared" si="26"/>
        <v>0</v>
      </c>
    </row>
    <row r="210" spans="7:39" x14ac:dyDescent="0.15">
      <c r="G210" s="205" t="s">
        <v>408</v>
      </c>
      <c r="H210" s="4" t="s">
        <v>411</v>
      </c>
      <c r="I210" s="45">
        <f t="shared" si="25"/>
        <v>0</v>
      </c>
      <c r="J210" s="46">
        <f t="shared" ref="J210:AL210" si="27">SUM(J211:J216)</f>
        <v>0</v>
      </c>
      <c r="K210" s="46">
        <f t="shared" si="27"/>
        <v>0</v>
      </c>
      <c r="L210" s="46">
        <f t="shared" si="27"/>
        <v>0</v>
      </c>
      <c r="M210" s="46">
        <f t="shared" si="27"/>
        <v>0</v>
      </c>
      <c r="N210" s="46">
        <f t="shared" si="27"/>
        <v>0</v>
      </c>
      <c r="O210" s="46">
        <f t="shared" si="27"/>
        <v>0</v>
      </c>
      <c r="P210" s="46">
        <f t="shared" si="27"/>
        <v>0</v>
      </c>
      <c r="Q210" s="46">
        <f t="shared" si="27"/>
        <v>0</v>
      </c>
      <c r="R210" s="46">
        <f t="shared" si="27"/>
        <v>0</v>
      </c>
      <c r="S210" s="46">
        <f t="shared" si="27"/>
        <v>0</v>
      </c>
      <c r="T210" s="46">
        <f t="shared" si="27"/>
        <v>0</v>
      </c>
      <c r="U210" s="46">
        <f t="shared" si="27"/>
        <v>0</v>
      </c>
      <c r="V210" s="46">
        <f t="shared" si="27"/>
        <v>0</v>
      </c>
      <c r="W210" s="46">
        <f t="shared" si="27"/>
        <v>0</v>
      </c>
      <c r="X210" s="46">
        <f t="shared" si="27"/>
        <v>0</v>
      </c>
      <c r="Y210" s="46">
        <f t="shared" si="27"/>
        <v>0</v>
      </c>
      <c r="Z210" s="46">
        <f t="shared" si="27"/>
        <v>0</v>
      </c>
      <c r="AA210" s="46">
        <f t="shared" si="27"/>
        <v>0</v>
      </c>
      <c r="AB210" s="46">
        <f t="shared" si="27"/>
        <v>0</v>
      </c>
      <c r="AC210" s="46">
        <f t="shared" si="27"/>
        <v>0</v>
      </c>
      <c r="AD210" s="46">
        <f t="shared" si="27"/>
        <v>0</v>
      </c>
      <c r="AE210" s="46">
        <f t="shared" si="27"/>
        <v>0</v>
      </c>
      <c r="AF210" s="46">
        <f t="shared" si="27"/>
        <v>0</v>
      </c>
      <c r="AG210" s="46">
        <f t="shared" si="27"/>
        <v>0</v>
      </c>
      <c r="AH210" s="46">
        <f t="shared" si="27"/>
        <v>0</v>
      </c>
      <c r="AI210" s="46">
        <f t="shared" si="27"/>
        <v>0</v>
      </c>
      <c r="AJ210" s="46">
        <f t="shared" si="27"/>
        <v>0</v>
      </c>
      <c r="AK210" s="46">
        <f t="shared" si="27"/>
        <v>0</v>
      </c>
      <c r="AL210" s="46">
        <f t="shared" si="27"/>
        <v>0</v>
      </c>
      <c r="AM210" s="52">
        <f t="shared" si="26"/>
        <v>0</v>
      </c>
    </row>
    <row r="211" spans="7:39" ht="21" x14ac:dyDescent="0.15">
      <c r="G211" s="206" t="s">
        <v>410</v>
      </c>
      <c r="H211" s="4" t="s">
        <v>413</v>
      </c>
      <c r="I211" s="45">
        <f t="shared" si="25"/>
        <v>0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52">
        <f t="shared" si="26"/>
        <v>0</v>
      </c>
    </row>
    <row r="212" spans="7:39" x14ac:dyDescent="0.15">
      <c r="G212" s="206" t="s">
        <v>412</v>
      </c>
      <c r="H212" s="53" t="s">
        <v>415</v>
      </c>
      <c r="I212" s="45">
        <f t="shared" si="25"/>
        <v>0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52">
        <f t="shared" si="26"/>
        <v>0</v>
      </c>
    </row>
    <row r="213" spans="7:39" x14ac:dyDescent="0.15">
      <c r="G213" s="206" t="s">
        <v>414</v>
      </c>
      <c r="H213" s="4" t="s">
        <v>417</v>
      </c>
      <c r="I213" s="45">
        <f t="shared" si="25"/>
        <v>0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52">
        <f t="shared" si="26"/>
        <v>0</v>
      </c>
    </row>
    <row r="214" spans="7:39" x14ac:dyDescent="0.15">
      <c r="G214" s="206" t="s">
        <v>416</v>
      </c>
      <c r="H214" s="4" t="s">
        <v>419</v>
      </c>
      <c r="I214" s="45">
        <f t="shared" si="25"/>
        <v>0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52">
        <f t="shared" si="26"/>
        <v>0</v>
      </c>
    </row>
    <row r="215" spans="7:39" x14ac:dyDescent="0.15">
      <c r="G215" s="206" t="s">
        <v>418</v>
      </c>
      <c r="H215" s="53" t="s">
        <v>421</v>
      </c>
      <c r="I215" s="45">
        <f t="shared" si="25"/>
        <v>0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52">
        <f t="shared" si="26"/>
        <v>0</v>
      </c>
    </row>
    <row r="216" spans="7:39" x14ac:dyDescent="0.15">
      <c r="G216" s="206" t="s">
        <v>420</v>
      </c>
      <c r="H216" s="4" t="s">
        <v>423</v>
      </c>
      <c r="I216" s="45">
        <f t="shared" si="25"/>
        <v>0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52">
        <f t="shared" si="26"/>
        <v>0</v>
      </c>
    </row>
    <row r="217" spans="7:39" x14ac:dyDescent="0.15">
      <c r="G217" s="205" t="s">
        <v>422</v>
      </c>
      <c r="H217" s="4" t="s">
        <v>425</v>
      </c>
      <c r="I217" s="45">
        <f t="shared" si="25"/>
        <v>0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52">
        <f t="shared" si="26"/>
        <v>0</v>
      </c>
    </row>
    <row r="218" spans="7:39" x14ac:dyDescent="0.15">
      <c r="G218" s="205" t="s">
        <v>424</v>
      </c>
      <c r="H218" s="53" t="s">
        <v>427</v>
      </c>
      <c r="I218" s="45">
        <f t="shared" si="25"/>
        <v>0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52">
        <f t="shared" si="26"/>
        <v>0</v>
      </c>
    </row>
    <row r="219" spans="7:39" x14ac:dyDescent="0.15">
      <c r="G219" s="205" t="s">
        <v>426</v>
      </c>
      <c r="H219" s="4" t="s">
        <v>429</v>
      </c>
      <c r="I219" s="45">
        <f t="shared" si="25"/>
        <v>0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52">
        <f t="shared" si="26"/>
        <v>0</v>
      </c>
    </row>
    <row r="220" spans="7:39" x14ac:dyDescent="0.15">
      <c r="G220" s="205" t="s">
        <v>428</v>
      </c>
      <c r="H220" s="4" t="s">
        <v>431</v>
      </c>
      <c r="I220" s="45">
        <f t="shared" si="25"/>
        <v>0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52">
        <f t="shared" si="26"/>
        <v>0</v>
      </c>
    </row>
    <row r="221" spans="7:39" x14ac:dyDescent="0.15">
      <c r="G221" s="205" t="s">
        <v>430</v>
      </c>
      <c r="H221" s="53" t="s">
        <v>433</v>
      </c>
      <c r="I221" s="45">
        <f t="shared" si="25"/>
        <v>0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52">
        <f t="shared" si="26"/>
        <v>0</v>
      </c>
    </row>
    <row r="222" spans="7:39" x14ac:dyDescent="0.15">
      <c r="G222" s="205" t="s">
        <v>432</v>
      </c>
      <c r="H222" s="4" t="s">
        <v>435</v>
      </c>
      <c r="I222" s="45">
        <f t="shared" si="25"/>
        <v>0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52">
        <f t="shared" si="26"/>
        <v>0</v>
      </c>
    </row>
    <row r="223" spans="7:39" x14ac:dyDescent="0.15">
      <c r="G223" s="205" t="s">
        <v>434</v>
      </c>
      <c r="H223" s="4" t="s">
        <v>437</v>
      </c>
      <c r="I223" s="45">
        <f t="shared" si="25"/>
        <v>0</v>
      </c>
      <c r="J223" s="46">
        <f t="shared" ref="J223:AL223" si="28">SUM(J224:J228)</f>
        <v>0</v>
      </c>
      <c r="K223" s="46">
        <f t="shared" si="28"/>
        <v>0</v>
      </c>
      <c r="L223" s="46">
        <f t="shared" si="28"/>
        <v>0</v>
      </c>
      <c r="M223" s="46">
        <f t="shared" si="28"/>
        <v>0</v>
      </c>
      <c r="N223" s="46">
        <f t="shared" si="28"/>
        <v>0</v>
      </c>
      <c r="O223" s="46">
        <f t="shared" si="28"/>
        <v>0</v>
      </c>
      <c r="P223" s="46">
        <f t="shared" si="28"/>
        <v>0</v>
      </c>
      <c r="Q223" s="46">
        <f t="shared" si="28"/>
        <v>0</v>
      </c>
      <c r="R223" s="46">
        <f t="shared" si="28"/>
        <v>0</v>
      </c>
      <c r="S223" s="46">
        <f t="shared" si="28"/>
        <v>0</v>
      </c>
      <c r="T223" s="46">
        <f t="shared" si="28"/>
        <v>0</v>
      </c>
      <c r="U223" s="46">
        <f t="shared" si="28"/>
        <v>0</v>
      </c>
      <c r="V223" s="46">
        <f t="shared" si="28"/>
        <v>0</v>
      </c>
      <c r="W223" s="46">
        <f t="shared" si="28"/>
        <v>0</v>
      </c>
      <c r="X223" s="46">
        <f t="shared" si="28"/>
        <v>0</v>
      </c>
      <c r="Y223" s="46">
        <f t="shared" si="28"/>
        <v>0</v>
      </c>
      <c r="Z223" s="46">
        <f t="shared" si="28"/>
        <v>0</v>
      </c>
      <c r="AA223" s="46">
        <f t="shared" si="28"/>
        <v>0</v>
      </c>
      <c r="AB223" s="46">
        <f t="shared" si="28"/>
        <v>0</v>
      </c>
      <c r="AC223" s="46">
        <f t="shared" si="28"/>
        <v>0</v>
      </c>
      <c r="AD223" s="46">
        <f t="shared" si="28"/>
        <v>0</v>
      </c>
      <c r="AE223" s="46">
        <f t="shared" si="28"/>
        <v>0</v>
      </c>
      <c r="AF223" s="46">
        <f t="shared" si="28"/>
        <v>0</v>
      </c>
      <c r="AG223" s="46">
        <f t="shared" si="28"/>
        <v>0</v>
      </c>
      <c r="AH223" s="46">
        <f t="shared" si="28"/>
        <v>0</v>
      </c>
      <c r="AI223" s="46">
        <f t="shared" si="28"/>
        <v>0</v>
      </c>
      <c r="AJ223" s="46">
        <f t="shared" si="28"/>
        <v>0</v>
      </c>
      <c r="AK223" s="46">
        <f t="shared" si="28"/>
        <v>0</v>
      </c>
      <c r="AL223" s="46">
        <f t="shared" si="28"/>
        <v>0</v>
      </c>
      <c r="AM223" s="52">
        <f t="shared" si="26"/>
        <v>0</v>
      </c>
    </row>
    <row r="224" spans="7:39" ht="21" x14ac:dyDescent="0.15">
      <c r="G224" s="206" t="s">
        <v>436</v>
      </c>
      <c r="H224" s="53" t="s">
        <v>439</v>
      </c>
      <c r="I224" s="45">
        <f t="shared" si="25"/>
        <v>0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52">
        <f t="shared" si="26"/>
        <v>0</v>
      </c>
    </row>
    <row r="225" spans="7:39" x14ac:dyDescent="0.15">
      <c r="G225" s="206" t="s">
        <v>438</v>
      </c>
      <c r="H225" s="4" t="s">
        <v>441</v>
      </c>
      <c r="I225" s="45">
        <f t="shared" si="25"/>
        <v>0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52">
        <f t="shared" si="26"/>
        <v>0</v>
      </c>
    </row>
    <row r="226" spans="7:39" x14ac:dyDescent="0.15">
      <c r="G226" s="206" t="s">
        <v>440</v>
      </c>
      <c r="H226" s="4" t="s">
        <v>443</v>
      </c>
      <c r="I226" s="45">
        <f t="shared" si="25"/>
        <v>0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52">
        <f t="shared" si="26"/>
        <v>0</v>
      </c>
    </row>
    <row r="227" spans="7:39" x14ac:dyDescent="0.15">
      <c r="G227" s="206" t="s">
        <v>442</v>
      </c>
      <c r="H227" s="53" t="s">
        <v>445</v>
      </c>
      <c r="I227" s="45">
        <f t="shared" si="25"/>
        <v>0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52">
        <f t="shared" si="26"/>
        <v>0</v>
      </c>
    </row>
    <row r="228" spans="7:39" x14ac:dyDescent="0.15">
      <c r="G228" s="206" t="s">
        <v>444</v>
      </c>
      <c r="H228" s="4" t="s">
        <v>447</v>
      </c>
      <c r="I228" s="45">
        <f t="shared" si="25"/>
        <v>0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52">
        <f t="shared" si="26"/>
        <v>0</v>
      </c>
    </row>
    <row r="229" spans="7:39" x14ac:dyDescent="0.15">
      <c r="G229" s="205" t="s">
        <v>446</v>
      </c>
      <c r="H229" s="4" t="s">
        <v>449</v>
      </c>
      <c r="I229" s="45">
        <f t="shared" si="25"/>
        <v>0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52">
        <f t="shared" si="26"/>
        <v>0</v>
      </c>
    </row>
    <row r="230" spans="7:39" x14ac:dyDescent="0.15">
      <c r="G230" s="205" t="s">
        <v>448</v>
      </c>
      <c r="H230" s="53" t="s">
        <v>451</v>
      </c>
      <c r="I230" s="45">
        <f t="shared" si="25"/>
        <v>0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52">
        <f t="shared" si="26"/>
        <v>0</v>
      </c>
    </row>
    <row r="231" spans="7:39" x14ac:dyDescent="0.15">
      <c r="G231" s="205" t="s">
        <v>450</v>
      </c>
      <c r="H231" s="4" t="s">
        <v>453</v>
      </c>
      <c r="I231" s="45">
        <f t="shared" si="25"/>
        <v>0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52">
        <f t="shared" si="26"/>
        <v>0</v>
      </c>
    </row>
    <row r="232" spans="7:39" x14ac:dyDescent="0.15">
      <c r="G232" s="205" t="s">
        <v>452</v>
      </c>
      <c r="H232" s="4" t="s">
        <v>455</v>
      </c>
      <c r="I232" s="45">
        <f t="shared" si="25"/>
        <v>0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52">
        <f t="shared" si="26"/>
        <v>0</v>
      </c>
    </row>
    <row r="233" spans="7:39" x14ac:dyDescent="0.15">
      <c r="G233" s="205" t="s">
        <v>454</v>
      </c>
      <c r="H233" s="53" t="s">
        <v>457</v>
      </c>
      <c r="I233" s="45">
        <f t="shared" si="25"/>
        <v>0</v>
      </c>
      <c r="J233" s="48">
        <f t="shared" ref="J233:AL233" si="29">SUM(J234:J239)</f>
        <v>0</v>
      </c>
      <c r="K233" s="48">
        <f t="shared" si="29"/>
        <v>0</v>
      </c>
      <c r="L233" s="48">
        <f t="shared" si="29"/>
        <v>0</v>
      </c>
      <c r="M233" s="48">
        <f t="shared" si="29"/>
        <v>0</v>
      </c>
      <c r="N233" s="48">
        <f t="shared" si="29"/>
        <v>0</v>
      </c>
      <c r="O233" s="48">
        <f t="shared" si="29"/>
        <v>0</v>
      </c>
      <c r="P233" s="48">
        <f t="shared" si="29"/>
        <v>0</v>
      </c>
      <c r="Q233" s="48">
        <f t="shared" si="29"/>
        <v>0</v>
      </c>
      <c r="R233" s="48">
        <f t="shared" si="29"/>
        <v>0</v>
      </c>
      <c r="S233" s="48">
        <f t="shared" si="29"/>
        <v>0</v>
      </c>
      <c r="T233" s="48">
        <f t="shared" si="29"/>
        <v>0</v>
      </c>
      <c r="U233" s="48">
        <f t="shared" si="29"/>
        <v>0</v>
      </c>
      <c r="V233" s="48">
        <f t="shared" si="29"/>
        <v>0</v>
      </c>
      <c r="W233" s="48">
        <f t="shared" si="29"/>
        <v>0</v>
      </c>
      <c r="X233" s="48">
        <f t="shared" si="29"/>
        <v>0</v>
      </c>
      <c r="Y233" s="48">
        <f t="shared" si="29"/>
        <v>0</v>
      </c>
      <c r="Z233" s="48">
        <f t="shared" si="29"/>
        <v>0</v>
      </c>
      <c r="AA233" s="48">
        <f t="shared" si="29"/>
        <v>0</v>
      </c>
      <c r="AB233" s="48">
        <f t="shared" si="29"/>
        <v>0</v>
      </c>
      <c r="AC233" s="48">
        <f t="shared" si="29"/>
        <v>0</v>
      </c>
      <c r="AD233" s="48">
        <f t="shared" si="29"/>
        <v>0</v>
      </c>
      <c r="AE233" s="48">
        <f t="shared" si="29"/>
        <v>0</v>
      </c>
      <c r="AF233" s="48">
        <f t="shared" si="29"/>
        <v>0</v>
      </c>
      <c r="AG233" s="48">
        <f t="shared" si="29"/>
        <v>0</v>
      </c>
      <c r="AH233" s="48">
        <f t="shared" si="29"/>
        <v>0</v>
      </c>
      <c r="AI233" s="48">
        <f t="shared" si="29"/>
        <v>0</v>
      </c>
      <c r="AJ233" s="48">
        <f t="shared" si="29"/>
        <v>0</v>
      </c>
      <c r="AK233" s="48">
        <f t="shared" si="29"/>
        <v>0</v>
      </c>
      <c r="AL233" s="48">
        <f t="shared" si="29"/>
        <v>0</v>
      </c>
      <c r="AM233" s="52">
        <f t="shared" si="26"/>
        <v>0</v>
      </c>
    </row>
    <row r="234" spans="7:39" ht="21" x14ac:dyDescent="0.15">
      <c r="G234" s="206" t="s">
        <v>456</v>
      </c>
      <c r="H234" s="4" t="s">
        <v>459</v>
      </c>
      <c r="I234" s="45">
        <f t="shared" si="25"/>
        <v>0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52">
        <f t="shared" si="26"/>
        <v>0</v>
      </c>
    </row>
    <row r="235" spans="7:39" x14ac:dyDescent="0.15">
      <c r="G235" s="206" t="s">
        <v>458</v>
      </c>
      <c r="H235" s="4" t="s">
        <v>461</v>
      </c>
      <c r="I235" s="45">
        <f t="shared" si="25"/>
        <v>0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52">
        <f t="shared" si="26"/>
        <v>0</v>
      </c>
    </row>
    <row r="236" spans="7:39" ht="21" x14ac:dyDescent="0.15">
      <c r="G236" s="206" t="s">
        <v>460</v>
      </c>
      <c r="H236" s="53" t="s">
        <v>463</v>
      </c>
      <c r="I236" s="45">
        <f t="shared" si="25"/>
        <v>0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52">
        <f t="shared" si="26"/>
        <v>0</v>
      </c>
    </row>
    <row r="237" spans="7:39" x14ac:dyDescent="0.15">
      <c r="G237" s="206" t="s">
        <v>462</v>
      </c>
      <c r="H237" s="4" t="s">
        <v>465</v>
      </c>
      <c r="I237" s="45">
        <f t="shared" si="25"/>
        <v>0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52">
        <f t="shared" si="26"/>
        <v>0</v>
      </c>
    </row>
    <row r="238" spans="7:39" ht="21" x14ac:dyDescent="0.15">
      <c r="G238" s="206" t="s">
        <v>464</v>
      </c>
      <c r="H238" s="4" t="s">
        <v>466</v>
      </c>
      <c r="I238" s="45">
        <f t="shared" si="25"/>
        <v>0</v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52">
        <f t="shared" si="26"/>
        <v>0</v>
      </c>
    </row>
    <row r="239" spans="7:39" ht="21" x14ac:dyDescent="0.15">
      <c r="G239" s="206" t="s">
        <v>887</v>
      </c>
      <c r="H239" s="53" t="s">
        <v>468</v>
      </c>
      <c r="I239" s="45">
        <f t="shared" si="25"/>
        <v>0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52">
        <f t="shared" si="26"/>
        <v>0</v>
      </c>
    </row>
    <row r="240" spans="7:39" x14ac:dyDescent="0.15">
      <c r="G240" s="205" t="s">
        <v>467</v>
      </c>
      <c r="H240" s="4" t="s">
        <v>470</v>
      </c>
      <c r="I240" s="45">
        <f t="shared" si="25"/>
        <v>0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52">
        <f t="shared" si="26"/>
        <v>0</v>
      </c>
    </row>
    <row r="241" spans="7:39" x14ac:dyDescent="0.15">
      <c r="G241" s="205" t="s">
        <v>469</v>
      </c>
      <c r="H241" s="4" t="s">
        <v>472</v>
      </c>
      <c r="I241" s="45">
        <f t="shared" si="25"/>
        <v>0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52">
        <f t="shared" si="26"/>
        <v>0</v>
      </c>
    </row>
    <row r="242" spans="7:39" x14ac:dyDescent="0.15">
      <c r="G242" s="205" t="s">
        <v>471</v>
      </c>
      <c r="H242" s="53" t="s">
        <v>474</v>
      </c>
      <c r="I242" s="45">
        <f t="shared" si="25"/>
        <v>0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52">
        <f t="shared" si="26"/>
        <v>0</v>
      </c>
    </row>
    <row r="243" spans="7:39" x14ac:dyDescent="0.15">
      <c r="G243" s="205" t="s">
        <v>473</v>
      </c>
      <c r="H243" s="4" t="s">
        <v>476</v>
      </c>
      <c r="I243" s="45">
        <f t="shared" si="25"/>
        <v>0</v>
      </c>
      <c r="J243" s="46">
        <f t="shared" ref="J243:AL243" si="30">SUM(J244:J246)</f>
        <v>0</v>
      </c>
      <c r="K243" s="46">
        <f t="shared" si="30"/>
        <v>0</v>
      </c>
      <c r="L243" s="46">
        <f t="shared" si="30"/>
        <v>0</v>
      </c>
      <c r="M243" s="46">
        <f t="shared" si="30"/>
        <v>0</v>
      </c>
      <c r="N243" s="46">
        <f t="shared" si="30"/>
        <v>0</v>
      </c>
      <c r="O243" s="46">
        <f t="shared" si="30"/>
        <v>0</v>
      </c>
      <c r="P243" s="46">
        <f t="shared" si="30"/>
        <v>0</v>
      </c>
      <c r="Q243" s="46">
        <f t="shared" si="30"/>
        <v>0</v>
      </c>
      <c r="R243" s="46">
        <f t="shared" si="30"/>
        <v>0</v>
      </c>
      <c r="S243" s="46">
        <f t="shared" si="30"/>
        <v>0</v>
      </c>
      <c r="T243" s="46">
        <f t="shared" si="30"/>
        <v>0</v>
      </c>
      <c r="U243" s="46">
        <f t="shared" si="30"/>
        <v>0</v>
      </c>
      <c r="V243" s="46">
        <f t="shared" si="30"/>
        <v>0</v>
      </c>
      <c r="W243" s="46">
        <f t="shared" si="30"/>
        <v>0</v>
      </c>
      <c r="X243" s="46">
        <f t="shared" si="30"/>
        <v>0</v>
      </c>
      <c r="Y243" s="46">
        <f t="shared" si="30"/>
        <v>0</v>
      </c>
      <c r="Z243" s="46">
        <f t="shared" si="30"/>
        <v>0</v>
      </c>
      <c r="AA243" s="46">
        <f t="shared" si="30"/>
        <v>0</v>
      </c>
      <c r="AB243" s="46">
        <f t="shared" si="30"/>
        <v>0</v>
      </c>
      <c r="AC243" s="46">
        <f t="shared" si="30"/>
        <v>0</v>
      </c>
      <c r="AD243" s="46">
        <f t="shared" si="30"/>
        <v>0</v>
      </c>
      <c r="AE243" s="46">
        <f t="shared" si="30"/>
        <v>0</v>
      </c>
      <c r="AF243" s="46">
        <f t="shared" si="30"/>
        <v>0</v>
      </c>
      <c r="AG243" s="46">
        <f t="shared" si="30"/>
        <v>0</v>
      </c>
      <c r="AH243" s="46">
        <f t="shared" si="30"/>
        <v>0</v>
      </c>
      <c r="AI243" s="46">
        <f t="shared" si="30"/>
        <v>0</v>
      </c>
      <c r="AJ243" s="46">
        <f t="shared" si="30"/>
        <v>0</v>
      </c>
      <c r="AK243" s="46">
        <f t="shared" si="30"/>
        <v>0</v>
      </c>
      <c r="AL243" s="46">
        <f t="shared" si="30"/>
        <v>0</v>
      </c>
      <c r="AM243" s="52">
        <f t="shared" si="26"/>
        <v>0</v>
      </c>
    </row>
    <row r="244" spans="7:39" ht="21" x14ac:dyDescent="0.15">
      <c r="G244" s="206" t="s">
        <v>475</v>
      </c>
      <c r="H244" s="4" t="s">
        <v>478</v>
      </c>
      <c r="I244" s="45">
        <f t="shared" si="25"/>
        <v>0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52">
        <f t="shared" si="26"/>
        <v>0</v>
      </c>
    </row>
    <row r="245" spans="7:39" x14ac:dyDescent="0.15">
      <c r="G245" s="206" t="s">
        <v>477</v>
      </c>
      <c r="H245" s="53" t="s">
        <v>480</v>
      </c>
      <c r="I245" s="45">
        <f t="shared" si="25"/>
        <v>0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52">
        <f t="shared" si="26"/>
        <v>0</v>
      </c>
    </row>
    <row r="246" spans="7:39" ht="21" x14ac:dyDescent="0.15">
      <c r="G246" s="206" t="s">
        <v>479</v>
      </c>
      <c r="H246" s="4" t="s">
        <v>482</v>
      </c>
      <c r="I246" s="45">
        <f t="shared" si="25"/>
        <v>0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52">
        <f t="shared" si="26"/>
        <v>0</v>
      </c>
    </row>
    <row r="247" spans="7:39" x14ac:dyDescent="0.15">
      <c r="G247" s="205" t="s">
        <v>481</v>
      </c>
      <c r="H247" s="4" t="s">
        <v>484</v>
      </c>
      <c r="I247" s="45">
        <f t="shared" si="25"/>
        <v>0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52">
        <f t="shared" si="26"/>
        <v>0</v>
      </c>
    </row>
    <row r="248" spans="7:39" x14ac:dyDescent="0.15">
      <c r="G248" s="205" t="s">
        <v>483</v>
      </c>
      <c r="H248" s="53" t="s">
        <v>486</v>
      </c>
      <c r="I248" s="45">
        <f t="shared" si="25"/>
        <v>0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52">
        <f t="shared" si="26"/>
        <v>0</v>
      </c>
    </row>
    <row r="249" spans="7:39" ht="21" x14ac:dyDescent="0.15">
      <c r="G249" s="205" t="s">
        <v>485</v>
      </c>
      <c r="H249" s="4" t="s">
        <v>488</v>
      </c>
      <c r="I249" s="45">
        <f t="shared" si="25"/>
        <v>0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52">
        <f t="shared" si="26"/>
        <v>0</v>
      </c>
    </row>
    <row r="250" spans="7:39" x14ac:dyDescent="0.15">
      <c r="G250" s="205" t="s">
        <v>487</v>
      </c>
      <c r="H250" s="4" t="s">
        <v>490</v>
      </c>
      <c r="I250" s="45">
        <f t="shared" si="25"/>
        <v>0</v>
      </c>
      <c r="J250" s="46">
        <f t="shared" ref="J250:AL250" si="31">SUM(J251:J254)</f>
        <v>0</v>
      </c>
      <c r="K250" s="46">
        <f t="shared" si="31"/>
        <v>0</v>
      </c>
      <c r="L250" s="46">
        <f t="shared" si="31"/>
        <v>0</v>
      </c>
      <c r="M250" s="46">
        <f t="shared" si="31"/>
        <v>0</v>
      </c>
      <c r="N250" s="46">
        <f t="shared" si="31"/>
        <v>0</v>
      </c>
      <c r="O250" s="46">
        <f t="shared" si="31"/>
        <v>0</v>
      </c>
      <c r="P250" s="46">
        <f t="shared" si="31"/>
        <v>0</v>
      </c>
      <c r="Q250" s="46">
        <f t="shared" si="31"/>
        <v>0</v>
      </c>
      <c r="R250" s="46">
        <f t="shared" si="31"/>
        <v>0</v>
      </c>
      <c r="S250" s="46">
        <f t="shared" si="31"/>
        <v>0</v>
      </c>
      <c r="T250" s="46">
        <f t="shared" si="31"/>
        <v>0</v>
      </c>
      <c r="U250" s="46">
        <f t="shared" si="31"/>
        <v>0</v>
      </c>
      <c r="V250" s="46">
        <f t="shared" si="31"/>
        <v>0</v>
      </c>
      <c r="W250" s="46">
        <f t="shared" si="31"/>
        <v>0</v>
      </c>
      <c r="X250" s="46">
        <f t="shared" si="31"/>
        <v>0</v>
      </c>
      <c r="Y250" s="46">
        <f t="shared" si="31"/>
        <v>0</v>
      </c>
      <c r="Z250" s="46">
        <f t="shared" si="31"/>
        <v>0</v>
      </c>
      <c r="AA250" s="46">
        <f t="shared" si="31"/>
        <v>0</v>
      </c>
      <c r="AB250" s="46">
        <f t="shared" si="31"/>
        <v>0</v>
      </c>
      <c r="AC250" s="46">
        <f t="shared" si="31"/>
        <v>0</v>
      </c>
      <c r="AD250" s="46">
        <f t="shared" si="31"/>
        <v>0</v>
      </c>
      <c r="AE250" s="46">
        <f t="shared" si="31"/>
        <v>0</v>
      </c>
      <c r="AF250" s="46">
        <f t="shared" si="31"/>
        <v>0</v>
      </c>
      <c r="AG250" s="46">
        <f t="shared" si="31"/>
        <v>0</v>
      </c>
      <c r="AH250" s="46">
        <f t="shared" si="31"/>
        <v>0</v>
      </c>
      <c r="AI250" s="46">
        <f t="shared" si="31"/>
        <v>0</v>
      </c>
      <c r="AJ250" s="46">
        <f t="shared" si="31"/>
        <v>0</v>
      </c>
      <c r="AK250" s="46">
        <f t="shared" si="31"/>
        <v>0</v>
      </c>
      <c r="AL250" s="46">
        <f t="shared" si="31"/>
        <v>0</v>
      </c>
      <c r="AM250" s="52">
        <f t="shared" si="26"/>
        <v>0</v>
      </c>
    </row>
    <row r="251" spans="7:39" ht="21" x14ac:dyDescent="0.15">
      <c r="G251" s="206" t="s">
        <v>489</v>
      </c>
      <c r="H251" s="53" t="s">
        <v>492</v>
      </c>
      <c r="I251" s="45">
        <f t="shared" si="25"/>
        <v>0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52">
        <f t="shared" si="26"/>
        <v>0</v>
      </c>
    </row>
    <row r="252" spans="7:39" x14ac:dyDescent="0.15">
      <c r="G252" s="206" t="s">
        <v>491</v>
      </c>
      <c r="H252" s="4" t="s">
        <v>494</v>
      </c>
      <c r="I252" s="45">
        <f t="shared" si="25"/>
        <v>0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52">
        <f t="shared" si="26"/>
        <v>0</v>
      </c>
    </row>
    <row r="253" spans="7:39" x14ac:dyDescent="0.15">
      <c r="G253" s="206" t="s">
        <v>493</v>
      </c>
      <c r="H253" s="4" t="s">
        <v>496</v>
      </c>
      <c r="I253" s="45">
        <f t="shared" si="25"/>
        <v>0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52">
        <f t="shared" si="26"/>
        <v>0</v>
      </c>
    </row>
    <row r="254" spans="7:39" ht="21" x14ac:dyDescent="0.15">
      <c r="G254" s="206" t="s">
        <v>495</v>
      </c>
      <c r="H254" s="53" t="s">
        <v>498</v>
      </c>
      <c r="I254" s="45">
        <f t="shared" si="25"/>
        <v>0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52">
        <f t="shared" si="26"/>
        <v>0</v>
      </c>
    </row>
    <row r="255" spans="7:39" ht="21" x14ac:dyDescent="0.15">
      <c r="G255" s="205" t="s">
        <v>497</v>
      </c>
      <c r="H255" s="4" t="s">
        <v>500</v>
      </c>
      <c r="I255" s="45">
        <f t="shared" si="25"/>
        <v>0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52">
        <f t="shared" si="26"/>
        <v>0</v>
      </c>
    </row>
    <row r="256" spans="7:39" x14ac:dyDescent="0.15">
      <c r="G256" s="205" t="s">
        <v>499</v>
      </c>
      <c r="H256" s="4" t="s">
        <v>502</v>
      </c>
      <c r="I256" s="45">
        <f t="shared" si="25"/>
        <v>0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52">
        <f t="shared" si="26"/>
        <v>0</v>
      </c>
    </row>
    <row r="257" spans="7:39" x14ac:dyDescent="0.15">
      <c r="G257" s="205" t="s">
        <v>501</v>
      </c>
      <c r="H257" s="53" t="s">
        <v>504</v>
      </c>
      <c r="I257" s="45">
        <f t="shared" si="25"/>
        <v>0</v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52">
        <f t="shared" si="26"/>
        <v>0</v>
      </c>
    </row>
    <row r="258" spans="7:39" x14ac:dyDescent="0.15">
      <c r="G258" s="205" t="s">
        <v>503</v>
      </c>
      <c r="H258" s="4" t="s">
        <v>506</v>
      </c>
      <c r="I258" s="45">
        <f t="shared" si="25"/>
        <v>0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52">
        <f t="shared" si="26"/>
        <v>0</v>
      </c>
    </row>
    <row r="259" spans="7:39" x14ac:dyDescent="0.15">
      <c r="G259" s="205" t="s">
        <v>505</v>
      </c>
      <c r="H259" s="4" t="s">
        <v>508</v>
      </c>
      <c r="I259" s="45">
        <f t="shared" si="25"/>
        <v>0</v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52">
        <f t="shared" si="26"/>
        <v>0</v>
      </c>
    </row>
    <row r="260" spans="7:39" x14ac:dyDescent="0.15">
      <c r="G260" s="205" t="s">
        <v>507</v>
      </c>
      <c r="H260" s="53" t="s">
        <v>510</v>
      </c>
      <c r="I260" s="45">
        <f t="shared" si="25"/>
        <v>0</v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52">
        <f t="shared" si="26"/>
        <v>0</v>
      </c>
    </row>
    <row r="261" spans="7:39" x14ac:dyDescent="0.15">
      <c r="G261" s="205" t="s">
        <v>509</v>
      </c>
      <c r="H261" s="4" t="s">
        <v>512</v>
      </c>
      <c r="I261" s="45">
        <f t="shared" si="25"/>
        <v>0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52">
        <f t="shared" si="26"/>
        <v>0</v>
      </c>
    </row>
    <row r="262" spans="7:39" x14ac:dyDescent="0.15">
      <c r="G262" s="205" t="s">
        <v>511</v>
      </c>
      <c r="H262" s="4" t="s">
        <v>514</v>
      </c>
      <c r="I262" s="45">
        <f t="shared" si="25"/>
        <v>0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52">
        <f t="shared" si="26"/>
        <v>0</v>
      </c>
    </row>
    <row r="263" spans="7:39" x14ac:dyDescent="0.15">
      <c r="G263" s="205" t="s">
        <v>513</v>
      </c>
      <c r="H263" s="53" t="s">
        <v>516</v>
      </c>
      <c r="I263" s="45">
        <f t="shared" si="25"/>
        <v>0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52">
        <f t="shared" si="26"/>
        <v>0</v>
      </c>
    </row>
    <row r="264" spans="7:39" x14ac:dyDescent="0.15">
      <c r="G264" s="208" t="s">
        <v>515</v>
      </c>
      <c r="H264" s="4" t="s">
        <v>518</v>
      </c>
      <c r="I264" s="45">
        <f t="shared" si="25"/>
        <v>0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52">
        <f t="shared" si="26"/>
        <v>0</v>
      </c>
    </row>
    <row r="265" spans="7:39" x14ac:dyDescent="0.15">
      <c r="G265" s="205" t="s">
        <v>517</v>
      </c>
      <c r="H265" s="4" t="s">
        <v>520</v>
      </c>
      <c r="I265" s="45">
        <f t="shared" si="25"/>
        <v>0</v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52">
        <f t="shared" si="26"/>
        <v>0</v>
      </c>
    </row>
    <row r="266" spans="7:39" x14ac:dyDescent="0.15">
      <c r="G266" s="205" t="s">
        <v>519</v>
      </c>
      <c r="H266" s="53" t="s">
        <v>522</v>
      </c>
      <c r="I266" s="45">
        <f t="shared" si="25"/>
        <v>0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52">
        <f t="shared" si="26"/>
        <v>0</v>
      </c>
    </row>
    <row r="267" spans="7:39" x14ac:dyDescent="0.15">
      <c r="G267" s="205" t="s">
        <v>896</v>
      </c>
      <c r="H267" s="4" t="s">
        <v>524</v>
      </c>
      <c r="I267" s="45">
        <f t="shared" ref="I267" si="32">J267+U267</f>
        <v>0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52">
        <f t="shared" ref="AM267" si="33">SUM(I267:AL267)</f>
        <v>0</v>
      </c>
    </row>
    <row r="268" spans="7:39" x14ac:dyDescent="0.15">
      <c r="G268" s="205" t="s">
        <v>521</v>
      </c>
      <c r="H268" s="4" t="s">
        <v>526</v>
      </c>
      <c r="I268" s="45">
        <f t="shared" si="25"/>
        <v>0</v>
      </c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52">
        <f t="shared" si="26"/>
        <v>0</v>
      </c>
    </row>
    <row r="269" spans="7:39" x14ac:dyDescent="0.15">
      <c r="G269" s="205" t="s">
        <v>523</v>
      </c>
      <c r="H269" s="53" t="s">
        <v>528</v>
      </c>
      <c r="I269" s="45">
        <f t="shared" si="25"/>
        <v>0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52">
        <f t="shared" si="26"/>
        <v>0</v>
      </c>
    </row>
    <row r="270" spans="7:39" x14ac:dyDescent="0.15">
      <c r="G270" s="205" t="s">
        <v>525</v>
      </c>
      <c r="H270" s="4" t="s">
        <v>530</v>
      </c>
      <c r="I270" s="45">
        <f t="shared" ref="I270:I322" si="34">J270+U270</f>
        <v>0</v>
      </c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52">
        <f t="shared" ref="AM270:AM322" si="35">SUM(I270:AL270)</f>
        <v>0</v>
      </c>
    </row>
    <row r="271" spans="7:39" x14ac:dyDescent="0.15">
      <c r="G271" s="205" t="s">
        <v>527</v>
      </c>
      <c r="H271" s="4" t="s">
        <v>532</v>
      </c>
      <c r="I271" s="45">
        <f t="shared" si="34"/>
        <v>0</v>
      </c>
      <c r="J271" s="46">
        <f>SUM(J272:J276)</f>
        <v>0</v>
      </c>
      <c r="K271" s="46">
        <f t="shared" ref="K271:AK271" si="36">SUM(K272:K276)</f>
        <v>0</v>
      </c>
      <c r="L271" s="46">
        <f t="shared" si="36"/>
        <v>0</v>
      </c>
      <c r="M271" s="46">
        <f t="shared" si="36"/>
        <v>0</v>
      </c>
      <c r="N271" s="46">
        <f t="shared" si="36"/>
        <v>0</v>
      </c>
      <c r="O271" s="46">
        <f t="shared" si="36"/>
        <v>0</v>
      </c>
      <c r="P271" s="46">
        <f t="shared" si="36"/>
        <v>0</v>
      </c>
      <c r="Q271" s="46">
        <f t="shared" si="36"/>
        <v>0</v>
      </c>
      <c r="R271" s="46">
        <f t="shared" si="36"/>
        <v>0</v>
      </c>
      <c r="S271" s="46">
        <f t="shared" si="36"/>
        <v>0</v>
      </c>
      <c r="T271" s="46">
        <f t="shared" si="36"/>
        <v>0</v>
      </c>
      <c r="U271" s="46">
        <f t="shared" si="36"/>
        <v>0</v>
      </c>
      <c r="V271" s="46">
        <f t="shared" si="36"/>
        <v>0</v>
      </c>
      <c r="W271" s="46">
        <f t="shared" si="36"/>
        <v>0</v>
      </c>
      <c r="X271" s="46">
        <f t="shared" si="36"/>
        <v>0</v>
      </c>
      <c r="Y271" s="46">
        <f t="shared" si="36"/>
        <v>0</v>
      </c>
      <c r="Z271" s="46">
        <f t="shared" si="36"/>
        <v>0</v>
      </c>
      <c r="AA271" s="46">
        <f t="shared" si="36"/>
        <v>0</v>
      </c>
      <c r="AB271" s="46">
        <f t="shared" si="36"/>
        <v>0</v>
      </c>
      <c r="AC271" s="46">
        <f t="shared" si="36"/>
        <v>0</v>
      </c>
      <c r="AD271" s="46">
        <f t="shared" si="36"/>
        <v>0</v>
      </c>
      <c r="AE271" s="46">
        <f t="shared" si="36"/>
        <v>0</v>
      </c>
      <c r="AF271" s="46">
        <f t="shared" si="36"/>
        <v>0</v>
      </c>
      <c r="AG271" s="46">
        <f t="shared" si="36"/>
        <v>0</v>
      </c>
      <c r="AH271" s="46">
        <f t="shared" si="36"/>
        <v>0</v>
      </c>
      <c r="AI271" s="46">
        <f t="shared" si="36"/>
        <v>0</v>
      </c>
      <c r="AJ271" s="46">
        <f t="shared" si="36"/>
        <v>0</v>
      </c>
      <c r="AK271" s="46">
        <f t="shared" si="36"/>
        <v>0</v>
      </c>
      <c r="AL271" s="46">
        <f>SUM(AL272:AL276)</f>
        <v>0</v>
      </c>
      <c r="AM271" s="52">
        <f t="shared" si="35"/>
        <v>0</v>
      </c>
    </row>
    <row r="272" spans="7:39" ht="21" x14ac:dyDescent="0.15">
      <c r="G272" s="206" t="s">
        <v>529</v>
      </c>
      <c r="H272" s="53" t="s">
        <v>534</v>
      </c>
      <c r="I272" s="45">
        <f t="shared" si="34"/>
        <v>0</v>
      </c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52">
        <f t="shared" si="35"/>
        <v>0</v>
      </c>
    </row>
    <row r="273" spans="7:39" x14ac:dyDescent="0.15">
      <c r="G273" s="206" t="s">
        <v>531</v>
      </c>
      <c r="H273" s="4" t="s">
        <v>536</v>
      </c>
      <c r="I273" s="45">
        <f t="shared" si="34"/>
        <v>0</v>
      </c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52">
        <f t="shared" si="35"/>
        <v>0</v>
      </c>
    </row>
    <row r="274" spans="7:39" x14ac:dyDescent="0.15">
      <c r="G274" s="206" t="s">
        <v>533</v>
      </c>
      <c r="H274" s="4" t="s">
        <v>538</v>
      </c>
      <c r="I274" s="45">
        <f t="shared" si="34"/>
        <v>0</v>
      </c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52">
        <f t="shared" si="35"/>
        <v>0</v>
      </c>
    </row>
    <row r="275" spans="7:39" x14ac:dyDescent="0.15">
      <c r="G275" s="206" t="s">
        <v>535</v>
      </c>
      <c r="H275" s="53" t="s">
        <v>540</v>
      </c>
      <c r="I275" s="45">
        <f t="shared" si="34"/>
        <v>0</v>
      </c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52">
        <f t="shared" si="35"/>
        <v>0</v>
      </c>
    </row>
    <row r="276" spans="7:39" x14ac:dyDescent="0.15">
      <c r="G276" s="206" t="s">
        <v>897</v>
      </c>
      <c r="H276" s="4" t="s">
        <v>542</v>
      </c>
      <c r="I276" s="45">
        <f t="shared" ref="I276" si="37">J276+U276</f>
        <v>0</v>
      </c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52">
        <f t="shared" ref="AM276" si="38">SUM(I276:AL276)</f>
        <v>0</v>
      </c>
    </row>
    <row r="277" spans="7:39" x14ac:dyDescent="0.15">
      <c r="G277" s="205" t="s">
        <v>537</v>
      </c>
      <c r="H277" s="4" t="s">
        <v>544</v>
      </c>
      <c r="I277" s="45">
        <f t="shared" si="34"/>
        <v>0</v>
      </c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52">
        <f t="shared" si="35"/>
        <v>0</v>
      </c>
    </row>
    <row r="278" spans="7:39" ht="21" x14ac:dyDescent="0.15">
      <c r="G278" s="205" t="s">
        <v>539</v>
      </c>
      <c r="H278" s="53" t="s">
        <v>546</v>
      </c>
      <c r="I278" s="45">
        <f t="shared" si="34"/>
        <v>0</v>
      </c>
      <c r="J278" s="48">
        <f t="shared" ref="J278:AL278" si="39">SUM(J279:J283)</f>
        <v>0</v>
      </c>
      <c r="K278" s="48">
        <f t="shared" si="39"/>
        <v>0</v>
      </c>
      <c r="L278" s="48">
        <f t="shared" si="39"/>
        <v>0</v>
      </c>
      <c r="M278" s="48">
        <f t="shared" si="39"/>
        <v>0</v>
      </c>
      <c r="N278" s="48">
        <f t="shared" si="39"/>
        <v>0</v>
      </c>
      <c r="O278" s="48">
        <f t="shared" si="39"/>
        <v>0</v>
      </c>
      <c r="P278" s="48">
        <f t="shared" si="39"/>
        <v>0</v>
      </c>
      <c r="Q278" s="48">
        <f t="shared" si="39"/>
        <v>0</v>
      </c>
      <c r="R278" s="48">
        <f t="shared" si="39"/>
        <v>0</v>
      </c>
      <c r="S278" s="48">
        <f t="shared" si="39"/>
        <v>0</v>
      </c>
      <c r="T278" s="48">
        <f t="shared" si="39"/>
        <v>0</v>
      </c>
      <c r="U278" s="48">
        <f t="shared" si="39"/>
        <v>0</v>
      </c>
      <c r="V278" s="48">
        <f t="shared" si="39"/>
        <v>0</v>
      </c>
      <c r="W278" s="48">
        <f t="shared" si="39"/>
        <v>0</v>
      </c>
      <c r="X278" s="48">
        <f t="shared" si="39"/>
        <v>0</v>
      </c>
      <c r="Y278" s="48">
        <f t="shared" si="39"/>
        <v>0</v>
      </c>
      <c r="Z278" s="48">
        <f t="shared" si="39"/>
        <v>0</v>
      </c>
      <c r="AA278" s="48">
        <f t="shared" si="39"/>
        <v>0</v>
      </c>
      <c r="AB278" s="48">
        <f t="shared" si="39"/>
        <v>0</v>
      </c>
      <c r="AC278" s="48">
        <f t="shared" si="39"/>
        <v>0</v>
      </c>
      <c r="AD278" s="48">
        <f t="shared" si="39"/>
        <v>0</v>
      </c>
      <c r="AE278" s="48">
        <f t="shared" si="39"/>
        <v>0</v>
      </c>
      <c r="AF278" s="48">
        <f t="shared" si="39"/>
        <v>0</v>
      </c>
      <c r="AG278" s="48">
        <f t="shared" si="39"/>
        <v>0</v>
      </c>
      <c r="AH278" s="48">
        <f t="shared" si="39"/>
        <v>0</v>
      </c>
      <c r="AI278" s="48">
        <f t="shared" si="39"/>
        <v>0</v>
      </c>
      <c r="AJ278" s="48">
        <f t="shared" si="39"/>
        <v>0</v>
      </c>
      <c r="AK278" s="48">
        <f t="shared" si="39"/>
        <v>0</v>
      </c>
      <c r="AL278" s="48">
        <f t="shared" si="39"/>
        <v>0</v>
      </c>
      <c r="AM278" s="52">
        <f t="shared" si="35"/>
        <v>0</v>
      </c>
    </row>
    <row r="279" spans="7:39" ht="21" x14ac:dyDescent="0.15">
      <c r="G279" s="206" t="s">
        <v>541</v>
      </c>
      <c r="H279" s="4" t="s">
        <v>548</v>
      </c>
      <c r="I279" s="45">
        <f t="shared" si="34"/>
        <v>0</v>
      </c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52">
        <f t="shared" si="35"/>
        <v>0</v>
      </c>
    </row>
    <row r="280" spans="7:39" x14ac:dyDescent="0.15">
      <c r="G280" s="206" t="s">
        <v>543</v>
      </c>
      <c r="H280" s="4" t="s">
        <v>549</v>
      </c>
      <c r="I280" s="45">
        <f t="shared" si="34"/>
        <v>0</v>
      </c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52">
        <f t="shared" si="35"/>
        <v>0</v>
      </c>
    </row>
    <row r="281" spans="7:39" x14ac:dyDescent="0.15">
      <c r="G281" s="206" t="s">
        <v>545</v>
      </c>
      <c r="H281" s="53" t="s">
        <v>551</v>
      </c>
      <c r="I281" s="45">
        <f t="shared" si="34"/>
        <v>0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52">
        <f t="shared" si="35"/>
        <v>0</v>
      </c>
    </row>
    <row r="282" spans="7:39" x14ac:dyDescent="0.15">
      <c r="G282" s="206" t="s">
        <v>547</v>
      </c>
      <c r="H282" s="4" t="s">
        <v>553</v>
      </c>
      <c r="I282" s="45">
        <f t="shared" si="34"/>
        <v>0</v>
      </c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52">
        <f t="shared" si="35"/>
        <v>0</v>
      </c>
    </row>
    <row r="283" spans="7:39" x14ac:dyDescent="0.15">
      <c r="G283" s="206" t="s">
        <v>864</v>
      </c>
      <c r="H283" s="4" t="s">
        <v>555</v>
      </c>
      <c r="I283" s="45">
        <f t="shared" si="34"/>
        <v>0</v>
      </c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52">
        <f t="shared" si="35"/>
        <v>0</v>
      </c>
    </row>
    <row r="284" spans="7:39" x14ac:dyDescent="0.15">
      <c r="G284" s="205" t="s">
        <v>550</v>
      </c>
      <c r="H284" s="53" t="s">
        <v>557</v>
      </c>
      <c r="I284" s="45">
        <f t="shared" si="34"/>
        <v>0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52">
        <f t="shared" si="35"/>
        <v>0</v>
      </c>
    </row>
    <row r="285" spans="7:39" x14ac:dyDescent="0.15">
      <c r="G285" s="205" t="s">
        <v>552</v>
      </c>
      <c r="H285" s="4" t="s">
        <v>559</v>
      </c>
      <c r="I285" s="45">
        <f t="shared" si="34"/>
        <v>0</v>
      </c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52">
        <f t="shared" si="35"/>
        <v>0</v>
      </c>
    </row>
    <row r="286" spans="7:39" x14ac:dyDescent="0.15">
      <c r="G286" s="205" t="s">
        <v>554</v>
      </c>
      <c r="H286" s="4" t="s">
        <v>560</v>
      </c>
      <c r="I286" s="45">
        <f t="shared" si="34"/>
        <v>0</v>
      </c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52">
        <f t="shared" si="35"/>
        <v>0</v>
      </c>
    </row>
    <row r="287" spans="7:39" x14ac:dyDescent="0.15">
      <c r="G287" s="205" t="s">
        <v>556</v>
      </c>
      <c r="H287" s="53" t="s">
        <v>562</v>
      </c>
      <c r="I287" s="45">
        <f t="shared" si="34"/>
        <v>0</v>
      </c>
      <c r="J287" s="46">
        <f t="shared" ref="J287:AL287" si="40">SUM(J288:J293)</f>
        <v>0</v>
      </c>
      <c r="K287" s="46">
        <f t="shared" si="40"/>
        <v>0</v>
      </c>
      <c r="L287" s="46">
        <f t="shared" si="40"/>
        <v>0</v>
      </c>
      <c r="M287" s="46">
        <f t="shared" si="40"/>
        <v>0</v>
      </c>
      <c r="N287" s="46">
        <f t="shared" si="40"/>
        <v>0</v>
      </c>
      <c r="O287" s="46">
        <f t="shared" si="40"/>
        <v>0</v>
      </c>
      <c r="P287" s="46">
        <f t="shared" si="40"/>
        <v>0</v>
      </c>
      <c r="Q287" s="46">
        <f t="shared" si="40"/>
        <v>0</v>
      </c>
      <c r="R287" s="46">
        <f t="shared" si="40"/>
        <v>0</v>
      </c>
      <c r="S287" s="46">
        <f t="shared" si="40"/>
        <v>0</v>
      </c>
      <c r="T287" s="46">
        <f t="shared" si="40"/>
        <v>0</v>
      </c>
      <c r="U287" s="46">
        <f t="shared" si="40"/>
        <v>0</v>
      </c>
      <c r="V287" s="46">
        <f t="shared" si="40"/>
        <v>0</v>
      </c>
      <c r="W287" s="46">
        <f t="shared" si="40"/>
        <v>0</v>
      </c>
      <c r="X287" s="46">
        <f t="shared" si="40"/>
        <v>0</v>
      </c>
      <c r="Y287" s="46">
        <f t="shared" si="40"/>
        <v>0</v>
      </c>
      <c r="Z287" s="46">
        <f t="shared" si="40"/>
        <v>0</v>
      </c>
      <c r="AA287" s="46">
        <f t="shared" si="40"/>
        <v>0</v>
      </c>
      <c r="AB287" s="46">
        <f t="shared" si="40"/>
        <v>0</v>
      </c>
      <c r="AC287" s="46">
        <f t="shared" si="40"/>
        <v>0</v>
      </c>
      <c r="AD287" s="46">
        <f t="shared" si="40"/>
        <v>0</v>
      </c>
      <c r="AE287" s="46">
        <f t="shared" si="40"/>
        <v>0</v>
      </c>
      <c r="AF287" s="46">
        <f t="shared" si="40"/>
        <v>0</v>
      </c>
      <c r="AG287" s="46">
        <f t="shared" si="40"/>
        <v>0</v>
      </c>
      <c r="AH287" s="46">
        <f t="shared" si="40"/>
        <v>0</v>
      </c>
      <c r="AI287" s="46">
        <f t="shared" si="40"/>
        <v>0</v>
      </c>
      <c r="AJ287" s="46">
        <f t="shared" si="40"/>
        <v>0</v>
      </c>
      <c r="AK287" s="46">
        <f t="shared" si="40"/>
        <v>0</v>
      </c>
      <c r="AL287" s="46">
        <f t="shared" si="40"/>
        <v>0</v>
      </c>
      <c r="AM287" s="52">
        <f t="shared" si="35"/>
        <v>0</v>
      </c>
    </row>
    <row r="288" spans="7:39" ht="21" x14ac:dyDescent="0.15">
      <c r="G288" s="206" t="s">
        <v>558</v>
      </c>
      <c r="H288" s="4" t="s">
        <v>564</v>
      </c>
      <c r="I288" s="45">
        <f t="shared" si="34"/>
        <v>0</v>
      </c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52">
        <f t="shared" si="35"/>
        <v>0</v>
      </c>
    </row>
    <row r="289" spans="7:39" x14ac:dyDescent="0.15">
      <c r="G289" s="206" t="s">
        <v>416</v>
      </c>
      <c r="H289" s="4" t="s">
        <v>565</v>
      </c>
      <c r="I289" s="45">
        <f t="shared" si="34"/>
        <v>0</v>
      </c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52">
        <f t="shared" si="35"/>
        <v>0</v>
      </c>
    </row>
    <row r="290" spans="7:39" x14ac:dyDescent="0.15">
      <c r="G290" s="206" t="s">
        <v>561</v>
      </c>
      <c r="H290" s="53" t="s">
        <v>566</v>
      </c>
      <c r="I290" s="45">
        <f t="shared" si="34"/>
        <v>0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52">
        <f t="shared" si="35"/>
        <v>0</v>
      </c>
    </row>
    <row r="291" spans="7:39" x14ac:dyDescent="0.15">
      <c r="G291" s="206" t="s">
        <v>563</v>
      </c>
      <c r="H291" s="4" t="s">
        <v>568</v>
      </c>
      <c r="I291" s="45">
        <f t="shared" si="34"/>
        <v>0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52">
        <f t="shared" si="35"/>
        <v>0</v>
      </c>
    </row>
    <row r="292" spans="7:39" x14ac:dyDescent="0.15">
      <c r="G292" s="206" t="s">
        <v>414</v>
      </c>
      <c r="H292" s="4" t="s">
        <v>570</v>
      </c>
      <c r="I292" s="45">
        <f t="shared" si="34"/>
        <v>0</v>
      </c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52">
        <f t="shared" si="35"/>
        <v>0</v>
      </c>
    </row>
    <row r="293" spans="7:39" x14ac:dyDescent="0.15">
      <c r="G293" s="206" t="s">
        <v>418</v>
      </c>
      <c r="H293" s="53" t="s">
        <v>571</v>
      </c>
      <c r="I293" s="45">
        <f t="shared" si="34"/>
        <v>0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52">
        <f t="shared" si="35"/>
        <v>0</v>
      </c>
    </row>
    <row r="294" spans="7:39" x14ac:dyDescent="0.15">
      <c r="G294" s="205" t="s">
        <v>567</v>
      </c>
      <c r="H294" s="4" t="s">
        <v>573</v>
      </c>
      <c r="I294" s="45">
        <f t="shared" si="34"/>
        <v>0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52">
        <f t="shared" si="35"/>
        <v>0</v>
      </c>
    </row>
    <row r="295" spans="7:39" x14ac:dyDescent="0.15">
      <c r="G295" s="205" t="s">
        <v>569</v>
      </c>
      <c r="H295" s="4" t="s">
        <v>575</v>
      </c>
      <c r="I295" s="45">
        <f t="shared" si="34"/>
        <v>0</v>
      </c>
      <c r="J295" s="46">
        <f t="shared" ref="J295:AL295" si="41">SUM(J296:J301)</f>
        <v>0</v>
      </c>
      <c r="K295" s="46">
        <f t="shared" si="41"/>
        <v>0</v>
      </c>
      <c r="L295" s="46">
        <f t="shared" si="41"/>
        <v>0</v>
      </c>
      <c r="M295" s="46">
        <f t="shared" si="41"/>
        <v>0</v>
      </c>
      <c r="N295" s="46">
        <f t="shared" si="41"/>
        <v>0</v>
      </c>
      <c r="O295" s="46">
        <f t="shared" si="41"/>
        <v>0</v>
      </c>
      <c r="P295" s="46">
        <f t="shared" si="41"/>
        <v>0</v>
      </c>
      <c r="Q295" s="46">
        <f t="shared" si="41"/>
        <v>0</v>
      </c>
      <c r="R295" s="46">
        <f t="shared" si="41"/>
        <v>0</v>
      </c>
      <c r="S295" s="46">
        <f t="shared" si="41"/>
        <v>0</v>
      </c>
      <c r="T295" s="46">
        <f t="shared" si="41"/>
        <v>0</v>
      </c>
      <c r="U295" s="46">
        <f t="shared" si="41"/>
        <v>0</v>
      </c>
      <c r="V295" s="46">
        <f t="shared" si="41"/>
        <v>0</v>
      </c>
      <c r="W295" s="46">
        <f t="shared" si="41"/>
        <v>0</v>
      </c>
      <c r="X295" s="46">
        <f t="shared" si="41"/>
        <v>0</v>
      </c>
      <c r="Y295" s="46">
        <f t="shared" si="41"/>
        <v>0</v>
      </c>
      <c r="Z295" s="46">
        <f t="shared" si="41"/>
        <v>0</v>
      </c>
      <c r="AA295" s="46">
        <f t="shared" si="41"/>
        <v>0</v>
      </c>
      <c r="AB295" s="46">
        <f t="shared" si="41"/>
        <v>0</v>
      </c>
      <c r="AC295" s="46">
        <f t="shared" si="41"/>
        <v>0</v>
      </c>
      <c r="AD295" s="46">
        <f t="shared" si="41"/>
        <v>0</v>
      </c>
      <c r="AE295" s="46">
        <f t="shared" si="41"/>
        <v>0</v>
      </c>
      <c r="AF295" s="46">
        <f t="shared" si="41"/>
        <v>0</v>
      </c>
      <c r="AG295" s="46">
        <f t="shared" si="41"/>
        <v>0</v>
      </c>
      <c r="AH295" s="46">
        <f t="shared" si="41"/>
        <v>0</v>
      </c>
      <c r="AI295" s="46">
        <f t="shared" si="41"/>
        <v>0</v>
      </c>
      <c r="AJ295" s="46">
        <f t="shared" si="41"/>
        <v>0</v>
      </c>
      <c r="AK295" s="46">
        <f t="shared" si="41"/>
        <v>0</v>
      </c>
      <c r="AL295" s="46">
        <f t="shared" si="41"/>
        <v>0</v>
      </c>
      <c r="AM295" s="52">
        <f t="shared" si="35"/>
        <v>0</v>
      </c>
    </row>
    <row r="296" spans="7:39" ht="21" x14ac:dyDescent="0.15">
      <c r="G296" s="206" t="s">
        <v>871</v>
      </c>
      <c r="H296" s="53" t="s">
        <v>577</v>
      </c>
      <c r="I296" s="45">
        <f t="shared" si="34"/>
        <v>0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52">
        <f t="shared" si="35"/>
        <v>0</v>
      </c>
    </row>
    <row r="297" spans="7:39" x14ac:dyDescent="0.15">
      <c r="G297" s="206" t="s">
        <v>572</v>
      </c>
      <c r="H297" s="4" t="s">
        <v>579</v>
      </c>
      <c r="I297" s="45">
        <f t="shared" si="34"/>
        <v>0</v>
      </c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52">
        <f t="shared" si="35"/>
        <v>0</v>
      </c>
    </row>
    <row r="298" spans="7:39" x14ac:dyDescent="0.15">
      <c r="G298" s="206" t="s">
        <v>574</v>
      </c>
      <c r="H298" s="4" t="s">
        <v>581</v>
      </c>
      <c r="I298" s="45">
        <f t="shared" si="34"/>
        <v>0</v>
      </c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52">
        <f t="shared" si="35"/>
        <v>0</v>
      </c>
    </row>
    <row r="299" spans="7:39" x14ac:dyDescent="0.15">
      <c r="G299" s="206" t="s">
        <v>576</v>
      </c>
      <c r="H299" s="53" t="s">
        <v>583</v>
      </c>
      <c r="I299" s="45">
        <f t="shared" si="34"/>
        <v>0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52">
        <f t="shared" si="35"/>
        <v>0</v>
      </c>
    </row>
    <row r="300" spans="7:39" x14ac:dyDescent="0.15">
      <c r="G300" s="206" t="s">
        <v>578</v>
      </c>
      <c r="H300" s="4" t="s">
        <v>585</v>
      </c>
      <c r="I300" s="45">
        <f t="shared" si="34"/>
        <v>0</v>
      </c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52">
        <f t="shared" si="35"/>
        <v>0</v>
      </c>
    </row>
    <row r="301" spans="7:39" x14ac:dyDescent="0.15">
      <c r="G301" s="206" t="s">
        <v>580</v>
      </c>
      <c r="H301" s="4" t="s">
        <v>587</v>
      </c>
      <c r="I301" s="45">
        <f t="shared" si="34"/>
        <v>0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52">
        <f t="shared" si="35"/>
        <v>0</v>
      </c>
    </row>
    <row r="302" spans="7:39" x14ac:dyDescent="0.15">
      <c r="G302" s="205" t="s">
        <v>582</v>
      </c>
      <c r="H302" s="53" t="s">
        <v>588</v>
      </c>
      <c r="I302" s="45">
        <f t="shared" si="34"/>
        <v>0</v>
      </c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52">
        <f t="shared" si="35"/>
        <v>0</v>
      </c>
    </row>
    <row r="303" spans="7:39" x14ac:dyDescent="0.15">
      <c r="G303" s="205" t="s">
        <v>584</v>
      </c>
      <c r="H303" s="4" t="s">
        <v>590</v>
      </c>
      <c r="I303" s="45">
        <f t="shared" si="34"/>
        <v>0</v>
      </c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52">
        <f t="shared" si="35"/>
        <v>0</v>
      </c>
    </row>
    <row r="304" spans="7:39" x14ac:dyDescent="0.15">
      <c r="G304" s="205" t="s">
        <v>586</v>
      </c>
      <c r="H304" s="4" t="s">
        <v>592</v>
      </c>
      <c r="I304" s="45">
        <f t="shared" si="34"/>
        <v>0</v>
      </c>
      <c r="J304" s="46">
        <f t="shared" ref="J304:AL304" si="42">SUM(J305:J309)</f>
        <v>0</v>
      </c>
      <c r="K304" s="46">
        <f t="shared" si="42"/>
        <v>0</v>
      </c>
      <c r="L304" s="46">
        <f t="shared" si="42"/>
        <v>0</v>
      </c>
      <c r="M304" s="46">
        <f t="shared" si="42"/>
        <v>0</v>
      </c>
      <c r="N304" s="46">
        <f t="shared" si="42"/>
        <v>0</v>
      </c>
      <c r="O304" s="46">
        <f t="shared" si="42"/>
        <v>0</v>
      </c>
      <c r="P304" s="46">
        <f t="shared" si="42"/>
        <v>0</v>
      </c>
      <c r="Q304" s="46">
        <f t="shared" si="42"/>
        <v>0</v>
      </c>
      <c r="R304" s="46">
        <f t="shared" si="42"/>
        <v>0</v>
      </c>
      <c r="S304" s="46">
        <f t="shared" si="42"/>
        <v>0</v>
      </c>
      <c r="T304" s="46">
        <f t="shared" si="42"/>
        <v>0</v>
      </c>
      <c r="U304" s="46">
        <f t="shared" si="42"/>
        <v>0</v>
      </c>
      <c r="V304" s="46">
        <f t="shared" si="42"/>
        <v>0</v>
      </c>
      <c r="W304" s="46">
        <f t="shared" si="42"/>
        <v>0</v>
      </c>
      <c r="X304" s="46">
        <f t="shared" si="42"/>
        <v>0</v>
      </c>
      <c r="Y304" s="46">
        <f t="shared" si="42"/>
        <v>0</v>
      </c>
      <c r="Z304" s="46">
        <f t="shared" si="42"/>
        <v>0</v>
      </c>
      <c r="AA304" s="46">
        <f t="shared" si="42"/>
        <v>0</v>
      </c>
      <c r="AB304" s="46">
        <f t="shared" si="42"/>
        <v>0</v>
      </c>
      <c r="AC304" s="46">
        <f t="shared" si="42"/>
        <v>0</v>
      </c>
      <c r="AD304" s="46">
        <f t="shared" si="42"/>
        <v>0</v>
      </c>
      <c r="AE304" s="46">
        <f t="shared" si="42"/>
        <v>0</v>
      </c>
      <c r="AF304" s="46">
        <f t="shared" si="42"/>
        <v>0</v>
      </c>
      <c r="AG304" s="46">
        <f t="shared" si="42"/>
        <v>0</v>
      </c>
      <c r="AH304" s="46">
        <f t="shared" si="42"/>
        <v>0</v>
      </c>
      <c r="AI304" s="46">
        <f t="shared" si="42"/>
        <v>0</v>
      </c>
      <c r="AJ304" s="46">
        <f t="shared" si="42"/>
        <v>0</v>
      </c>
      <c r="AK304" s="46">
        <f t="shared" si="42"/>
        <v>0</v>
      </c>
      <c r="AL304" s="46">
        <f t="shared" si="42"/>
        <v>0</v>
      </c>
      <c r="AM304" s="52">
        <f t="shared" si="35"/>
        <v>0</v>
      </c>
    </row>
    <row r="305" spans="7:39" ht="21" x14ac:dyDescent="0.15">
      <c r="G305" s="206" t="s">
        <v>872</v>
      </c>
      <c r="H305" s="53" t="s">
        <v>594</v>
      </c>
      <c r="I305" s="45">
        <f t="shared" si="34"/>
        <v>0</v>
      </c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52">
        <f t="shared" si="35"/>
        <v>0</v>
      </c>
    </row>
    <row r="306" spans="7:39" x14ac:dyDescent="0.15">
      <c r="G306" s="206" t="s">
        <v>589</v>
      </c>
      <c r="H306" s="4" t="s">
        <v>596</v>
      </c>
      <c r="I306" s="45">
        <f t="shared" si="34"/>
        <v>0</v>
      </c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52">
        <f t="shared" si="35"/>
        <v>0</v>
      </c>
    </row>
    <row r="307" spans="7:39" x14ac:dyDescent="0.15">
      <c r="G307" s="206" t="s">
        <v>591</v>
      </c>
      <c r="H307" s="4" t="s">
        <v>598</v>
      </c>
      <c r="I307" s="45">
        <f t="shared" si="34"/>
        <v>0</v>
      </c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52">
        <f t="shared" si="35"/>
        <v>0</v>
      </c>
    </row>
    <row r="308" spans="7:39" x14ac:dyDescent="0.15">
      <c r="G308" s="206" t="s">
        <v>593</v>
      </c>
      <c r="H308" s="53" t="s">
        <v>599</v>
      </c>
      <c r="I308" s="45">
        <f t="shared" si="34"/>
        <v>0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52">
        <f t="shared" si="35"/>
        <v>0</v>
      </c>
    </row>
    <row r="309" spans="7:39" x14ac:dyDescent="0.15">
      <c r="G309" s="206" t="s">
        <v>595</v>
      </c>
      <c r="H309" s="4" t="s">
        <v>601</v>
      </c>
      <c r="I309" s="45">
        <f t="shared" si="34"/>
        <v>0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52">
        <f t="shared" si="35"/>
        <v>0</v>
      </c>
    </row>
    <row r="310" spans="7:39" x14ac:dyDescent="0.15">
      <c r="G310" s="205" t="s">
        <v>597</v>
      </c>
      <c r="H310" s="4" t="s">
        <v>603</v>
      </c>
      <c r="I310" s="45">
        <f t="shared" si="34"/>
        <v>0</v>
      </c>
      <c r="J310" s="46">
        <f>SUM(J311:J312)</f>
        <v>0</v>
      </c>
      <c r="K310" s="46">
        <f t="shared" ref="K310:AL310" si="43">SUM(K311:K312)</f>
        <v>0</v>
      </c>
      <c r="L310" s="46">
        <f t="shared" si="43"/>
        <v>0</v>
      </c>
      <c r="M310" s="46">
        <f t="shared" si="43"/>
        <v>0</v>
      </c>
      <c r="N310" s="46">
        <f t="shared" si="43"/>
        <v>0</v>
      </c>
      <c r="O310" s="46">
        <f t="shared" si="43"/>
        <v>0</v>
      </c>
      <c r="P310" s="46">
        <f t="shared" si="43"/>
        <v>0</v>
      </c>
      <c r="Q310" s="46">
        <f t="shared" si="43"/>
        <v>0</v>
      </c>
      <c r="R310" s="46">
        <f t="shared" si="43"/>
        <v>0</v>
      </c>
      <c r="S310" s="46">
        <f t="shared" si="43"/>
        <v>0</v>
      </c>
      <c r="T310" s="46">
        <f t="shared" si="43"/>
        <v>0</v>
      </c>
      <c r="U310" s="46">
        <f t="shared" si="43"/>
        <v>0</v>
      </c>
      <c r="V310" s="46">
        <f t="shared" si="43"/>
        <v>0</v>
      </c>
      <c r="W310" s="46">
        <f t="shared" si="43"/>
        <v>0</v>
      </c>
      <c r="X310" s="46">
        <f t="shared" si="43"/>
        <v>0</v>
      </c>
      <c r="Y310" s="46">
        <f t="shared" si="43"/>
        <v>0</v>
      </c>
      <c r="Z310" s="46">
        <f t="shared" si="43"/>
        <v>0</v>
      </c>
      <c r="AA310" s="46">
        <f t="shared" si="43"/>
        <v>0</v>
      </c>
      <c r="AB310" s="46">
        <f t="shared" si="43"/>
        <v>0</v>
      </c>
      <c r="AC310" s="46">
        <f t="shared" si="43"/>
        <v>0</v>
      </c>
      <c r="AD310" s="46">
        <f t="shared" si="43"/>
        <v>0</v>
      </c>
      <c r="AE310" s="46">
        <f t="shared" si="43"/>
        <v>0</v>
      </c>
      <c r="AF310" s="46">
        <f t="shared" si="43"/>
        <v>0</v>
      </c>
      <c r="AG310" s="46">
        <f t="shared" si="43"/>
        <v>0</v>
      </c>
      <c r="AH310" s="46">
        <f t="shared" si="43"/>
        <v>0</v>
      </c>
      <c r="AI310" s="46">
        <f t="shared" si="43"/>
        <v>0</v>
      </c>
      <c r="AJ310" s="46">
        <f t="shared" si="43"/>
        <v>0</v>
      </c>
      <c r="AK310" s="46">
        <f t="shared" si="43"/>
        <v>0</v>
      </c>
      <c r="AL310" s="46">
        <f t="shared" si="43"/>
        <v>0</v>
      </c>
      <c r="AM310" s="52">
        <f t="shared" si="35"/>
        <v>0</v>
      </c>
    </row>
    <row r="311" spans="7:39" ht="21" x14ac:dyDescent="0.15">
      <c r="G311" s="206" t="s">
        <v>873</v>
      </c>
      <c r="H311" s="53" t="s">
        <v>605</v>
      </c>
      <c r="I311" s="45">
        <f t="shared" si="34"/>
        <v>0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52">
        <f t="shared" si="35"/>
        <v>0</v>
      </c>
    </row>
    <row r="312" spans="7:39" ht="21" x14ac:dyDescent="0.15">
      <c r="G312" s="206" t="s">
        <v>600</v>
      </c>
      <c r="H312" s="4" t="s">
        <v>607</v>
      </c>
      <c r="I312" s="45">
        <f t="shared" si="34"/>
        <v>0</v>
      </c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52">
        <f t="shared" si="35"/>
        <v>0</v>
      </c>
    </row>
    <row r="313" spans="7:39" x14ac:dyDescent="0.15">
      <c r="G313" s="205" t="s">
        <v>602</v>
      </c>
      <c r="H313" s="4" t="s">
        <v>609</v>
      </c>
      <c r="I313" s="45">
        <f t="shared" si="34"/>
        <v>0</v>
      </c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52">
        <f t="shared" si="35"/>
        <v>0</v>
      </c>
    </row>
    <row r="314" spans="7:39" x14ac:dyDescent="0.15">
      <c r="G314" s="205" t="s">
        <v>604</v>
      </c>
      <c r="H314" s="53" t="s">
        <v>611</v>
      </c>
      <c r="I314" s="45">
        <f t="shared" si="34"/>
        <v>0</v>
      </c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52">
        <f t="shared" si="35"/>
        <v>0</v>
      </c>
    </row>
    <row r="315" spans="7:39" x14ac:dyDescent="0.15">
      <c r="G315" s="205" t="s">
        <v>606</v>
      </c>
      <c r="H315" s="4" t="s">
        <v>613</v>
      </c>
      <c r="I315" s="45">
        <f t="shared" si="34"/>
        <v>0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52">
        <f t="shared" si="35"/>
        <v>0</v>
      </c>
    </row>
    <row r="316" spans="7:39" x14ac:dyDescent="0.15">
      <c r="G316" s="205" t="s">
        <v>608</v>
      </c>
      <c r="H316" s="4" t="s">
        <v>615</v>
      </c>
      <c r="I316" s="45">
        <f t="shared" si="34"/>
        <v>0</v>
      </c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52">
        <f t="shared" si="35"/>
        <v>0</v>
      </c>
    </row>
    <row r="317" spans="7:39" x14ac:dyDescent="0.15">
      <c r="G317" s="205" t="s">
        <v>610</v>
      </c>
      <c r="H317" s="53" t="s">
        <v>617</v>
      </c>
      <c r="I317" s="45">
        <f t="shared" si="34"/>
        <v>0</v>
      </c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52">
        <f t="shared" si="35"/>
        <v>0</v>
      </c>
    </row>
    <row r="318" spans="7:39" x14ac:dyDescent="0.15">
      <c r="G318" s="205" t="s">
        <v>612</v>
      </c>
      <c r="H318" s="4" t="s">
        <v>619</v>
      </c>
      <c r="I318" s="45">
        <f t="shared" si="34"/>
        <v>0</v>
      </c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52">
        <f t="shared" si="35"/>
        <v>0</v>
      </c>
    </row>
    <row r="319" spans="7:39" x14ac:dyDescent="0.15">
      <c r="G319" s="205" t="s">
        <v>614</v>
      </c>
      <c r="H319" s="4" t="s">
        <v>621</v>
      </c>
      <c r="I319" s="45">
        <f t="shared" si="34"/>
        <v>0</v>
      </c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52">
        <f t="shared" si="35"/>
        <v>0</v>
      </c>
    </row>
    <row r="320" spans="7:39" x14ac:dyDescent="0.15">
      <c r="G320" s="205" t="s">
        <v>616</v>
      </c>
      <c r="H320" s="53" t="s">
        <v>623</v>
      </c>
      <c r="I320" s="45">
        <f t="shared" si="34"/>
        <v>0</v>
      </c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52">
        <f t="shared" si="35"/>
        <v>0</v>
      </c>
    </row>
    <row r="321" spans="7:39" x14ac:dyDescent="0.15">
      <c r="G321" s="205" t="s">
        <v>618</v>
      </c>
      <c r="H321" s="4" t="s">
        <v>898</v>
      </c>
      <c r="I321" s="45">
        <f t="shared" si="34"/>
        <v>0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52">
        <f t="shared" si="35"/>
        <v>0</v>
      </c>
    </row>
    <row r="322" spans="7:39" x14ac:dyDescent="0.15">
      <c r="G322" s="205" t="s">
        <v>620</v>
      </c>
      <c r="H322" s="4" t="s">
        <v>899</v>
      </c>
      <c r="I322" s="45">
        <f t="shared" si="34"/>
        <v>0</v>
      </c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52">
        <f t="shared" si="35"/>
        <v>0</v>
      </c>
    </row>
    <row r="323" spans="7:39" x14ac:dyDescent="0.15">
      <c r="G323" s="209" t="s">
        <v>622</v>
      </c>
      <c r="H323" s="53" t="s">
        <v>900</v>
      </c>
      <c r="I323" s="45">
        <f t="shared" ref="I323:AK323" si="44">SUM(I11:I17,I20:I26,I31:I34,I39:I45,I52:I53,I56:I64,I68:I70,I73:I76,I81:I88,I91:I102,I105:I110,I118:I119,I124:I150,I153:I159,I164:I165,I171:I174,I180:I195,I199:I210,I217:I223,I229:I233,I240:I243,I247:I250,I255:I271,I277:I278,I284:I287,I294:I295,I302:I304,I310,I313:I322)</f>
        <v>0</v>
      </c>
      <c r="J323" s="45">
        <f t="shared" si="44"/>
        <v>0</v>
      </c>
      <c r="K323" s="45">
        <f t="shared" si="44"/>
        <v>0</v>
      </c>
      <c r="L323" s="45">
        <f t="shared" si="44"/>
        <v>0</v>
      </c>
      <c r="M323" s="45">
        <f t="shared" si="44"/>
        <v>0</v>
      </c>
      <c r="N323" s="45">
        <f t="shared" si="44"/>
        <v>0</v>
      </c>
      <c r="O323" s="45">
        <f t="shared" si="44"/>
        <v>0</v>
      </c>
      <c r="P323" s="45">
        <f t="shared" si="44"/>
        <v>0</v>
      </c>
      <c r="Q323" s="45">
        <f t="shared" si="44"/>
        <v>0</v>
      </c>
      <c r="R323" s="45">
        <f t="shared" si="44"/>
        <v>0</v>
      </c>
      <c r="S323" s="45">
        <f t="shared" si="44"/>
        <v>0</v>
      </c>
      <c r="T323" s="45">
        <f t="shared" si="44"/>
        <v>0</v>
      </c>
      <c r="U323" s="45">
        <f t="shared" si="44"/>
        <v>0</v>
      </c>
      <c r="V323" s="45">
        <f t="shared" si="44"/>
        <v>0</v>
      </c>
      <c r="W323" s="45">
        <f t="shared" si="44"/>
        <v>0</v>
      </c>
      <c r="X323" s="45">
        <f t="shared" si="44"/>
        <v>0</v>
      </c>
      <c r="Y323" s="45">
        <f t="shared" si="44"/>
        <v>0</v>
      </c>
      <c r="Z323" s="45">
        <f t="shared" si="44"/>
        <v>0</v>
      </c>
      <c r="AA323" s="45">
        <f t="shared" si="44"/>
        <v>0</v>
      </c>
      <c r="AB323" s="45">
        <f t="shared" si="44"/>
        <v>0</v>
      </c>
      <c r="AC323" s="45">
        <f t="shared" si="44"/>
        <v>0</v>
      </c>
      <c r="AD323" s="45">
        <f t="shared" si="44"/>
        <v>0</v>
      </c>
      <c r="AE323" s="45">
        <f t="shared" si="44"/>
        <v>0</v>
      </c>
      <c r="AF323" s="45">
        <f t="shared" si="44"/>
        <v>0</v>
      </c>
      <c r="AG323" s="45">
        <f t="shared" si="44"/>
        <v>0</v>
      </c>
      <c r="AH323" s="45">
        <f t="shared" si="44"/>
        <v>0</v>
      </c>
      <c r="AI323" s="45">
        <f t="shared" si="44"/>
        <v>0</v>
      </c>
      <c r="AJ323" s="45">
        <f t="shared" si="44"/>
        <v>0</v>
      </c>
      <c r="AK323" s="45">
        <f t="shared" si="44"/>
        <v>0</v>
      </c>
      <c r="AL323" s="45">
        <f>SUM(AL11:AL17,AL20:AL26,AL31:AL34,AL39:AL45,AL52:AL53,AL56:AL64,AL68:AL70,AL73:AL76,AL81:AL88,AL91:AL102,AL105:AL110,AL118:AL119,AL124:AL150,AL153:AL159,AL164:AL165,AL171:AL174,AL180:AL195,AL199:AL210,AL217:AL223,AL229:AL233,AL240:AL243,AL247:AL250,AL255:AL271,AL277:AL278,AL284:AL287,AL294:AL295,AL302:AL304,AL310,AL313:AL322)</f>
        <v>0</v>
      </c>
      <c r="AM323" s="52">
        <f>SUM(I11:AL323)</f>
        <v>0</v>
      </c>
    </row>
  </sheetData>
  <sheetProtection algorithmName="SHA-512" hashValue="J4VQ0NSTZBIUA0qTrn7aiR7Ab9COHRJLUQyAMHfOguG8DV0Fk261x66Ao+Bm9J+udJ/H3intQEsOeSASRORlTg==" saltValue="TvL2LQYOhq1NYKc8FEIpYw==" spinCount="100000" sheet="1" objects="1" scenarios="1" selectLockedCells="1"/>
  <mergeCells count="41">
    <mergeCell ref="AJ7:AJ9"/>
    <mergeCell ref="AK7:AK9"/>
    <mergeCell ref="AL7:AL9"/>
    <mergeCell ref="AE8:AE9"/>
    <mergeCell ref="AF8:AF9"/>
    <mergeCell ref="AG8:AG9"/>
    <mergeCell ref="AD7:AD9"/>
    <mergeCell ref="AC6:AD6"/>
    <mergeCell ref="AE6:AG7"/>
    <mergeCell ref="AH6:AH9"/>
    <mergeCell ref="AI6:AI9"/>
    <mergeCell ref="AC7:AC9"/>
    <mergeCell ref="L7:L9"/>
    <mergeCell ref="M7:M9"/>
    <mergeCell ref="N7:O8"/>
    <mergeCell ref="P7:P9"/>
    <mergeCell ref="S7:S9"/>
    <mergeCell ref="U6:U9"/>
    <mergeCell ref="V6:Z6"/>
    <mergeCell ref="AA6:AA9"/>
    <mergeCell ref="AB6:AB9"/>
    <mergeCell ref="V7:V9"/>
    <mergeCell ref="W7:W9"/>
    <mergeCell ref="X7:Y8"/>
    <mergeCell ref="Z7:Z9"/>
    <mergeCell ref="G3:AL3"/>
    <mergeCell ref="G4:G9"/>
    <mergeCell ref="H4:H9"/>
    <mergeCell ref="I4:AL4"/>
    <mergeCell ref="I5:I9"/>
    <mergeCell ref="J5:J9"/>
    <mergeCell ref="K5:K9"/>
    <mergeCell ref="L5:T5"/>
    <mergeCell ref="U5:AD5"/>
    <mergeCell ref="T7:T9"/>
    <mergeCell ref="AE5:AI5"/>
    <mergeCell ref="AJ5:AL6"/>
    <mergeCell ref="L6:P6"/>
    <mergeCell ref="Q6:Q9"/>
    <mergeCell ref="R6:R9"/>
    <mergeCell ref="S6:T6"/>
  </mergeCells>
  <phoneticPr fontId="20" type="noConversion"/>
  <conditionalFormatting sqref="I11:AL322">
    <cfRule type="expression" dxfId="77" priority="5">
      <formula>ISTEXT(I11)</formula>
    </cfRule>
    <cfRule type="expression" dxfId="76" priority="6">
      <formula>MOD(I11,1)&lt;&gt;0</formula>
    </cfRule>
  </conditionalFormatting>
  <conditionalFormatting sqref="J11:J323">
    <cfRule type="expression" dxfId="75" priority="13">
      <formula>AND($J11=0,SUM($L11:$T11)&gt;0)</formula>
    </cfRule>
  </conditionalFormatting>
  <conditionalFormatting sqref="J11:AL16 J18:AL25 J27:AL33 J35:AL44 J46:AL52 J54:AL63 J65:AL69 J71:AL75 J77:AL87 J89:AL101 J103:AL109 J111:AL118 J120:AL149 J151:AL158 J160:AL164 J166:AL173 J175:AL194 J196:AL209 J211:AL222 J224:AL232 J234:AL242 J244:AL249 J251:AL270 J272:AL277 J279:AL286 J288:AL294 J296:AL303 J305:AL309 J311:AL322">
    <cfRule type="expression" dxfId="72" priority="12">
      <formula>_xlfn.ISFORMULA(J11)</formula>
    </cfRule>
  </conditionalFormatting>
  <conditionalFormatting sqref="L11:M323">
    <cfRule type="expression" dxfId="71" priority="8">
      <formula>SUM($L11:$M11)&gt;$J11</formula>
    </cfRule>
  </conditionalFormatting>
  <conditionalFormatting sqref="N11:N323">
    <cfRule type="expression" dxfId="70" priority="14">
      <formula>$N11&gt;$L11</formula>
    </cfRule>
  </conditionalFormatting>
  <conditionalFormatting sqref="O11:O323">
    <cfRule type="expression" dxfId="69" priority="15">
      <formula>$O11&gt;$M11</formula>
    </cfRule>
  </conditionalFormatting>
  <conditionalFormatting sqref="P11:P323">
    <cfRule type="expression" dxfId="68" priority="16">
      <formula>$P11&gt;SUM($L11:$M11)</formula>
    </cfRule>
  </conditionalFormatting>
  <conditionalFormatting sqref="Q11:Q323">
    <cfRule type="expression" dxfId="67" priority="17">
      <formula>$Q11&gt;$J11</formula>
    </cfRule>
  </conditionalFormatting>
  <conditionalFormatting sqref="R11:R323">
    <cfRule type="expression" dxfId="66" priority="18">
      <formula>$R11&gt;$J11</formula>
    </cfRule>
  </conditionalFormatting>
  <conditionalFormatting sqref="S11:T323">
    <cfRule type="expression" dxfId="65" priority="19">
      <formula>SUM($S11:$T11)&gt;$J11</formula>
    </cfRule>
  </conditionalFormatting>
  <conditionalFormatting sqref="U11:U323">
    <cfRule type="expression" dxfId="64" priority="20">
      <formula>AND($U11=0,SUM($V11:$AD11)&gt;0)</formula>
    </cfRule>
  </conditionalFormatting>
  <conditionalFormatting sqref="V11:W323">
    <cfRule type="expression" dxfId="63" priority="7">
      <formula>SUM($V11:$W11)&gt;$U11</formula>
    </cfRule>
  </conditionalFormatting>
  <conditionalFormatting sqref="X11:X323">
    <cfRule type="expression" dxfId="62" priority="21">
      <formula>$X11&gt;$V11</formula>
    </cfRule>
  </conditionalFormatting>
  <conditionalFormatting sqref="Y11:Y323">
    <cfRule type="expression" dxfId="61" priority="22">
      <formula>$Y11&gt;$W11</formula>
    </cfRule>
  </conditionalFormatting>
  <conditionalFormatting sqref="Z11:Z323">
    <cfRule type="expression" dxfId="60" priority="23">
      <formula>$Z11&gt;SUM($V11:$W11)</formula>
    </cfRule>
  </conditionalFormatting>
  <conditionalFormatting sqref="AA11:AA323">
    <cfRule type="expression" dxfId="59" priority="24">
      <formula>$AA11&gt;$U11</formula>
    </cfRule>
  </conditionalFormatting>
  <conditionalFormatting sqref="AB11:AB323">
    <cfRule type="expression" dxfId="58" priority="25">
      <formula>$AB11&gt;$U11</formula>
    </cfRule>
  </conditionalFormatting>
  <conditionalFormatting sqref="AC11:AD323">
    <cfRule type="expression" dxfId="57" priority="26">
      <formula>SUM($AC11:$AD11)&gt;$U11</formula>
    </cfRule>
  </conditionalFormatting>
  <conditionalFormatting sqref="AE11:AG323">
    <cfRule type="expression" dxfId="56" priority="9">
      <formula>SUM($AE11:$AG11)&lt;$J11</formula>
    </cfRule>
    <cfRule type="expression" dxfId="55" priority="10">
      <formula>SUM($AE11:$AG11)&gt;$J11</formula>
    </cfRule>
  </conditionalFormatting>
  <conditionalFormatting sqref="AH11:AH323">
    <cfRule type="expression" dxfId="54" priority="27">
      <formula>$AH11&gt;$J11</formula>
    </cfRule>
  </conditionalFormatting>
  <conditionalFormatting sqref="AI11:AI323">
    <cfRule type="expression" dxfId="53" priority="28">
      <formula>$AI11&gt;$J11</formula>
    </cfRule>
  </conditionalFormatting>
  <conditionalFormatting sqref="AJ11:AJ323">
    <cfRule type="expression" dxfId="52" priority="29">
      <formula>$AJ11&gt;$J11</formula>
    </cfRule>
  </conditionalFormatting>
  <conditionalFormatting sqref="AK11:AK323">
    <cfRule type="expression" dxfId="51" priority="30">
      <formula>$AK11&gt;$U11</formula>
    </cfRule>
  </conditionalFormatting>
  <conditionalFormatting sqref="AL11:AL323">
    <cfRule type="expression" dxfId="50" priority="31">
      <formula>$AL11&gt;$AJ11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E55F82F-9191-42DD-9D51-558C63A9BCA7}">
            <xm:f>AND('Раздел 2'!$I11=0,($I11+$K11)&gt;0)</xm:f>
            <x14:dxf>
              <fill>
                <patternFill>
                  <bgColor rgb="FFFF0000"/>
                </patternFill>
              </fill>
            </x14:dxf>
          </x14:cfRule>
          <x14:cfRule type="expression" priority="11" id="{8D550287-3FF4-47C5-BA5A-094B17043447}">
            <xm:f>AND('Раздел 2'!$I11=1,($I11+$K11)=0)</xm:f>
            <x14:dxf>
              <fill>
                <patternFill>
                  <bgColor rgb="FFFFFF00"/>
                </patternFill>
              </fill>
            </x14:dxf>
          </x14:cfRule>
          <xm:sqref>J11:AL16 J18:AL25 J27:AL33 J35:AL44 J46:AL52 J54:AL63 J65:AL69 J71:AL75 J77:AL87 J89:AL101 J103:AL109 J111:AL118 J120:AL149 J151:AL158 J160:AL164 J166:AL173 J175:AL194 J196:AL209 J211:AL222 J224:AL232 J234:AL242 J244:AL249 J251:AL270 J272:AL277 J279:AL286 J288:AL294 J296:AL303 J305:AL309 J311:AL322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ADAB-88BC-4E31-978A-E63795171C3A}">
  <dimension ref="A1:X21"/>
  <sheetViews>
    <sheetView topLeftCell="G2" zoomScaleNormal="100" workbookViewId="0">
      <selection activeCell="H19" sqref="H19:I19"/>
    </sheetView>
  </sheetViews>
  <sheetFormatPr defaultColWidth="9.140625" defaultRowHeight="10.5" x14ac:dyDescent="0.15"/>
  <cols>
    <col min="1" max="1" width="4.140625" style="67" hidden="1" customWidth="1"/>
    <col min="2" max="2" width="12.5703125" style="67" hidden="1" customWidth="1"/>
    <col min="3" max="3" width="4.42578125" style="67" hidden="1" customWidth="1"/>
    <col min="4" max="4" width="7.140625" style="67" hidden="1" customWidth="1"/>
    <col min="5" max="5" width="4.5703125" style="67" hidden="1" customWidth="1"/>
    <col min="6" max="6" width="11.85546875" style="67" hidden="1" customWidth="1"/>
    <col min="7" max="7" width="44" style="66" customWidth="1"/>
    <col min="8" max="8" width="6" style="76" customWidth="1"/>
    <col min="9" max="9" width="10.7109375" style="66" customWidth="1"/>
    <col min="10" max="10" width="12.28515625" style="66" customWidth="1"/>
    <col min="11" max="14" width="10.7109375" style="66" customWidth="1"/>
    <col min="15" max="15" width="20" style="66" customWidth="1"/>
    <col min="16" max="16" width="9.7109375" style="66" customWidth="1"/>
    <col min="17" max="17" width="9.42578125" style="66" customWidth="1"/>
    <col min="18" max="21" width="10.140625" style="66" customWidth="1"/>
    <col min="22" max="22" width="12.85546875" style="66" customWidth="1"/>
    <col min="23" max="23" width="16.7109375" style="66" customWidth="1"/>
    <col min="24" max="24" width="9.140625" style="66" customWidth="1"/>
    <col min="25" max="16384" width="9.140625" style="67"/>
  </cols>
  <sheetData>
    <row r="1" spans="1:24" s="66" customFormat="1" hidden="1" x14ac:dyDescent="0.15">
      <c r="G1" s="375"/>
      <c r="H1" s="375"/>
      <c r="I1" s="375"/>
      <c r="J1" s="375"/>
      <c r="K1" s="375"/>
      <c r="L1" s="375"/>
      <c r="M1" s="375"/>
      <c r="N1" s="375"/>
      <c r="O1" s="65"/>
    </row>
    <row r="2" spans="1:24" ht="12.75" x14ac:dyDescent="0.15">
      <c r="G2" s="376" t="s">
        <v>718</v>
      </c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  <c r="T2" s="376"/>
      <c r="U2" s="376"/>
      <c r="V2" s="376"/>
      <c r="W2" s="376"/>
    </row>
    <row r="3" spans="1:24" s="66" customFormat="1" x14ac:dyDescent="0.15">
      <c r="G3" s="318" t="s">
        <v>719</v>
      </c>
      <c r="H3" s="360" t="s">
        <v>2</v>
      </c>
      <c r="I3" s="327" t="s">
        <v>720</v>
      </c>
      <c r="J3" s="222"/>
      <c r="K3" s="377" t="s">
        <v>721</v>
      </c>
      <c r="L3" s="378"/>
      <c r="M3" s="378"/>
      <c r="N3" s="378"/>
      <c r="O3" s="378"/>
      <c r="P3" s="378"/>
      <c r="Q3" s="378"/>
      <c r="R3" s="378"/>
      <c r="S3" s="378"/>
      <c r="T3" s="378"/>
      <c r="U3" s="378"/>
      <c r="V3" s="378"/>
      <c r="W3" s="378"/>
    </row>
    <row r="4" spans="1:24" s="66" customFormat="1" ht="14.25" customHeight="1" x14ac:dyDescent="0.15">
      <c r="G4" s="318"/>
      <c r="H4" s="360"/>
      <c r="I4" s="329"/>
      <c r="J4" s="330"/>
      <c r="K4" s="379" t="s">
        <v>700</v>
      </c>
      <c r="L4" s="380"/>
      <c r="M4" s="380"/>
      <c r="N4" s="380"/>
      <c r="O4" s="381"/>
      <c r="P4" s="377" t="s">
        <v>703</v>
      </c>
      <c r="Q4" s="377"/>
      <c r="R4" s="377"/>
      <c r="S4" s="324" t="s">
        <v>705</v>
      </c>
      <c r="T4" s="325"/>
      <c r="U4" s="326"/>
      <c r="V4" s="377" t="s">
        <v>722</v>
      </c>
      <c r="W4" s="377"/>
    </row>
    <row r="5" spans="1:24" s="66" customFormat="1" ht="27.75" customHeight="1" x14ac:dyDescent="0.15">
      <c r="G5" s="318"/>
      <c r="H5" s="360"/>
      <c r="I5" s="318" t="s">
        <v>626</v>
      </c>
      <c r="J5" s="318" t="s">
        <v>723</v>
      </c>
      <c r="K5" s="377" t="s">
        <v>707</v>
      </c>
      <c r="L5" s="377" t="s">
        <v>708</v>
      </c>
      <c r="M5" s="223" t="s">
        <v>724</v>
      </c>
      <c r="N5" s="223"/>
      <c r="O5" s="382" t="s">
        <v>725</v>
      </c>
      <c r="P5" s="318" t="s">
        <v>710</v>
      </c>
      <c r="Q5" s="377" t="s">
        <v>711</v>
      </c>
      <c r="R5" s="377" t="s">
        <v>726</v>
      </c>
      <c r="S5" s="223" t="s">
        <v>715</v>
      </c>
      <c r="T5" s="223" t="s">
        <v>716</v>
      </c>
      <c r="U5" s="223" t="s">
        <v>717</v>
      </c>
      <c r="V5" s="223" t="s">
        <v>727</v>
      </c>
      <c r="W5" s="223" t="s">
        <v>728</v>
      </c>
    </row>
    <row r="6" spans="1:24" s="66" customFormat="1" ht="41.25" customHeight="1" x14ac:dyDescent="0.15">
      <c r="G6" s="318"/>
      <c r="H6" s="319"/>
      <c r="I6" s="318"/>
      <c r="J6" s="318"/>
      <c r="K6" s="377"/>
      <c r="L6" s="377"/>
      <c r="M6" s="72" t="s">
        <v>707</v>
      </c>
      <c r="N6" s="68" t="s">
        <v>708</v>
      </c>
      <c r="O6" s="383"/>
      <c r="P6" s="318"/>
      <c r="Q6" s="377"/>
      <c r="R6" s="377"/>
      <c r="S6" s="223"/>
      <c r="T6" s="223"/>
      <c r="U6" s="223"/>
      <c r="V6" s="223"/>
      <c r="W6" s="223"/>
    </row>
    <row r="7" spans="1:24" s="76" customFormat="1" ht="11.25" customHeight="1" thickBot="1" x14ac:dyDescent="0.2">
      <c r="A7" s="188">
        <f>'Раздел 0'!M27</f>
        <v>0</v>
      </c>
      <c r="B7" s="185">
        <f>'Раздел 1'!D15</f>
        <v>0</v>
      </c>
      <c r="C7" s="184" t="str" cm="1">
        <f t="array" ref="C7">_xlfn.IFS(SUM('Раздел 1'!$D$5:$D$6)&gt;0,"ФКиС",SUM('Раздел 1'!$D$7:$D$8)&gt;0,"Образование",SUM('Раздел 1'!$D$9:$D$10)&gt;0,"Другая")</f>
        <v>ФКиС</v>
      </c>
      <c r="D7" s="184" t="str" cm="1">
        <f t="array" ref="D7">_xlfn.IFS(SUM('Раздел 1'!$E$12)&gt;0,"СШ",SUM('Раздел 1'!$F$12)&gt;0,"СШОР",SUM('Раздел 1'!$G$12)&gt;0,"УОР",SUM('Раздел 1'!$H$12)&gt;0,"ЦСП",SUM('Раздел 1'!$I$12)&gt;0,"ДРУГИЕ",SUM('Раздел 1'!$E$13)&gt;0,"ОСП СШ",SUM('Раздел 1'!$F$13)&gt;0,"ОСП СШОР",SUM('Раздел 1'!$I$13)&gt;0,"ОСП ДРУГИЕ")</f>
        <v>ЦСП</v>
      </c>
      <c r="E7" s="184">
        <f>IF(SUM('Раздел 1'!$D$12)&gt;0,SUM('Раздел 1'!$D$13),"")</f>
        <v>0</v>
      </c>
      <c r="F7" s="184" t="e" cm="1">
        <f t="array" ref="F7">_xlfn.IFS(SUM('Раздел 1'!$D$19)&gt;0,"РФ",SUM('Раздел 1'!$E$19)&gt;0,"СУБЪЕКТ",SUM('Раздел 1'!$F$19:$G$19)&gt;0,"МУНИЦИПАЛ",SUM('Раздел 1'!$H$19:$I$19)&gt;0,"ИНЫЕ")</f>
        <v>#N/A</v>
      </c>
      <c r="G7" s="73">
        <v>1</v>
      </c>
      <c r="H7" s="74">
        <v>2</v>
      </c>
      <c r="I7" s="74">
        <v>3</v>
      </c>
      <c r="J7" s="74">
        <v>4</v>
      </c>
      <c r="K7" s="74">
        <v>5</v>
      </c>
      <c r="L7" s="74">
        <v>6</v>
      </c>
      <c r="M7" s="74">
        <v>7</v>
      </c>
      <c r="N7" s="74">
        <v>8</v>
      </c>
      <c r="O7" s="74">
        <v>9</v>
      </c>
      <c r="P7" s="74">
        <v>10</v>
      </c>
      <c r="Q7" s="74">
        <v>11</v>
      </c>
      <c r="R7" s="74">
        <v>12</v>
      </c>
      <c r="S7" s="74">
        <v>13</v>
      </c>
      <c r="T7" s="74">
        <v>14</v>
      </c>
      <c r="U7" s="74">
        <v>15</v>
      </c>
      <c r="V7" s="74">
        <v>16</v>
      </c>
      <c r="W7" s="74">
        <v>17</v>
      </c>
      <c r="X7" s="75">
        <v>18</v>
      </c>
    </row>
    <row r="8" spans="1:24" ht="12.75" customHeight="1" x14ac:dyDescent="0.15">
      <c r="G8" s="77" t="s">
        <v>729</v>
      </c>
      <c r="H8" s="78" t="s">
        <v>22</v>
      </c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79">
        <f>SUM(I8:W8)</f>
        <v>0</v>
      </c>
    </row>
    <row r="9" spans="1:24" ht="12.75" customHeight="1" x14ac:dyDescent="0.15">
      <c r="G9" s="80" t="s">
        <v>730</v>
      </c>
      <c r="H9" s="81" t="s">
        <v>24</v>
      </c>
      <c r="I9" s="181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79">
        <f t="shared" ref="X9:X20" si="0">SUM(I9:W9)</f>
        <v>0</v>
      </c>
    </row>
    <row r="10" spans="1:24" ht="12.75" customHeight="1" x14ac:dyDescent="0.15">
      <c r="G10" s="82" t="s">
        <v>731</v>
      </c>
      <c r="H10" s="81" t="s">
        <v>26</v>
      </c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79">
        <f t="shared" si="0"/>
        <v>0</v>
      </c>
    </row>
    <row r="11" spans="1:24" ht="21" x14ac:dyDescent="0.15">
      <c r="G11" s="83" t="s">
        <v>912</v>
      </c>
      <c r="H11" s="84" t="s">
        <v>28</v>
      </c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79">
        <f t="shared" si="0"/>
        <v>0</v>
      </c>
    </row>
    <row r="12" spans="1:24" ht="12.75" customHeight="1" x14ac:dyDescent="0.15">
      <c r="G12" s="85" t="s">
        <v>732</v>
      </c>
      <c r="H12" s="84" t="s">
        <v>30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79">
        <f t="shared" si="0"/>
        <v>0</v>
      </c>
    </row>
    <row r="13" spans="1:24" ht="52.5" x14ac:dyDescent="0.15">
      <c r="G13" s="83" t="s">
        <v>913</v>
      </c>
      <c r="H13" s="84" t="s">
        <v>32</v>
      </c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79">
        <f t="shared" si="0"/>
        <v>0</v>
      </c>
    </row>
    <row r="14" spans="1:24" ht="12.75" customHeight="1" x14ac:dyDescent="0.15">
      <c r="G14" s="80" t="s">
        <v>874</v>
      </c>
      <c r="H14" s="84" t="s">
        <v>34</v>
      </c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79">
        <f t="shared" si="0"/>
        <v>0</v>
      </c>
    </row>
    <row r="15" spans="1:24" ht="12.75" customHeight="1" x14ac:dyDescent="0.15">
      <c r="G15" s="80" t="s">
        <v>905</v>
      </c>
      <c r="H15" s="84" t="s">
        <v>36</v>
      </c>
      <c r="I15" s="90">
        <f>SUM(I16,I18,I19)</f>
        <v>0</v>
      </c>
      <c r="J15" s="90">
        <f t="shared" ref="J15:W15" si="1">SUM(J16,J18,J19)</f>
        <v>0</v>
      </c>
      <c r="K15" s="90">
        <f t="shared" si="1"/>
        <v>0</v>
      </c>
      <c r="L15" s="90">
        <f t="shared" si="1"/>
        <v>0</v>
      </c>
      <c r="M15" s="90">
        <f t="shared" si="1"/>
        <v>0</v>
      </c>
      <c r="N15" s="90">
        <f t="shared" si="1"/>
        <v>0</v>
      </c>
      <c r="O15" s="90">
        <f t="shared" si="1"/>
        <v>0</v>
      </c>
      <c r="P15" s="90">
        <f t="shared" si="1"/>
        <v>0</v>
      </c>
      <c r="Q15" s="90">
        <f t="shared" si="1"/>
        <v>0</v>
      </c>
      <c r="R15" s="90">
        <f t="shared" si="1"/>
        <v>0</v>
      </c>
      <c r="S15" s="90">
        <f t="shared" si="1"/>
        <v>0</v>
      </c>
      <c r="T15" s="90">
        <f t="shared" si="1"/>
        <v>0</v>
      </c>
      <c r="U15" s="90">
        <f t="shared" si="1"/>
        <v>0</v>
      </c>
      <c r="V15" s="90">
        <f t="shared" si="1"/>
        <v>0</v>
      </c>
      <c r="W15" s="90">
        <f t="shared" si="1"/>
        <v>0</v>
      </c>
      <c r="X15" s="79">
        <f t="shared" si="0"/>
        <v>0</v>
      </c>
    </row>
    <row r="16" spans="1:24" ht="21" x14ac:dyDescent="0.15">
      <c r="G16" s="83" t="s">
        <v>733</v>
      </c>
      <c r="H16" s="84" t="s">
        <v>38</v>
      </c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79">
        <f t="shared" si="0"/>
        <v>0</v>
      </c>
    </row>
    <row r="17" spans="7:24" ht="21" x14ac:dyDescent="0.15">
      <c r="G17" s="86" t="s">
        <v>920</v>
      </c>
      <c r="H17" s="84" t="s">
        <v>40</v>
      </c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79">
        <f t="shared" si="0"/>
        <v>0</v>
      </c>
    </row>
    <row r="18" spans="7:24" ht="12.75" customHeight="1" x14ac:dyDescent="0.15">
      <c r="G18" s="83" t="s">
        <v>734</v>
      </c>
      <c r="H18" s="84" t="s">
        <v>42</v>
      </c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79">
        <f t="shared" si="0"/>
        <v>0</v>
      </c>
    </row>
    <row r="19" spans="7:24" ht="12.75" customHeight="1" x14ac:dyDescent="0.15">
      <c r="G19" s="83" t="s">
        <v>735</v>
      </c>
      <c r="H19" s="84" t="s">
        <v>44</v>
      </c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79">
        <f t="shared" si="0"/>
        <v>0</v>
      </c>
    </row>
    <row r="20" spans="7:24" ht="12.75" customHeight="1" x14ac:dyDescent="0.15">
      <c r="G20" s="80" t="s">
        <v>736</v>
      </c>
      <c r="H20" s="84" t="s">
        <v>46</v>
      </c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79">
        <f t="shared" si="0"/>
        <v>0</v>
      </c>
    </row>
    <row r="21" spans="7:24" x14ac:dyDescent="0.15">
      <c r="G21" s="87" t="s">
        <v>622</v>
      </c>
      <c r="H21" s="84" t="s">
        <v>48</v>
      </c>
      <c r="I21" s="90">
        <f>SUM(I8:I10,I12,I14:I15,I20)</f>
        <v>0</v>
      </c>
      <c r="J21" s="90">
        <f t="shared" ref="J21:W21" si="2">SUM(J8:J10,J12,J14:J15,J20)</f>
        <v>0</v>
      </c>
      <c r="K21" s="90">
        <f t="shared" si="2"/>
        <v>0</v>
      </c>
      <c r="L21" s="90">
        <f t="shared" si="2"/>
        <v>0</v>
      </c>
      <c r="M21" s="90">
        <f t="shared" si="2"/>
        <v>0</v>
      </c>
      <c r="N21" s="90">
        <f t="shared" si="2"/>
        <v>0</v>
      </c>
      <c r="O21" s="90">
        <f t="shared" si="2"/>
        <v>0</v>
      </c>
      <c r="P21" s="90">
        <f t="shared" si="2"/>
        <v>0</v>
      </c>
      <c r="Q21" s="90">
        <f t="shared" si="2"/>
        <v>0</v>
      </c>
      <c r="R21" s="90">
        <f t="shared" si="2"/>
        <v>0</v>
      </c>
      <c r="S21" s="90">
        <f t="shared" si="2"/>
        <v>0</v>
      </c>
      <c r="T21" s="90">
        <f t="shared" si="2"/>
        <v>0</v>
      </c>
      <c r="U21" s="90">
        <f t="shared" si="2"/>
        <v>0</v>
      </c>
      <c r="V21" s="90">
        <f t="shared" si="2"/>
        <v>0</v>
      </c>
      <c r="W21" s="90">
        <f t="shared" si="2"/>
        <v>0</v>
      </c>
      <c r="X21" s="79">
        <f>SUM(I8:W21)</f>
        <v>0</v>
      </c>
    </row>
  </sheetData>
  <sheetProtection algorithmName="SHA-512" hashValue="XvGcqdGl4EFplWctaTk4gvdLUV/HVrwe/NKFBKJiUiO6ZFOEMEytDzSTEnakyiLzquvQfRTlEe4UUhZdvprknA==" saltValue="fDxPxTrt4VIcXeATqM7wyw==" spinCount="100000" sheet="1" selectLockedCells="1"/>
  <mergeCells count="24">
    <mergeCell ref="T5:T6"/>
    <mergeCell ref="U5:U6"/>
    <mergeCell ref="V5:V6"/>
    <mergeCell ref="M5:N5"/>
    <mergeCell ref="O5:O6"/>
    <mergeCell ref="P5:P6"/>
    <mergeCell ref="Q5:Q6"/>
    <mergeCell ref="R5:R6"/>
    <mergeCell ref="G1:N1"/>
    <mergeCell ref="G2:W2"/>
    <mergeCell ref="G3:G6"/>
    <mergeCell ref="H3:H6"/>
    <mergeCell ref="I3:J4"/>
    <mergeCell ref="K3:W3"/>
    <mergeCell ref="K4:O4"/>
    <mergeCell ref="P4:R4"/>
    <mergeCell ref="W5:W6"/>
    <mergeCell ref="S4:U4"/>
    <mergeCell ref="V4:W4"/>
    <mergeCell ref="I5:I6"/>
    <mergeCell ref="J5:J6"/>
    <mergeCell ref="K5:K6"/>
    <mergeCell ref="L5:L6"/>
    <mergeCell ref="S5:S6"/>
  </mergeCells>
  <conditionalFormatting sqref="I8:I21 J15:W15">
    <cfRule type="expression" dxfId="48" priority="10">
      <formula>AND($J8&gt;0,$I8=0)</formula>
    </cfRule>
  </conditionalFormatting>
  <conditionalFormatting sqref="I8:W14 I16:W20">
    <cfRule type="expression" dxfId="45" priority="13">
      <formula>_xlfn.ISFORMULA(I8)</formula>
    </cfRule>
  </conditionalFormatting>
  <conditionalFormatting sqref="I8:W21">
    <cfRule type="expression" dxfId="44" priority="4">
      <formula>ISTEXT(I8)</formula>
    </cfRule>
    <cfRule type="expression" dxfId="43" priority="5">
      <formula>MOD(I8,1)&gt;0</formula>
    </cfRule>
  </conditionalFormatting>
  <conditionalFormatting sqref="I11:W11">
    <cfRule type="expression" dxfId="41" priority="21">
      <formula>I11&gt;I10</formula>
    </cfRule>
  </conditionalFormatting>
  <conditionalFormatting sqref="I13:W13">
    <cfRule type="expression" dxfId="40" priority="24">
      <formula>I13&gt;I12</formula>
    </cfRule>
  </conditionalFormatting>
  <conditionalFormatting sqref="I17:W17">
    <cfRule type="expression" dxfId="39" priority="1">
      <formula>I$17&gt;I$16</formula>
    </cfRule>
  </conditionalFormatting>
  <conditionalFormatting sqref="J8:J21">
    <cfRule type="expression" dxfId="38" priority="11">
      <formula>AND($J8=0,SUM($K8:$W8)&gt;0)</formula>
    </cfRule>
    <cfRule type="expression" dxfId="37" priority="23">
      <formula>$J8&gt;$I8</formula>
    </cfRule>
  </conditionalFormatting>
  <conditionalFormatting sqref="K8:L21">
    <cfRule type="expression" dxfId="36" priority="34">
      <formula>SUM($K8:$L8)&gt;$J8</formula>
    </cfRule>
  </conditionalFormatting>
  <conditionalFormatting sqref="M8:M21">
    <cfRule type="expression" dxfId="35" priority="31">
      <formula>$M8&gt;$K8</formula>
    </cfRule>
  </conditionalFormatting>
  <conditionalFormatting sqref="N8:N21">
    <cfRule type="expression" dxfId="34" priority="32">
      <formula>$N8&gt;$L8</formula>
    </cfRule>
  </conditionalFormatting>
  <conditionalFormatting sqref="O8:O21">
    <cfRule type="expression" dxfId="33" priority="29">
      <formula>$O8&gt;SUM($K8:$L8)</formula>
    </cfRule>
  </conditionalFormatting>
  <conditionalFormatting sqref="P8:R21">
    <cfRule type="expression" dxfId="32" priority="28">
      <formula>SUM($P8:$R8)&gt;$J8</formula>
    </cfRule>
  </conditionalFormatting>
  <conditionalFormatting sqref="S8:U21">
    <cfRule type="expression" dxfId="31" priority="19">
      <formula>SUM($S8:$U8)&lt;$J8</formula>
    </cfRule>
    <cfRule type="expression" dxfId="30" priority="27">
      <formula>SUM($S8:$U8)&gt;$J8</formula>
    </cfRule>
  </conditionalFormatting>
  <conditionalFormatting sqref="V8:V21">
    <cfRule type="expression" dxfId="29" priority="26">
      <formula>$V8&gt;$J8</formula>
    </cfRule>
  </conditionalFormatting>
  <conditionalFormatting sqref="W8:W21">
    <cfRule type="expression" dxfId="28" priority="25">
      <formula>$W8&gt;$J8</formula>
    </cfRule>
  </conditionalFormatting>
  <pageMargins left="0.7" right="0.7" top="0.75" bottom="0.75" header="0.3" footer="0.3"/>
  <pageSetup paperSize="9" orientation="portrait" r:id="rId1"/>
  <ignoredErrors>
    <ignoredError sqref="H8:H21" numberStoredAsText="1"/>
    <ignoredError sqref="I21:W21" formulaRang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" id="{836EB423-877F-4E13-AE2C-364F1B973637}">
            <xm:f>$I8&gt;'Раздел 1'!D12</xm:f>
            <x14:dxf>
              <fill>
                <patternFill>
                  <bgColor rgb="FFFF0000"/>
                </patternFill>
              </fill>
            </x14:dxf>
          </x14:cfRule>
          <xm:sqref>I8:I9</xm:sqref>
        </x14:conditionalFormatting>
        <x14:conditionalFormatting xmlns:xm="http://schemas.microsoft.com/office/excel/2006/main">
          <x14:cfRule type="expression" priority="2" id="{DEDBE558-AB8C-4C81-9D79-CF16710A9534}">
            <xm:f>AND($I$10=0,'Раздел 11'!$I$17&gt;0)</xm:f>
            <x14:dxf>
              <fill>
                <patternFill>
                  <bgColor rgb="FFFFFF00"/>
                </patternFill>
              </fill>
            </x14:dxf>
          </x14:cfRule>
          <xm:sqref>I10</xm:sqref>
        </x14:conditionalFormatting>
        <x14:conditionalFormatting xmlns:xm="http://schemas.microsoft.com/office/excel/2006/main">
          <x14:cfRule type="expression" priority="3" id="{F2DAD1BE-EBD2-434C-B2C6-CA40124D147A}">
            <xm:f>AND($I$14=0,'Раздел 11'!$I$19&gt;0)</xm:f>
            <x14:dxf>
              <fill>
                <patternFill>
                  <bgColor rgb="FFFFFF00"/>
                </patternFill>
              </fill>
            </x14:dxf>
          </x14:cfRule>
          <xm:sqref>I14</xm:sqref>
        </x14:conditionalFormatting>
        <x14:conditionalFormatting xmlns:xm="http://schemas.microsoft.com/office/excel/2006/main">
          <x14:cfRule type="expression" priority="8" id="{242CD383-3C90-467F-BE65-0770EDFF8809}">
            <xm:f>AND('Раздел 1'!$H$12=0,SUM($I$10:$W$11)&gt;0)</xm:f>
            <x14:dxf>
              <fill>
                <patternFill>
                  <bgColor rgb="FFFF0000"/>
                </patternFill>
              </fill>
            </x14:dxf>
          </x14:cfRule>
          <xm:sqref>I10:W11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8C07-FCF6-4BA0-AA1A-F00A26299DD0}">
  <dimension ref="A1:Y56"/>
  <sheetViews>
    <sheetView zoomScaleNormal="100" workbookViewId="0">
      <pane xSplit="8" ySplit="5" topLeftCell="I18" activePane="bottomRight" state="frozen"/>
      <selection activeCell="G1" sqref="G1"/>
      <selection pane="topRight" activeCell="I1" sqref="I1"/>
      <selection pane="bottomLeft" activeCell="G6" sqref="G6"/>
      <selection pane="bottomRight" activeCell="J45" sqref="J45"/>
    </sheetView>
  </sheetViews>
  <sheetFormatPr defaultColWidth="9.140625" defaultRowHeight="10.5" x14ac:dyDescent="0.15"/>
  <cols>
    <col min="1" max="1" width="4.85546875" style="91" hidden="1" customWidth="1"/>
    <col min="2" max="2" width="13.140625" style="91" hidden="1" customWidth="1"/>
    <col min="3" max="4" width="7.28515625" style="91" hidden="1" customWidth="1"/>
    <col min="5" max="5" width="5.42578125" style="91" hidden="1" customWidth="1"/>
    <col min="6" max="6" width="9.7109375" style="91" hidden="1" customWidth="1"/>
    <col min="7" max="7" width="51" style="91" customWidth="1"/>
    <col min="8" max="8" width="6" style="91" customWidth="1"/>
    <col min="9" max="9" width="11.5703125" style="91" customWidth="1"/>
    <col min="10" max="10" width="13.42578125" style="91" customWidth="1"/>
    <col min="11" max="12" width="12.5703125" style="91" customWidth="1"/>
    <col min="13" max="13" width="11.28515625" style="91" customWidth="1"/>
    <col min="14" max="14" width="16.7109375" style="91" customWidth="1"/>
    <col min="15" max="15" width="11.5703125" style="91" customWidth="1"/>
    <col min="16" max="16" width="13.28515625" style="91" customWidth="1"/>
    <col min="17" max="18" width="12.5703125" style="91" customWidth="1"/>
    <col min="19" max="19" width="10" style="91" customWidth="1"/>
    <col min="20" max="20" width="10.85546875" style="91" customWidth="1"/>
    <col min="21" max="21" width="13.140625" style="91" customWidth="1"/>
    <col min="22" max="22" width="12.5703125" style="91" customWidth="1"/>
    <col min="23" max="23" width="12.28515625" style="91" customWidth="1"/>
    <col min="24" max="24" width="10.28515625" style="91" customWidth="1"/>
    <col min="25" max="25" width="6" style="91" customWidth="1"/>
    <col min="26" max="16384" width="9.140625" style="91"/>
  </cols>
  <sheetData>
    <row r="1" spans="1:25" ht="12.75" x14ac:dyDescent="0.15">
      <c r="G1" s="385" t="s">
        <v>772</v>
      </c>
      <c r="H1" s="385"/>
      <c r="I1" s="385"/>
      <c r="J1" s="385"/>
      <c r="K1" s="385"/>
      <c r="L1" s="385"/>
      <c r="M1" s="385"/>
      <c r="N1" s="385"/>
      <c r="O1" s="385"/>
      <c r="P1" s="385"/>
      <c r="Q1" s="385"/>
      <c r="R1" s="385"/>
      <c r="S1" s="385"/>
      <c r="T1" s="385"/>
      <c r="U1" s="385"/>
      <c r="V1" s="385"/>
      <c r="W1" s="385"/>
      <c r="X1" s="385"/>
    </row>
    <row r="2" spans="1:25" ht="30.75" customHeight="1" x14ac:dyDescent="0.15">
      <c r="G2" s="386" t="s">
        <v>773</v>
      </c>
      <c r="H2" s="387" t="s">
        <v>2</v>
      </c>
      <c r="I2" s="384" t="s">
        <v>774</v>
      </c>
      <c r="J2" s="384"/>
      <c r="K2" s="384"/>
      <c r="L2" s="384"/>
      <c r="M2" s="384"/>
      <c r="N2" s="384"/>
      <c r="O2" s="384" t="s">
        <v>775</v>
      </c>
      <c r="P2" s="384"/>
      <c r="Q2" s="384"/>
      <c r="R2" s="384"/>
      <c r="S2" s="384"/>
      <c r="T2" s="388" t="s">
        <v>776</v>
      </c>
      <c r="U2" s="389"/>
      <c r="V2" s="389"/>
      <c r="W2" s="389"/>
      <c r="X2" s="390"/>
    </row>
    <row r="3" spans="1:25" ht="15" customHeight="1" x14ac:dyDescent="0.15">
      <c r="G3" s="386"/>
      <c r="H3" s="387"/>
      <c r="I3" s="384" t="s">
        <v>626</v>
      </c>
      <c r="J3" s="384" t="s">
        <v>777</v>
      </c>
      <c r="K3" s="384"/>
      <c r="L3" s="384"/>
      <c r="M3" s="384"/>
      <c r="N3" s="391" t="s">
        <v>856</v>
      </c>
      <c r="O3" s="384" t="s">
        <v>626</v>
      </c>
      <c r="P3" s="384" t="s">
        <v>777</v>
      </c>
      <c r="Q3" s="384"/>
      <c r="R3" s="384"/>
      <c r="S3" s="384"/>
      <c r="T3" s="384" t="s">
        <v>626</v>
      </c>
      <c r="U3" s="384" t="s">
        <v>777</v>
      </c>
      <c r="V3" s="384"/>
      <c r="W3" s="384"/>
      <c r="X3" s="384"/>
    </row>
    <row r="4" spans="1:25" ht="44.25" customHeight="1" x14ac:dyDescent="0.15">
      <c r="G4" s="386"/>
      <c r="H4" s="387"/>
      <c r="I4" s="384"/>
      <c r="J4" s="92" t="s">
        <v>778</v>
      </c>
      <c r="K4" s="92" t="s">
        <v>779</v>
      </c>
      <c r="L4" s="92" t="s">
        <v>780</v>
      </c>
      <c r="M4" s="92" t="s">
        <v>781</v>
      </c>
      <c r="N4" s="391"/>
      <c r="O4" s="384"/>
      <c r="P4" s="92" t="s">
        <v>778</v>
      </c>
      <c r="Q4" s="92" t="s">
        <v>779</v>
      </c>
      <c r="R4" s="92" t="s">
        <v>780</v>
      </c>
      <c r="S4" s="92" t="s">
        <v>781</v>
      </c>
      <c r="T4" s="384"/>
      <c r="U4" s="92" t="s">
        <v>778</v>
      </c>
      <c r="V4" s="92" t="s">
        <v>779</v>
      </c>
      <c r="W4" s="92" t="s">
        <v>780</v>
      </c>
      <c r="X4" s="92" t="s">
        <v>781</v>
      </c>
    </row>
    <row r="5" spans="1:25" ht="11.25" thickBot="1" x14ac:dyDescent="0.2">
      <c r="A5" s="189">
        <f>'Раздел 0'!M27</f>
        <v>0</v>
      </c>
      <c r="B5" s="185">
        <f>'Раздел 1'!D15</f>
        <v>0</v>
      </c>
      <c r="C5" s="184" t="str" cm="1">
        <f t="array" ref="C5">_xlfn.IFS(SUM('Раздел 1'!$D$5:$D$6)&gt;0,"ФКиС",SUM('Раздел 1'!$D$7:$D$8)&gt;0,"Образование",SUM('Раздел 1'!$D$9:$D$10)&gt;0,"Другая")</f>
        <v>ФКиС</v>
      </c>
      <c r="D5" s="184" t="str" cm="1">
        <f t="array" ref="D5">_xlfn.IFS(SUM('Раздел 1'!$E$12)&gt;0,"СШ",SUM('Раздел 1'!$F$12)&gt;0,"СШОР",SUM('Раздел 1'!$G$12)&gt;0,"УОР",SUM('Раздел 1'!$H$12)&gt;0,"ЦСП",SUM('Раздел 1'!$I$12)&gt;0,"ДРУГИЕ",SUM('Раздел 1'!$E$13)&gt;0,"ОСП СШ",SUM('Раздел 1'!$F$13)&gt;0,"ОСП СШОР",SUM('Раздел 1'!$I$13)&gt;0,"ОСП ДРУГИЕ")</f>
        <v>ЦСП</v>
      </c>
      <c r="E5" s="184">
        <f>IF(SUM('Раздел 1'!$D$12)&gt;0,SUM('Раздел 1'!$D$13),"")</f>
        <v>0</v>
      </c>
      <c r="F5" s="184" t="e" cm="1">
        <f t="array" ref="F5">_xlfn.IFS(SUM('Раздел 1'!$D$19)&gt;0,"РФ",SUM('Раздел 1'!$E$19)&gt;0,"СУБЪЕКТ",SUM('Раздел 1'!$F$19:$G$19)&gt;0,"МУНИЦИПАЛ",SUM('Раздел 1'!$H$19:$I$19)&gt;0,"ИНЫЕ")</f>
        <v>#N/A</v>
      </c>
      <c r="G5" s="93">
        <v>1</v>
      </c>
      <c r="H5" s="93">
        <v>2</v>
      </c>
      <c r="I5" s="93">
        <v>3</v>
      </c>
      <c r="J5" s="93">
        <v>4</v>
      </c>
      <c r="K5" s="93">
        <v>5</v>
      </c>
      <c r="L5" s="93">
        <v>6</v>
      </c>
      <c r="M5" s="93">
        <v>7</v>
      </c>
      <c r="N5" s="93">
        <v>8</v>
      </c>
      <c r="O5" s="93">
        <v>9</v>
      </c>
      <c r="P5" s="93">
        <v>10</v>
      </c>
      <c r="Q5" s="93">
        <v>11</v>
      </c>
      <c r="R5" s="93">
        <v>12</v>
      </c>
      <c r="S5" s="93">
        <v>13</v>
      </c>
      <c r="T5" s="93">
        <v>14</v>
      </c>
      <c r="U5" s="93">
        <v>15</v>
      </c>
      <c r="V5" s="93">
        <v>16</v>
      </c>
      <c r="W5" s="93">
        <v>17</v>
      </c>
      <c r="X5" s="93">
        <v>18</v>
      </c>
      <c r="Y5" s="94">
        <v>19</v>
      </c>
    </row>
    <row r="6" spans="1:25" x14ac:dyDescent="0.15">
      <c r="G6" s="95" t="s">
        <v>782</v>
      </c>
      <c r="H6" s="96" t="s">
        <v>22</v>
      </c>
      <c r="I6" s="97">
        <f>SUM(J6:M6)</f>
        <v>0</v>
      </c>
      <c r="J6" s="117"/>
      <c r="K6" s="117"/>
      <c r="L6" s="117"/>
      <c r="M6" s="117"/>
      <c r="N6" s="117"/>
      <c r="O6" s="97">
        <f>SUM(P6:S6)</f>
        <v>0</v>
      </c>
      <c r="P6" s="117"/>
      <c r="Q6" s="117"/>
      <c r="R6" s="117"/>
      <c r="S6" s="117"/>
      <c r="T6" s="97">
        <f>SUM(U6:X6)</f>
        <v>0</v>
      </c>
      <c r="U6" s="119"/>
      <c r="V6" s="119"/>
      <c r="W6" s="119"/>
      <c r="X6" s="119"/>
      <c r="Y6" s="98">
        <f>SUM(I6:X6)</f>
        <v>0</v>
      </c>
    </row>
    <row r="7" spans="1:25" ht="21" x14ac:dyDescent="0.15">
      <c r="G7" s="99" t="s">
        <v>923</v>
      </c>
      <c r="H7" s="100" t="s">
        <v>24</v>
      </c>
      <c r="I7" s="97">
        <f t="shared" ref="I7:I47" si="0">SUM(J7:M7)</f>
        <v>0</v>
      </c>
      <c r="J7" s="42"/>
      <c r="K7" s="42"/>
      <c r="L7" s="42"/>
      <c r="M7" s="42"/>
      <c r="N7" s="42"/>
      <c r="O7" s="97">
        <f t="shared" ref="O7:O47" si="1">SUM(P7:S7)</f>
        <v>0</v>
      </c>
      <c r="P7" s="42"/>
      <c r="Q7" s="42"/>
      <c r="R7" s="42"/>
      <c r="S7" s="42"/>
      <c r="T7" s="97">
        <f t="shared" ref="T7:T47" si="2">SUM(U7:X7)</f>
        <v>0</v>
      </c>
      <c r="U7" s="118"/>
      <c r="V7" s="118"/>
      <c r="W7" s="118"/>
      <c r="X7" s="118"/>
      <c r="Y7" s="98">
        <f t="shared" ref="Y7:Y47" si="3">SUM(I7:X7)</f>
        <v>0</v>
      </c>
    </row>
    <row r="8" spans="1:25" x14ac:dyDescent="0.15">
      <c r="G8" s="101" t="s">
        <v>875</v>
      </c>
      <c r="H8" s="100" t="s">
        <v>26</v>
      </c>
      <c r="I8" s="97">
        <f t="shared" si="0"/>
        <v>0</v>
      </c>
      <c r="J8" s="97">
        <f>SUM(J9:J11)</f>
        <v>0</v>
      </c>
      <c r="K8" s="97">
        <f t="shared" ref="K8:X8" si="4">SUM(K9:K11)</f>
        <v>0</v>
      </c>
      <c r="L8" s="97">
        <f t="shared" si="4"/>
        <v>0</v>
      </c>
      <c r="M8" s="97">
        <f t="shared" si="4"/>
        <v>0</v>
      </c>
      <c r="N8" s="97">
        <f t="shared" si="4"/>
        <v>0</v>
      </c>
      <c r="O8" s="97">
        <f t="shared" si="1"/>
        <v>0</v>
      </c>
      <c r="P8" s="97">
        <f t="shared" si="4"/>
        <v>0</v>
      </c>
      <c r="Q8" s="97">
        <f t="shared" si="4"/>
        <v>0</v>
      </c>
      <c r="R8" s="97">
        <f t="shared" si="4"/>
        <v>0</v>
      </c>
      <c r="S8" s="97">
        <f t="shared" si="4"/>
        <v>0</v>
      </c>
      <c r="T8" s="97">
        <f t="shared" si="2"/>
        <v>0</v>
      </c>
      <c r="U8" s="97">
        <f t="shared" si="4"/>
        <v>0</v>
      </c>
      <c r="V8" s="97">
        <f t="shared" si="4"/>
        <v>0</v>
      </c>
      <c r="W8" s="97">
        <f t="shared" si="4"/>
        <v>0</v>
      </c>
      <c r="X8" s="97">
        <f t="shared" si="4"/>
        <v>0</v>
      </c>
      <c r="Y8" s="98">
        <f t="shared" si="3"/>
        <v>0</v>
      </c>
    </row>
    <row r="9" spans="1:25" ht="21" x14ac:dyDescent="0.15">
      <c r="G9" s="102" t="s">
        <v>783</v>
      </c>
      <c r="H9" s="100" t="s">
        <v>28</v>
      </c>
      <c r="I9" s="97">
        <f t="shared" si="0"/>
        <v>0</v>
      </c>
      <c r="J9" s="42"/>
      <c r="K9" s="42"/>
      <c r="L9" s="42"/>
      <c r="M9" s="42"/>
      <c r="N9" s="42"/>
      <c r="O9" s="97">
        <f t="shared" si="1"/>
        <v>0</v>
      </c>
      <c r="P9" s="42"/>
      <c r="Q9" s="42"/>
      <c r="R9" s="42"/>
      <c r="S9" s="42"/>
      <c r="T9" s="97">
        <f t="shared" si="2"/>
        <v>0</v>
      </c>
      <c r="U9" s="118"/>
      <c r="V9" s="118"/>
      <c r="W9" s="118"/>
      <c r="X9" s="118"/>
      <c r="Y9" s="98">
        <f t="shared" si="3"/>
        <v>0</v>
      </c>
    </row>
    <row r="10" spans="1:25" x14ac:dyDescent="0.15">
      <c r="G10" s="103" t="s">
        <v>784</v>
      </c>
      <c r="H10" s="100" t="s">
        <v>30</v>
      </c>
      <c r="I10" s="97">
        <f t="shared" si="0"/>
        <v>0</v>
      </c>
      <c r="J10" s="42"/>
      <c r="K10" s="42"/>
      <c r="L10" s="42"/>
      <c r="M10" s="42"/>
      <c r="N10" s="42"/>
      <c r="O10" s="97">
        <f t="shared" si="1"/>
        <v>0</v>
      </c>
      <c r="P10" s="42"/>
      <c r="Q10" s="42"/>
      <c r="R10" s="42"/>
      <c r="S10" s="42"/>
      <c r="T10" s="97">
        <f t="shared" si="2"/>
        <v>0</v>
      </c>
      <c r="U10" s="118"/>
      <c r="V10" s="118"/>
      <c r="W10" s="118"/>
      <c r="X10" s="118"/>
      <c r="Y10" s="98">
        <f t="shared" si="3"/>
        <v>0</v>
      </c>
    </row>
    <row r="11" spans="1:25" x14ac:dyDescent="0.15">
      <c r="G11" s="103" t="s">
        <v>785</v>
      </c>
      <c r="H11" s="100" t="s">
        <v>32</v>
      </c>
      <c r="I11" s="97">
        <f t="shared" si="0"/>
        <v>0</v>
      </c>
      <c r="J11" s="42"/>
      <c r="K11" s="42"/>
      <c r="L11" s="42"/>
      <c r="M11" s="42"/>
      <c r="N11" s="42"/>
      <c r="O11" s="97">
        <f t="shared" si="1"/>
        <v>0</v>
      </c>
      <c r="P11" s="42"/>
      <c r="Q11" s="42"/>
      <c r="R11" s="42"/>
      <c r="S11" s="42"/>
      <c r="T11" s="97">
        <f t="shared" si="2"/>
        <v>0</v>
      </c>
      <c r="U11" s="118"/>
      <c r="V11" s="118"/>
      <c r="W11" s="118"/>
      <c r="X11" s="118"/>
      <c r="Y11" s="98">
        <f t="shared" si="3"/>
        <v>0</v>
      </c>
    </row>
    <row r="12" spans="1:25" x14ac:dyDescent="0.15">
      <c r="G12" s="104" t="s">
        <v>786</v>
      </c>
      <c r="H12" s="100" t="s">
        <v>34</v>
      </c>
      <c r="I12" s="97">
        <f t="shared" si="0"/>
        <v>0</v>
      </c>
      <c r="J12" s="97">
        <f>SUM(J13:J16)</f>
        <v>0</v>
      </c>
      <c r="K12" s="97">
        <f t="shared" ref="K12:X12" si="5">SUM(K13:K16)</f>
        <v>0</v>
      </c>
      <c r="L12" s="97">
        <f t="shared" si="5"/>
        <v>0</v>
      </c>
      <c r="M12" s="97">
        <f t="shared" si="5"/>
        <v>0</v>
      </c>
      <c r="N12" s="97">
        <f t="shared" si="5"/>
        <v>0</v>
      </c>
      <c r="O12" s="97">
        <f t="shared" si="1"/>
        <v>0</v>
      </c>
      <c r="P12" s="97">
        <f t="shared" si="5"/>
        <v>0</v>
      </c>
      <c r="Q12" s="97">
        <f t="shared" si="5"/>
        <v>0</v>
      </c>
      <c r="R12" s="97">
        <f t="shared" si="5"/>
        <v>0</v>
      </c>
      <c r="S12" s="97">
        <f t="shared" si="5"/>
        <v>0</v>
      </c>
      <c r="T12" s="97">
        <f t="shared" si="2"/>
        <v>0</v>
      </c>
      <c r="U12" s="97">
        <f t="shared" si="5"/>
        <v>0</v>
      </c>
      <c r="V12" s="97">
        <f t="shared" si="5"/>
        <v>0</v>
      </c>
      <c r="W12" s="97">
        <f t="shared" si="5"/>
        <v>0</v>
      </c>
      <c r="X12" s="97">
        <f t="shared" si="5"/>
        <v>0</v>
      </c>
      <c r="Y12" s="98">
        <f t="shared" si="3"/>
        <v>0</v>
      </c>
    </row>
    <row r="13" spans="1:25" ht="21" x14ac:dyDescent="0.15">
      <c r="G13" s="102" t="s">
        <v>787</v>
      </c>
      <c r="H13" s="100" t="s">
        <v>36</v>
      </c>
      <c r="I13" s="97">
        <f t="shared" si="0"/>
        <v>0</v>
      </c>
      <c r="J13" s="42"/>
      <c r="K13" s="42"/>
      <c r="L13" s="42"/>
      <c r="M13" s="42"/>
      <c r="N13" s="42"/>
      <c r="O13" s="97">
        <f t="shared" si="1"/>
        <v>0</v>
      </c>
      <c r="P13" s="42"/>
      <c r="Q13" s="42"/>
      <c r="R13" s="42"/>
      <c r="S13" s="42"/>
      <c r="T13" s="97">
        <f t="shared" si="2"/>
        <v>0</v>
      </c>
      <c r="U13" s="118"/>
      <c r="V13" s="118"/>
      <c r="W13" s="118"/>
      <c r="X13" s="118"/>
      <c r="Y13" s="98">
        <f t="shared" si="3"/>
        <v>0</v>
      </c>
    </row>
    <row r="14" spans="1:25" x14ac:dyDescent="0.15">
      <c r="G14" s="103" t="s">
        <v>788</v>
      </c>
      <c r="H14" s="100" t="s">
        <v>38</v>
      </c>
      <c r="I14" s="97">
        <f t="shared" si="0"/>
        <v>0</v>
      </c>
      <c r="J14" s="42"/>
      <c r="K14" s="42"/>
      <c r="L14" s="42"/>
      <c r="M14" s="42"/>
      <c r="N14" s="42"/>
      <c r="O14" s="97">
        <f t="shared" si="1"/>
        <v>0</v>
      </c>
      <c r="P14" s="42"/>
      <c r="Q14" s="42"/>
      <c r="R14" s="42"/>
      <c r="S14" s="42"/>
      <c r="T14" s="97">
        <f t="shared" si="2"/>
        <v>0</v>
      </c>
      <c r="U14" s="118"/>
      <c r="V14" s="118"/>
      <c r="W14" s="118"/>
      <c r="X14" s="118"/>
      <c r="Y14" s="98">
        <f t="shared" si="3"/>
        <v>0</v>
      </c>
    </row>
    <row r="15" spans="1:25" x14ac:dyDescent="0.15">
      <c r="G15" s="103" t="s">
        <v>789</v>
      </c>
      <c r="H15" s="100" t="s">
        <v>40</v>
      </c>
      <c r="I15" s="97">
        <f t="shared" si="0"/>
        <v>0</v>
      </c>
      <c r="J15" s="42"/>
      <c r="K15" s="42"/>
      <c r="L15" s="42"/>
      <c r="M15" s="42"/>
      <c r="N15" s="42"/>
      <c r="O15" s="97">
        <f t="shared" si="1"/>
        <v>0</v>
      </c>
      <c r="P15" s="42"/>
      <c r="Q15" s="42"/>
      <c r="R15" s="42"/>
      <c r="S15" s="42"/>
      <c r="T15" s="97">
        <f t="shared" si="2"/>
        <v>0</v>
      </c>
      <c r="U15" s="118"/>
      <c r="V15" s="118"/>
      <c r="W15" s="118"/>
      <c r="X15" s="118"/>
      <c r="Y15" s="98">
        <f t="shared" si="3"/>
        <v>0</v>
      </c>
    </row>
    <row r="16" spans="1:25" x14ac:dyDescent="0.15">
      <c r="G16" s="103" t="s">
        <v>790</v>
      </c>
      <c r="H16" s="100" t="s">
        <v>42</v>
      </c>
      <c r="I16" s="97">
        <f t="shared" si="0"/>
        <v>0</v>
      </c>
      <c r="J16" s="42"/>
      <c r="K16" s="42"/>
      <c r="L16" s="42"/>
      <c r="M16" s="42"/>
      <c r="N16" s="42"/>
      <c r="O16" s="97">
        <f t="shared" si="1"/>
        <v>0</v>
      </c>
      <c r="P16" s="42"/>
      <c r="Q16" s="42"/>
      <c r="R16" s="42"/>
      <c r="S16" s="42"/>
      <c r="T16" s="97">
        <f t="shared" si="2"/>
        <v>0</v>
      </c>
      <c r="U16" s="118"/>
      <c r="V16" s="118"/>
      <c r="W16" s="118"/>
      <c r="X16" s="118"/>
      <c r="Y16" s="98">
        <f t="shared" si="3"/>
        <v>0</v>
      </c>
    </row>
    <row r="17" spans="7:25" x14ac:dyDescent="0.15">
      <c r="G17" s="104" t="s">
        <v>791</v>
      </c>
      <c r="H17" s="100" t="s">
        <v>44</v>
      </c>
      <c r="I17" s="97">
        <f t="shared" si="0"/>
        <v>0</v>
      </c>
      <c r="J17" s="42"/>
      <c r="K17" s="42"/>
      <c r="L17" s="42"/>
      <c r="M17" s="42"/>
      <c r="N17" s="42"/>
      <c r="O17" s="97">
        <f t="shared" si="1"/>
        <v>0</v>
      </c>
      <c r="P17" s="42"/>
      <c r="Q17" s="42"/>
      <c r="R17" s="42"/>
      <c r="S17" s="42"/>
      <c r="T17" s="97">
        <f t="shared" si="2"/>
        <v>0</v>
      </c>
      <c r="U17" s="118"/>
      <c r="V17" s="118"/>
      <c r="W17" s="118"/>
      <c r="X17" s="118"/>
      <c r="Y17" s="98">
        <f t="shared" si="3"/>
        <v>0</v>
      </c>
    </row>
    <row r="18" spans="7:25" x14ac:dyDescent="0.15">
      <c r="G18" s="104" t="s">
        <v>792</v>
      </c>
      <c r="H18" s="100" t="s">
        <v>46</v>
      </c>
      <c r="I18" s="97">
        <f t="shared" si="0"/>
        <v>0</v>
      </c>
      <c r="J18" s="42"/>
      <c r="K18" s="42"/>
      <c r="L18" s="42"/>
      <c r="M18" s="42"/>
      <c r="N18" s="42"/>
      <c r="O18" s="97">
        <f t="shared" si="1"/>
        <v>0</v>
      </c>
      <c r="P18" s="42"/>
      <c r="Q18" s="42"/>
      <c r="R18" s="42"/>
      <c r="S18" s="42"/>
      <c r="T18" s="97">
        <f t="shared" si="2"/>
        <v>0</v>
      </c>
      <c r="U18" s="118"/>
      <c r="V18" s="118"/>
      <c r="W18" s="118"/>
      <c r="X18" s="118"/>
      <c r="Y18" s="98">
        <f t="shared" si="3"/>
        <v>0</v>
      </c>
    </row>
    <row r="19" spans="7:25" x14ac:dyDescent="0.15">
      <c r="G19" s="104" t="s">
        <v>793</v>
      </c>
      <c r="H19" s="100" t="s">
        <v>48</v>
      </c>
      <c r="I19" s="97">
        <f t="shared" si="0"/>
        <v>0</v>
      </c>
      <c r="J19" s="42"/>
      <c r="K19" s="42"/>
      <c r="L19" s="42"/>
      <c r="M19" s="42"/>
      <c r="N19" s="42"/>
      <c r="O19" s="97">
        <f t="shared" si="1"/>
        <v>0</v>
      </c>
      <c r="P19" s="42"/>
      <c r="Q19" s="42"/>
      <c r="R19" s="42"/>
      <c r="S19" s="42"/>
      <c r="T19" s="97">
        <f t="shared" si="2"/>
        <v>0</v>
      </c>
      <c r="U19" s="118"/>
      <c r="V19" s="118"/>
      <c r="W19" s="118"/>
      <c r="X19" s="118"/>
      <c r="Y19" s="98">
        <f t="shared" si="3"/>
        <v>0</v>
      </c>
    </row>
    <row r="20" spans="7:25" x14ac:dyDescent="0.15">
      <c r="G20" s="104" t="s">
        <v>794</v>
      </c>
      <c r="H20" s="100" t="s">
        <v>50</v>
      </c>
      <c r="I20" s="97">
        <f t="shared" si="0"/>
        <v>0</v>
      </c>
      <c r="J20" s="42"/>
      <c r="K20" s="42"/>
      <c r="L20" s="42"/>
      <c r="M20" s="42"/>
      <c r="N20" s="42"/>
      <c r="O20" s="97">
        <f t="shared" si="1"/>
        <v>0</v>
      </c>
      <c r="P20" s="42"/>
      <c r="Q20" s="42"/>
      <c r="R20" s="42"/>
      <c r="S20" s="42"/>
      <c r="T20" s="97">
        <f t="shared" si="2"/>
        <v>0</v>
      </c>
      <c r="U20" s="118"/>
      <c r="V20" s="118"/>
      <c r="W20" s="118"/>
      <c r="X20" s="118"/>
      <c r="Y20" s="98">
        <f t="shared" si="3"/>
        <v>0</v>
      </c>
    </row>
    <row r="21" spans="7:25" x14ac:dyDescent="0.15">
      <c r="G21" s="105" t="s">
        <v>795</v>
      </c>
      <c r="H21" s="100" t="s">
        <v>52</v>
      </c>
      <c r="I21" s="97">
        <f t="shared" si="0"/>
        <v>0</v>
      </c>
      <c r="J21" s="97">
        <f>SUM(J22:J25)</f>
        <v>0</v>
      </c>
      <c r="K21" s="97">
        <f t="shared" ref="K21:X21" si="6">SUM(K22:K25)</f>
        <v>0</v>
      </c>
      <c r="L21" s="97">
        <f t="shared" si="6"/>
        <v>0</v>
      </c>
      <c r="M21" s="97">
        <f t="shared" si="6"/>
        <v>0</v>
      </c>
      <c r="N21" s="97">
        <f t="shared" si="6"/>
        <v>0</v>
      </c>
      <c r="O21" s="97">
        <f t="shared" si="1"/>
        <v>0</v>
      </c>
      <c r="P21" s="97">
        <f t="shared" si="6"/>
        <v>0</v>
      </c>
      <c r="Q21" s="97">
        <f t="shared" si="6"/>
        <v>0</v>
      </c>
      <c r="R21" s="97">
        <f t="shared" si="6"/>
        <v>0</v>
      </c>
      <c r="S21" s="97">
        <f t="shared" si="6"/>
        <v>0</v>
      </c>
      <c r="T21" s="97">
        <f t="shared" si="2"/>
        <v>0</v>
      </c>
      <c r="U21" s="97">
        <f t="shared" si="6"/>
        <v>0</v>
      </c>
      <c r="V21" s="97">
        <f t="shared" si="6"/>
        <v>0</v>
      </c>
      <c r="W21" s="97">
        <f t="shared" si="6"/>
        <v>0</v>
      </c>
      <c r="X21" s="97">
        <f t="shared" si="6"/>
        <v>0</v>
      </c>
      <c r="Y21" s="98">
        <f t="shared" si="3"/>
        <v>0</v>
      </c>
    </row>
    <row r="22" spans="7:25" ht="21" x14ac:dyDescent="0.15">
      <c r="G22" s="106" t="s">
        <v>796</v>
      </c>
      <c r="H22" s="100" t="s">
        <v>53</v>
      </c>
      <c r="I22" s="97">
        <f t="shared" si="0"/>
        <v>0</v>
      </c>
      <c r="J22" s="42"/>
      <c r="K22" s="42"/>
      <c r="L22" s="42"/>
      <c r="M22" s="42"/>
      <c r="N22" s="42"/>
      <c r="O22" s="97">
        <f t="shared" si="1"/>
        <v>0</v>
      </c>
      <c r="P22" s="42"/>
      <c r="Q22" s="42"/>
      <c r="R22" s="42"/>
      <c r="S22" s="42"/>
      <c r="T22" s="97">
        <f t="shared" si="2"/>
        <v>0</v>
      </c>
      <c r="U22" s="118"/>
      <c r="V22" s="118"/>
      <c r="W22" s="118"/>
      <c r="X22" s="118"/>
      <c r="Y22" s="98">
        <f t="shared" si="3"/>
        <v>0</v>
      </c>
    </row>
    <row r="23" spans="7:25" x14ac:dyDescent="0.15">
      <c r="G23" s="107" t="s">
        <v>797</v>
      </c>
      <c r="H23" s="100" t="s">
        <v>55</v>
      </c>
      <c r="I23" s="97">
        <f t="shared" si="0"/>
        <v>0</v>
      </c>
      <c r="J23" s="42"/>
      <c r="K23" s="42"/>
      <c r="L23" s="42"/>
      <c r="M23" s="42"/>
      <c r="N23" s="42"/>
      <c r="O23" s="97">
        <f t="shared" si="1"/>
        <v>0</v>
      </c>
      <c r="P23" s="42"/>
      <c r="Q23" s="42"/>
      <c r="R23" s="42"/>
      <c r="S23" s="42"/>
      <c r="T23" s="97">
        <f t="shared" si="2"/>
        <v>0</v>
      </c>
      <c r="U23" s="118"/>
      <c r="V23" s="118"/>
      <c r="W23" s="118"/>
      <c r="X23" s="118"/>
      <c r="Y23" s="98">
        <f t="shared" si="3"/>
        <v>0</v>
      </c>
    </row>
    <row r="24" spans="7:25" x14ac:dyDescent="0.15">
      <c r="G24" s="103" t="s">
        <v>798</v>
      </c>
      <c r="H24" s="100" t="s">
        <v>57</v>
      </c>
      <c r="I24" s="97">
        <f t="shared" si="0"/>
        <v>0</v>
      </c>
      <c r="J24" s="42"/>
      <c r="K24" s="42"/>
      <c r="L24" s="42"/>
      <c r="M24" s="42"/>
      <c r="N24" s="42"/>
      <c r="O24" s="97">
        <f t="shared" si="1"/>
        <v>0</v>
      </c>
      <c r="P24" s="42"/>
      <c r="Q24" s="42"/>
      <c r="R24" s="42"/>
      <c r="S24" s="42"/>
      <c r="T24" s="97">
        <f t="shared" si="2"/>
        <v>0</v>
      </c>
      <c r="U24" s="118"/>
      <c r="V24" s="118"/>
      <c r="W24" s="118"/>
      <c r="X24" s="118"/>
      <c r="Y24" s="98">
        <f t="shared" si="3"/>
        <v>0</v>
      </c>
    </row>
    <row r="25" spans="7:25" x14ac:dyDescent="0.15">
      <c r="G25" s="103" t="s">
        <v>799</v>
      </c>
      <c r="H25" s="100" t="s">
        <v>59</v>
      </c>
      <c r="I25" s="97">
        <f t="shared" si="0"/>
        <v>0</v>
      </c>
      <c r="J25" s="42"/>
      <c r="K25" s="42"/>
      <c r="L25" s="42"/>
      <c r="M25" s="42"/>
      <c r="N25" s="42"/>
      <c r="O25" s="97">
        <f t="shared" si="1"/>
        <v>0</v>
      </c>
      <c r="P25" s="42"/>
      <c r="Q25" s="42"/>
      <c r="R25" s="42"/>
      <c r="S25" s="42"/>
      <c r="T25" s="97">
        <f t="shared" si="2"/>
        <v>0</v>
      </c>
      <c r="U25" s="118"/>
      <c r="V25" s="118"/>
      <c r="W25" s="118"/>
      <c r="X25" s="118"/>
      <c r="Y25" s="98">
        <f t="shared" si="3"/>
        <v>0</v>
      </c>
    </row>
    <row r="26" spans="7:25" x14ac:dyDescent="0.15">
      <c r="G26" s="108" t="s">
        <v>935</v>
      </c>
      <c r="H26" s="100" t="s">
        <v>61</v>
      </c>
      <c r="I26" s="97">
        <f t="shared" si="0"/>
        <v>0</v>
      </c>
      <c r="J26" s="42"/>
      <c r="K26" s="42"/>
      <c r="L26" s="42"/>
      <c r="M26" s="42"/>
      <c r="N26" s="42"/>
      <c r="O26" s="97">
        <f t="shared" si="1"/>
        <v>0</v>
      </c>
      <c r="P26" s="42"/>
      <c r="Q26" s="42"/>
      <c r="R26" s="42"/>
      <c r="S26" s="42"/>
      <c r="T26" s="97">
        <f t="shared" si="2"/>
        <v>0</v>
      </c>
      <c r="U26" s="118"/>
      <c r="V26" s="118"/>
      <c r="W26" s="118"/>
      <c r="X26" s="118"/>
      <c r="Y26" s="98">
        <f t="shared" si="3"/>
        <v>0</v>
      </c>
    </row>
    <row r="27" spans="7:25" x14ac:dyDescent="0.15">
      <c r="G27" s="104" t="s">
        <v>800</v>
      </c>
      <c r="H27" s="100" t="s">
        <v>63</v>
      </c>
      <c r="I27" s="97">
        <f t="shared" si="0"/>
        <v>0</v>
      </c>
      <c r="J27" s="42"/>
      <c r="K27" s="42"/>
      <c r="L27" s="42"/>
      <c r="M27" s="42"/>
      <c r="N27" s="42"/>
      <c r="O27" s="97">
        <f t="shared" si="1"/>
        <v>0</v>
      </c>
      <c r="P27" s="42"/>
      <c r="Q27" s="42"/>
      <c r="R27" s="42"/>
      <c r="S27" s="42"/>
      <c r="T27" s="97">
        <f t="shared" si="2"/>
        <v>0</v>
      </c>
      <c r="U27" s="118"/>
      <c r="V27" s="118"/>
      <c r="W27" s="118"/>
      <c r="X27" s="118"/>
      <c r="Y27" s="98">
        <f t="shared" si="3"/>
        <v>0</v>
      </c>
    </row>
    <row r="28" spans="7:25" x14ac:dyDescent="0.15">
      <c r="G28" s="104" t="s">
        <v>801</v>
      </c>
      <c r="H28" s="100" t="s">
        <v>65</v>
      </c>
      <c r="I28" s="97">
        <f t="shared" si="0"/>
        <v>0</v>
      </c>
      <c r="J28" s="42"/>
      <c r="K28" s="42"/>
      <c r="L28" s="42"/>
      <c r="M28" s="42"/>
      <c r="N28" s="42"/>
      <c r="O28" s="97">
        <f t="shared" si="1"/>
        <v>0</v>
      </c>
      <c r="P28" s="42"/>
      <c r="Q28" s="42"/>
      <c r="R28" s="42"/>
      <c r="S28" s="42"/>
      <c r="T28" s="97">
        <f t="shared" si="2"/>
        <v>0</v>
      </c>
      <c r="U28" s="118"/>
      <c r="V28" s="118"/>
      <c r="W28" s="118"/>
      <c r="X28" s="118"/>
      <c r="Y28" s="98">
        <f t="shared" si="3"/>
        <v>0</v>
      </c>
    </row>
    <row r="29" spans="7:25" ht="13.5" customHeight="1" x14ac:dyDescent="0.15">
      <c r="G29" s="101" t="s">
        <v>802</v>
      </c>
      <c r="H29" s="100" t="s">
        <v>67</v>
      </c>
      <c r="I29" s="97">
        <f t="shared" si="0"/>
        <v>0</v>
      </c>
      <c r="J29" s="97">
        <f>SUM(J30:J32)</f>
        <v>0</v>
      </c>
      <c r="K29" s="97">
        <f t="shared" ref="K29:X29" si="7">SUM(K30:K32)</f>
        <v>0</v>
      </c>
      <c r="L29" s="97">
        <f t="shared" si="7"/>
        <v>0</v>
      </c>
      <c r="M29" s="97">
        <f t="shared" si="7"/>
        <v>0</v>
      </c>
      <c r="N29" s="97">
        <f t="shared" si="7"/>
        <v>0</v>
      </c>
      <c r="O29" s="97">
        <f t="shared" si="1"/>
        <v>0</v>
      </c>
      <c r="P29" s="97">
        <f t="shared" si="7"/>
        <v>0</v>
      </c>
      <c r="Q29" s="97">
        <f t="shared" si="7"/>
        <v>0</v>
      </c>
      <c r="R29" s="97">
        <f t="shared" si="7"/>
        <v>0</v>
      </c>
      <c r="S29" s="97">
        <f t="shared" si="7"/>
        <v>0</v>
      </c>
      <c r="T29" s="97">
        <f t="shared" si="2"/>
        <v>0</v>
      </c>
      <c r="U29" s="97">
        <f t="shared" si="7"/>
        <v>0</v>
      </c>
      <c r="V29" s="97">
        <f t="shared" si="7"/>
        <v>0</v>
      </c>
      <c r="W29" s="97">
        <f t="shared" si="7"/>
        <v>0</v>
      </c>
      <c r="X29" s="97">
        <f t="shared" si="7"/>
        <v>0</v>
      </c>
      <c r="Y29" s="98">
        <f t="shared" si="3"/>
        <v>0</v>
      </c>
    </row>
    <row r="30" spans="7:25" s="109" customFormat="1" ht="21" x14ac:dyDescent="0.15">
      <c r="G30" s="99" t="s">
        <v>803</v>
      </c>
      <c r="H30" s="100" t="s">
        <v>69</v>
      </c>
      <c r="I30" s="97">
        <f t="shared" si="0"/>
        <v>0</v>
      </c>
      <c r="J30" s="42"/>
      <c r="K30" s="42"/>
      <c r="L30" s="42"/>
      <c r="M30" s="42"/>
      <c r="N30" s="42"/>
      <c r="O30" s="97">
        <f t="shared" si="1"/>
        <v>0</v>
      </c>
      <c r="P30" s="42"/>
      <c r="Q30" s="42"/>
      <c r="R30" s="42"/>
      <c r="S30" s="42"/>
      <c r="T30" s="97">
        <f t="shared" si="2"/>
        <v>0</v>
      </c>
      <c r="U30" s="118"/>
      <c r="V30" s="118"/>
      <c r="W30" s="118"/>
      <c r="X30" s="118"/>
      <c r="Y30" s="98">
        <f t="shared" si="3"/>
        <v>0</v>
      </c>
    </row>
    <row r="31" spans="7:25" x14ac:dyDescent="0.15">
      <c r="G31" s="110" t="s">
        <v>804</v>
      </c>
      <c r="H31" s="100" t="s">
        <v>71</v>
      </c>
      <c r="I31" s="97">
        <f t="shared" si="0"/>
        <v>0</v>
      </c>
      <c r="J31" s="118"/>
      <c r="K31" s="118"/>
      <c r="L31" s="118"/>
      <c r="M31" s="118"/>
      <c r="N31" s="118"/>
      <c r="O31" s="97">
        <f t="shared" si="1"/>
        <v>0</v>
      </c>
      <c r="P31" s="118"/>
      <c r="Q31" s="118"/>
      <c r="R31" s="118"/>
      <c r="S31" s="118"/>
      <c r="T31" s="97">
        <f t="shared" si="2"/>
        <v>0</v>
      </c>
      <c r="U31" s="118"/>
      <c r="V31" s="118"/>
      <c r="W31" s="118"/>
      <c r="X31" s="118"/>
      <c r="Y31" s="98">
        <f t="shared" si="3"/>
        <v>0</v>
      </c>
    </row>
    <row r="32" spans="7:25" x14ac:dyDescent="0.15">
      <c r="G32" s="103" t="s">
        <v>805</v>
      </c>
      <c r="H32" s="100" t="s">
        <v>73</v>
      </c>
      <c r="I32" s="97">
        <f t="shared" si="0"/>
        <v>0</v>
      </c>
      <c r="J32" s="42"/>
      <c r="K32" s="42"/>
      <c r="L32" s="42"/>
      <c r="M32" s="42"/>
      <c r="N32" s="42"/>
      <c r="O32" s="97">
        <f t="shared" si="1"/>
        <v>0</v>
      </c>
      <c r="P32" s="42"/>
      <c r="Q32" s="42"/>
      <c r="R32" s="42"/>
      <c r="S32" s="42"/>
      <c r="T32" s="97">
        <f t="shared" si="2"/>
        <v>0</v>
      </c>
      <c r="U32" s="118"/>
      <c r="V32" s="118"/>
      <c r="W32" s="118"/>
      <c r="X32" s="118"/>
      <c r="Y32" s="98">
        <f t="shared" si="3"/>
        <v>0</v>
      </c>
    </row>
    <row r="33" spans="7:25" x14ac:dyDescent="0.15">
      <c r="G33" s="104" t="s">
        <v>806</v>
      </c>
      <c r="H33" s="100" t="s">
        <v>75</v>
      </c>
      <c r="I33" s="97">
        <f t="shared" si="0"/>
        <v>0</v>
      </c>
      <c r="J33" s="42"/>
      <c r="K33" s="42"/>
      <c r="L33" s="42"/>
      <c r="M33" s="42"/>
      <c r="N33" s="42"/>
      <c r="O33" s="97">
        <f t="shared" si="1"/>
        <v>0</v>
      </c>
      <c r="P33" s="42"/>
      <c r="Q33" s="42"/>
      <c r="R33" s="42"/>
      <c r="S33" s="42"/>
      <c r="T33" s="97">
        <f t="shared" si="2"/>
        <v>0</v>
      </c>
      <c r="U33" s="118"/>
      <c r="V33" s="118"/>
      <c r="W33" s="118"/>
      <c r="X33" s="118"/>
      <c r="Y33" s="98">
        <f t="shared" si="3"/>
        <v>0</v>
      </c>
    </row>
    <row r="34" spans="7:25" x14ac:dyDescent="0.15">
      <c r="G34" s="104" t="s">
        <v>807</v>
      </c>
      <c r="H34" s="100" t="s">
        <v>77</v>
      </c>
      <c r="I34" s="97">
        <f t="shared" si="0"/>
        <v>0</v>
      </c>
      <c r="J34" s="42"/>
      <c r="K34" s="42"/>
      <c r="L34" s="42"/>
      <c r="M34" s="42"/>
      <c r="N34" s="42"/>
      <c r="O34" s="97">
        <f t="shared" si="1"/>
        <v>0</v>
      </c>
      <c r="P34" s="42"/>
      <c r="Q34" s="42"/>
      <c r="R34" s="42"/>
      <c r="S34" s="42"/>
      <c r="T34" s="97">
        <f t="shared" si="2"/>
        <v>0</v>
      </c>
      <c r="U34" s="118"/>
      <c r="V34" s="118"/>
      <c r="W34" s="118"/>
      <c r="X34" s="118"/>
      <c r="Y34" s="98">
        <f t="shared" si="3"/>
        <v>0</v>
      </c>
    </row>
    <row r="35" spans="7:25" x14ac:dyDescent="0.15">
      <c r="G35" s="104" t="s">
        <v>808</v>
      </c>
      <c r="H35" s="100" t="s">
        <v>79</v>
      </c>
      <c r="I35" s="97">
        <f t="shared" si="0"/>
        <v>0</v>
      </c>
      <c r="J35" s="42"/>
      <c r="K35" s="42"/>
      <c r="L35" s="42"/>
      <c r="M35" s="42"/>
      <c r="N35" s="42"/>
      <c r="O35" s="97">
        <f t="shared" si="1"/>
        <v>0</v>
      </c>
      <c r="P35" s="42"/>
      <c r="Q35" s="42"/>
      <c r="R35" s="42"/>
      <c r="S35" s="42"/>
      <c r="T35" s="97">
        <f t="shared" si="2"/>
        <v>0</v>
      </c>
      <c r="U35" s="118"/>
      <c r="V35" s="118"/>
      <c r="W35" s="118"/>
      <c r="X35" s="118"/>
      <c r="Y35" s="98">
        <f t="shared" si="3"/>
        <v>0</v>
      </c>
    </row>
    <row r="36" spans="7:25" ht="16.5" customHeight="1" x14ac:dyDescent="0.15">
      <c r="G36" s="105" t="s">
        <v>809</v>
      </c>
      <c r="H36" s="100" t="s">
        <v>81</v>
      </c>
      <c r="I36" s="97">
        <f t="shared" si="0"/>
        <v>0</v>
      </c>
      <c r="J36" s="97">
        <f>SUM(J37:J40)</f>
        <v>0</v>
      </c>
      <c r="K36" s="97">
        <f t="shared" ref="K36:X36" si="8">SUM(K37:K40)</f>
        <v>0</v>
      </c>
      <c r="L36" s="97">
        <f t="shared" si="8"/>
        <v>0</v>
      </c>
      <c r="M36" s="97">
        <f t="shared" si="8"/>
        <v>0</v>
      </c>
      <c r="N36" s="97">
        <f t="shared" si="8"/>
        <v>0</v>
      </c>
      <c r="O36" s="97">
        <f t="shared" si="1"/>
        <v>0</v>
      </c>
      <c r="P36" s="97">
        <f t="shared" si="8"/>
        <v>0</v>
      </c>
      <c r="Q36" s="97">
        <f t="shared" si="8"/>
        <v>0</v>
      </c>
      <c r="R36" s="97">
        <f t="shared" si="8"/>
        <v>0</v>
      </c>
      <c r="S36" s="97">
        <f t="shared" si="8"/>
        <v>0</v>
      </c>
      <c r="T36" s="97">
        <f t="shared" si="2"/>
        <v>0</v>
      </c>
      <c r="U36" s="97">
        <f t="shared" si="8"/>
        <v>0</v>
      </c>
      <c r="V36" s="97">
        <f t="shared" si="8"/>
        <v>0</v>
      </c>
      <c r="W36" s="97">
        <f t="shared" si="8"/>
        <v>0</v>
      </c>
      <c r="X36" s="97">
        <f t="shared" si="8"/>
        <v>0</v>
      </c>
      <c r="Y36" s="98">
        <f t="shared" si="3"/>
        <v>0</v>
      </c>
    </row>
    <row r="37" spans="7:25" ht="21" x14ac:dyDescent="0.15">
      <c r="G37" s="102" t="s">
        <v>810</v>
      </c>
      <c r="H37" s="100" t="s">
        <v>83</v>
      </c>
      <c r="I37" s="97">
        <f t="shared" si="0"/>
        <v>0</v>
      </c>
      <c r="J37" s="42"/>
      <c r="K37" s="42"/>
      <c r="L37" s="42"/>
      <c r="M37" s="42"/>
      <c r="N37" s="42"/>
      <c r="O37" s="97">
        <f t="shared" si="1"/>
        <v>0</v>
      </c>
      <c r="P37" s="42"/>
      <c r="Q37" s="42"/>
      <c r="R37" s="42"/>
      <c r="S37" s="42"/>
      <c r="T37" s="97">
        <f t="shared" si="2"/>
        <v>0</v>
      </c>
      <c r="U37" s="118"/>
      <c r="V37" s="118"/>
      <c r="W37" s="118"/>
      <c r="X37" s="118"/>
      <c r="Y37" s="98">
        <f t="shared" si="3"/>
        <v>0</v>
      </c>
    </row>
    <row r="38" spans="7:25" x14ac:dyDescent="0.15">
      <c r="G38" s="103" t="s">
        <v>811</v>
      </c>
      <c r="H38" s="100" t="s">
        <v>85</v>
      </c>
      <c r="I38" s="97">
        <f t="shared" si="0"/>
        <v>0</v>
      </c>
      <c r="J38" s="42"/>
      <c r="K38" s="42"/>
      <c r="L38" s="42"/>
      <c r="M38" s="42"/>
      <c r="N38" s="42"/>
      <c r="O38" s="97">
        <f t="shared" si="1"/>
        <v>0</v>
      </c>
      <c r="P38" s="42"/>
      <c r="Q38" s="42"/>
      <c r="R38" s="42"/>
      <c r="S38" s="42"/>
      <c r="T38" s="97">
        <f t="shared" si="2"/>
        <v>0</v>
      </c>
      <c r="U38" s="118"/>
      <c r="V38" s="118"/>
      <c r="W38" s="118"/>
      <c r="X38" s="118"/>
      <c r="Y38" s="98">
        <f t="shared" si="3"/>
        <v>0</v>
      </c>
    </row>
    <row r="39" spans="7:25" x14ac:dyDescent="0.15">
      <c r="G39" s="103" t="s">
        <v>812</v>
      </c>
      <c r="H39" s="100" t="s">
        <v>87</v>
      </c>
      <c r="I39" s="97">
        <f t="shared" si="0"/>
        <v>0</v>
      </c>
      <c r="J39" s="42"/>
      <c r="K39" s="42"/>
      <c r="L39" s="42"/>
      <c r="M39" s="42"/>
      <c r="N39" s="42"/>
      <c r="O39" s="97">
        <f t="shared" si="1"/>
        <v>0</v>
      </c>
      <c r="P39" s="42"/>
      <c r="Q39" s="42"/>
      <c r="R39" s="42"/>
      <c r="S39" s="42"/>
      <c r="T39" s="97">
        <f t="shared" si="2"/>
        <v>0</v>
      </c>
      <c r="U39" s="118"/>
      <c r="V39" s="118"/>
      <c r="W39" s="118"/>
      <c r="X39" s="118"/>
      <c r="Y39" s="98">
        <f t="shared" si="3"/>
        <v>0</v>
      </c>
    </row>
    <row r="40" spans="7:25" x14ac:dyDescent="0.15">
      <c r="G40" s="103" t="s">
        <v>813</v>
      </c>
      <c r="H40" s="100" t="s">
        <v>89</v>
      </c>
      <c r="I40" s="97">
        <f t="shared" si="0"/>
        <v>0</v>
      </c>
      <c r="J40" s="42"/>
      <c r="K40" s="42"/>
      <c r="L40" s="42"/>
      <c r="M40" s="42"/>
      <c r="N40" s="42"/>
      <c r="O40" s="97">
        <f t="shared" si="1"/>
        <v>0</v>
      </c>
      <c r="P40" s="42"/>
      <c r="Q40" s="42"/>
      <c r="R40" s="42"/>
      <c r="S40" s="42"/>
      <c r="T40" s="97">
        <f t="shared" si="2"/>
        <v>0</v>
      </c>
      <c r="U40" s="118"/>
      <c r="V40" s="118"/>
      <c r="W40" s="118"/>
      <c r="X40" s="118"/>
      <c r="Y40" s="98">
        <f t="shared" si="3"/>
        <v>0</v>
      </c>
    </row>
    <row r="41" spans="7:25" x14ac:dyDescent="0.15">
      <c r="G41" s="111" t="s">
        <v>814</v>
      </c>
      <c r="H41" s="100" t="s">
        <v>91</v>
      </c>
      <c r="I41" s="97">
        <f t="shared" si="0"/>
        <v>0</v>
      </c>
      <c r="J41" s="42"/>
      <c r="K41" s="42"/>
      <c r="L41" s="42"/>
      <c r="M41" s="42"/>
      <c r="N41" s="42"/>
      <c r="O41" s="97">
        <f t="shared" si="1"/>
        <v>0</v>
      </c>
      <c r="P41" s="42"/>
      <c r="Q41" s="42"/>
      <c r="R41" s="42"/>
      <c r="S41" s="42"/>
      <c r="T41" s="97">
        <f t="shared" si="2"/>
        <v>0</v>
      </c>
      <c r="U41" s="118"/>
      <c r="V41" s="118"/>
      <c r="W41" s="118"/>
      <c r="X41" s="118"/>
      <c r="Y41" s="98">
        <f t="shared" si="3"/>
        <v>0</v>
      </c>
    </row>
    <row r="42" spans="7:25" ht="21" x14ac:dyDescent="0.15">
      <c r="G42" s="106" t="s">
        <v>921</v>
      </c>
      <c r="H42" s="100" t="s">
        <v>93</v>
      </c>
      <c r="I42" s="97">
        <f t="shared" si="0"/>
        <v>0</v>
      </c>
      <c r="J42" s="42"/>
      <c r="K42" s="42"/>
      <c r="L42" s="42"/>
      <c r="M42" s="42"/>
      <c r="N42" s="42"/>
      <c r="O42" s="97">
        <f t="shared" si="1"/>
        <v>0</v>
      </c>
      <c r="P42" s="42"/>
      <c r="Q42" s="42"/>
      <c r="R42" s="42"/>
      <c r="S42" s="42"/>
      <c r="T42" s="97">
        <f t="shared" si="2"/>
        <v>0</v>
      </c>
      <c r="U42" s="118"/>
      <c r="V42" s="118"/>
      <c r="W42" s="118"/>
      <c r="X42" s="118"/>
      <c r="Y42" s="98">
        <f t="shared" si="3"/>
        <v>0</v>
      </c>
    </row>
    <row r="43" spans="7:25" ht="37.5" customHeight="1" x14ac:dyDescent="0.15">
      <c r="G43" s="112" t="s">
        <v>815</v>
      </c>
      <c r="H43" s="100" t="s">
        <v>95</v>
      </c>
      <c r="I43" s="97">
        <f t="shared" si="0"/>
        <v>0</v>
      </c>
      <c r="J43" s="42"/>
      <c r="K43" s="42"/>
      <c r="L43" s="42"/>
      <c r="M43" s="42"/>
      <c r="N43" s="42"/>
      <c r="O43" s="97">
        <f t="shared" si="1"/>
        <v>0</v>
      </c>
      <c r="P43" s="42"/>
      <c r="Q43" s="42"/>
      <c r="R43" s="42"/>
      <c r="S43" s="42"/>
      <c r="T43" s="97">
        <f t="shared" si="2"/>
        <v>0</v>
      </c>
      <c r="U43" s="118"/>
      <c r="V43" s="118"/>
      <c r="W43" s="118"/>
      <c r="X43" s="118"/>
      <c r="Y43" s="98">
        <f t="shared" si="3"/>
        <v>0</v>
      </c>
    </row>
    <row r="44" spans="7:25" x14ac:dyDescent="0.15">
      <c r="G44" s="111" t="s">
        <v>816</v>
      </c>
      <c r="H44" s="100" t="s">
        <v>97</v>
      </c>
      <c r="I44" s="97">
        <f t="shared" si="0"/>
        <v>0</v>
      </c>
      <c r="J44" s="42"/>
      <c r="K44" s="42"/>
      <c r="L44" s="42"/>
      <c r="M44" s="42"/>
      <c r="N44" s="42"/>
      <c r="O44" s="97">
        <f t="shared" si="1"/>
        <v>0</v>
      </c>
      <c r="P44" s="42"/>
      <c r="Q44" s="42"/>
      <c r="R44" s="42"/>
      <c r="S44" s="42"/>
      <c r="T44" s="97">
        <f t="shared" si="2"/>
        <v>0</v>
      </c>
      <c r="U44" s="118"/>
      <c r="V44" s="118"/>
      <c r="W44" s="118"/>
      <c r="X44" s="118"/>
      <c r="Y44" s="98">
        <f t="shared" si="3"/>
        <v>0</v>
      </c>
    </row>
    <row r="45" spans="7:25" ht="21" x14ac:dyDescent="0.15">
      <c r="G45" s="106" t="s">
        <v>921</v>
      </c>
      <c r="H45" s="100" t="s">
        <v>99</v>
      </c>
      <c r="I45" s="97">
        <f t="shared" si="0"/>
        <v>0</v>
      </c>
      <c r="J45" s="42"/>
      <c r="K45" s="42"/>
      <c r="L45" s="42"/>
      <c r="M45" s="42"/>
      <c r="N45" s="42"/>
      <c r="O45" s="97">
        <f t="shared" si="1"/>
        <v>0</v>
      </c>
      <c r="P45" s="42"/>
      <c r="Q45" s="42"/>
      <c r="R45" s="42"/>
      <c r="S45" s="42"/>
      <c r="T45" s="97">
        <f t="shared" si="2"/>
        <v>0</v>
      </c>
      <c r="U45" s="118"/>
      <c r="V45" s="118"/>
      <c r="W45" s="118"/>
      <c r="X45" s="118"/>
      <c r="Y45" s="98">
        <f t="shared" si="3"/>
        <v>0</v>
      </c>
    </row>
    <row r="46" spans="7:25" x14ac:dyDescent="0.15">
      <c r="G46" s="105" t="s">
        <v>817</v>
      </c>
      <c r="H46" s="100" t="s">
        <v>101</v>
      </c>
      <c r="I46" s="97">
        <f t="shared" si="0"/>
        <v>0</v>
      </c>
      <c r="J46" s="42"/>
      <c r="K46" s="42"/>
      <c r="L46" s="42"/>
      <c r="M46" s="42"/>
      <c r="N46" s="42"/>
      <c r="O46" s="97">
        <f t="shared" si="1"/>
        <v>0</v>
      </c>
      <c r="P46" s="42"/>
      <c r="Q46" s="42"/>
      <c r="R46" s="42"/>
      <c r="S46" s="42"/>
      <c r="T46" s="97">
        <f t="shared" si="2"/>
        <v>0</v>
      </c>
      <c r="U46" s="118"/>
      <c r="V46" s="118"/>
      <c r="W46" s="118"/>
      <c r="X46" s="118"/>
      <c r="Y46" s="98">
        <f t="shared" si="3"/>
        <v>0</v>
      </c>
    </row>
    <row r="47" spans="7:25" x14ac:dyDescent="0.15">
      <c r="G47" s="104" t="s">
        <v>818</v>
      </c>
      <c r="H47" s="100" t="s">
        <v>638</v>
      </c>
      <c r="I47" s="97">
        <f t="shared" si="0"/>
        <v>0</v>
      </c>
      <c r="J47" s="42"/>
      <c r="K47" s="42"/>
      <c r="L47" s="42"/>
      <c r="M47" s="42"/>
      <c r="N47" s="42"/>
      <c r="O47" s="97">
        <f t="shared" si="1"/>
        <v>0</v>
      </c>
      <c r="P47" s="42"/>
      <c r="Q47" s="42"/>
      <c r="R47" s="42"/>
      <c r="S47" s="42"/>
      <c r="T47" s="97">
        <f t="shared" si="2"/>
        <v>0</v>
      </c>
      <c r="U47" s="118"/>
      <c r="V47" s="118"/>
      <c r="W47" s="118"/>
      <c r="X47" s="118"/>
      <c r="Y47" s="98">
        <f t="shared" si="3"/>
        <v>0</v>
      </c>
    </row>
    <row r="48" spans="7:25" x14ac:dyDescent="0.15">
      <c r="G48" s="113" t="s">
        <v>622</v>
      </c>
      <c r="H48" s="100" t="s">
        <v>104</v>
      </c>
      <c r="I48" s="97">
        <f>SUM(I6,I8,I12,I17:I21,I27:I29,I33:I36,I41,I43,I44,I46:I47)</f>
        <v>0</v>
      </c>
      <c r="J48" s="97">
        <f>SUM(J6,J8,J12,J17:J21,J27:J29,J33:J36,J41,J43,J44,J46:J47)</f>
        <v>0</v>
      </c>
      <c r="K48" s="97">
        <f t="shared" ref="K48:X48" si="9">SUM(K6,K8,K12,K17:K21,K27:K29,K33:K36,K41,K43,K44,K46:K47)</f>
        <v>0</v>
      </c>
      <c r="L48" s="97">
        <f t="shared" si="9"/>
        <v>0</v>
      </c>
      <c r="M48" s="97">
        <f t="shared" si="9"/>
        <v>0</v>
      </c>
      <c r="N48" s="97">
        <f t="shared" si="9"/>
        <v>0</v>
      </c>
      <c r="O48" s="97">
        <f t="shared" si="9"/>
        <v>0</v>
      </c>
      <c r="P48" s="97">
        <f t="shared" si="9"/>
        <v>0</v>
      </c>
      <c r="Q48" s="97">
        <f t="shared" si="9"/>
        <v>0</v>
      </c>
      <c r="R48" s="97">
        <f t="shared" si="9"/>
        <v>0</v>
      </c>
      <c r="S48" s="97">
        <f t="shared" si="9"/>
        <v>0</v>
      </c>
      <c r="T48" s="97">
        <f t="shared" si="9"/>
        <v>0</v>
      </c>
      <c r="U48" s="97">
        <f t="shared" si="9"/>
        <v>0</v>
      </c>
      <c r="V48" s="97">
        <f t="shared" si="9"/>
        <v>0</v>
      </c>
      <c r="W48" s="97">
        <f t="shared" si="9"/>
        <v>0</v>
      </c>
      <c r="X48" s="97">
        <f t="shared" si="9"/>
        <v>0</v>
      </c>
      <c r="Y48" s="98">
        <f>SUM(I6:X48)</f>
        <v>0</v>
      </c>
    </row>
    <row r="50" spans="7:12" x14ac:dyDescent="0.15">
      <c r="G50" s="91" t="s">
        <v>819</v>
      </c>
    </row>
    <row r="52" spans="7:12" ht="21.75" customHeight="1" x14ac:dyDescent="0.15">
      <c r="G52" s="114" t="s">
        <v>860</v>
      </c>
      <c r="H52" s="122" t="s">
        <v>917</v>
      </c>
      <c r="I52" s="182"/>
      <c r="J52" s="136" t="s">
        <v>862</v>
      </c>
      <c r="L52" s="115"/>
    </row>
    <row r="53" spans="7:12" x14ac:dyDescent="0.15">
      <c r="G53" s="114"/>
      <c r="H53" s="122"/>
      <c r="I53" s="120"/>
      <c r="J53" s="114"/>
      <c r="L53" s="115"/>
    </row>
    <row r="54" spans="7:12" ht="33.75" customHeight="1" x14ac:dyDescent="0.15">
      <c r="G54" s="116" t="s">
        <v>861</v>
      </c>
      <c r="H54" s="122" t="s">
        <v>918</v>
      </c>
      <c r="I54" s="183"/>
      <c r="J54" s="136" t="s">
        <v>862</v>
      </c>
      <c r="L54" s="115"/>
    </row>
    <row r="55" spans="7:12" x14ac:dyDescent="0.15">
      <c r="G55" s="114"/>
      <c r="H55" s="121"/>
      <c r="I55" s="121"/>
      <c r="J55" s="114"/>
      <c r="L55" s="115"/>
    </row>
    <row r="56" spans="7:12" ht="22.5" customHeight="1" x14ac:dyDescent="0.15">
      <c r="G56" s="116" t="s">
        <v>924</v>
      </c>
      <c r="H56" s="122" t="s">
        <v>919</v>
      </c>
      <c r="I56" s="183"/>
      <c r="J56" s="136" t="s">
        <v>862</v>
      </c>
      <c r="L56" s="115"/>
    </row>
  </sheetData>
  <sheetProtection algorithmName="SHA-512" hashValue="qyA3BIKT/fbIOJufQdFPHPdqctjKQ15BukT6USMlQBow+LBwZoirMbytTxy7XpX87pIT0I++S4yMxcwrxfDHVA==" saltValue="OqA1BOUrViIEJcMkoTYNQQ==" spinCount="100000" sheet="1" objects="1" scenarios="1" selectLockedCells="1"/>
  <mergeCells count="13">
    <mergeCell ref="P3:S3"/>
    <mergeCell ref="T3:T4"/>
    <mergeCell ref="U3:X3"/>
    <mergeCell ref="G1:X1"/>
    <mergeCell ref="G2:G4"/>
    <mergeCell ref="H2:H4"/>
    <mergeCell ref="I2:N2"/>
    <mergeCell ref="O2:S2"/>
    <mergeCell ref="T2:X2"/>
    <mergeCell ref="I3:I4"/>
    <mergeCell ref="J3:M3"/>
    <mergeCell ref="N3:N4"/>
    <mergeCell ref="O3:O4"/>
  </mergeCells>
  <conditionalFormatting sqref="I52">
    <cfRule type="expression" dxfId="27" priority="3">
      <formula>ISBLANK(I52)</formula>
    </cfRule>
    <cfRule type="expression" dxfId="26" priority="6">
      <formula>I52&gt;1</formula>
    </cfRule>
  </conditionalFormatting>
  <conditionalFormatting sqref="I54">
    <cfRule type="expression" dxfId="25" priority="2">
      <formula>ISBLANK(I54)</formula>
    </cfRule>
    <cfRule type="expression" dxfId="24" priority="5">
      <formula>I54&gt;1</formula>
    </cfRule>
  </conditionalFormatting>
  <conditionalFormatting sqref="I56">
    <cfRule type="expression" dxfId="23" priority="1">
      <formula>ISBLANK(I56)</formula>
    </cfRule>
    <cfRule type="expression" dxfId="22" priority="4">
      <formula>I56&gt;1</formula>
    </cfRule>
  </conditionalFormatting>
  <conditionalFormatting sqref="I6:X48">
    <cfRule type="expression" dxfId="21" priority="7">
      <formula>MOD(I6,1)&gt;0</formula>
    </cfRule>
    <cfRule type="expression" dxfId="20" priority="9">
      <formula>ISTEXT(I6)</formula>
    </cfRule>
  </conditionalFormatting>
  <conditionalFormatting sqref="J6:N7 P6:S7 U6:X7 J9:N11 P9:S11 U9:X11 J13:N20 P13:S20 U13:X20 J22:N28 P22:S28 U22:X28 J30:N35 P30:S35 U30:X35 J37:N47 P37:S47 U37:X47">
    <cfRule type="expression" dxfId="19" priority="8">
      <formula>_xlfn.ISFORMULA(J6)</formula>
    </cfRule>
  </conditionalFormatting>
  <conditionalFormatting sqref="J7:X7">
    <cfRule type="expression" dxfId="18" priority="13">
      <formula>J7&gt;J6</formula>
    </cfRule>
  </conditionalFormatting>
  <conditionalFormatting sqref="J26:X26">
    <cfRule type="expression" dxfId="17" priority="12">
      <formula>J26&gt;J21</formula>
    </cfRule>
  </conditionalFormatting>
  <conditionalFormatting sqref="J42:X42">
    <cfRule type="expression" dxfId="16" priority="11">
      <formula>J42&gt;J41</formula>
    </cfRule>
  </conditionalFormatting>
  <conditionalFormatting sqref="J45:X45">
    <cfRule type="expression" dxfId="15" priority="10">
      <formula>J45&gt;J44</formula>
    </cfRule>
  </conditionalFormatting>
  <conditionalFormatting sqref="N6:N48">
    <cfRule type="expression" dxfId="14" priority="14">
      <formula>$N6&gt;$I6</formula>
    </cfRule>
  </conditionalFormatting>
  <pageMargins left="0.7" right="0.7" top="0.75" bottom="0.75" header="0.3" footer="0.3"/>
  <pageSetup paperSize="9" orientation="portrait" r:id="rId1"/>
  <ignoredErrors>
    <ignoredError sqref="H6:H48 H53 H55" numberStoredAsText="1"/>
    <ignoredError sqref="I6:I48 J12:N12 P12:S12 U12:X12 K21:N21 P21:S21 U21:X21 J29:N29 P29:S29 U29:X29 J36:N36 P36:S36 U36:X36" formulaRange="1"/>
    <ignoredError sqref="O8:O11 T8:T11 O13:O20 T13:T20 O22:O28 T22:T28 O30:O35 T30:T35" formula="1"/>
    <ignoredError sqref="T12 O12 T21 O21 T29 O29 T36 O36" formula="1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A3D4-DCF4-4BA5-95F8-182C8F2361D6}">
  <dimension ref="A1:N33"/>
  <sheetViews>
    <sheetView topLeftCell="G1" zoomScaleNormal="100" workbookViewId="0">
      <selection activeCell="J6" sqref="J6"/>
    </sheetView>
  </sheetViews>
  <sheetFormatPr defaultColWidth="9.140625" defaultRowHeight="10.5" x14ac:dyDescent="0.15"/>
  <cols>
    <col min="1" max="1" width="4.85546875" style="67" hidden="1" customWidth="1"/>
    <col min="2" max="2" width="12.140625" style="67" hidden="1" customWidth="1"/>
    <col min="3" max="3" width="7.42578125" style="67" hidden="1" customWidth="1"/>
    <col min="4" max="4" width="6.140625" style="67" hidden="1" customWidth="1"/>
    <col min="5" max="5" width="5.28515625" style="67" hidden="1" customWidth="1"/>
    <col min="6" max="6" width="7.7109375" style="67" hidden="1" customWidth="1"/>
    <col min="7" max="7" width="62" style="67" customWidth="1"/>
    <col min="8" max="8" width="8.140625" style="67" customWidth="1"/>
    <col min="9" max="9" width="17.28515625" style="67" customWidth="1"/>
    <col min="10" max="13" width="24.28515625" style="67" customWidth="1"/>
    <col min="14" max="14" width="7.42578125" style="67" customWidth="1"/>
    <col min="15" max="16384" width="9.140625" style="67"/>
  </cols>
  <sheetData>
    <row r="1" spans="1:14" ht="12.75" x14ac:dyDescent="0.15">
      <c r="G1" s="221" t="s">
        <v>737</v>
      </c>
      <c r="H1" s="221"/>
      <c r="I1" s="221"/>
      <c r="J1" s="221"/>
      <c r="K1" s="221"/>
      <c r="L1" s="221"/>
      <c r="M1" s="221"/>
      <c r="N1" s="148"/>
    </row>
    <row r="2" spans="1:14" x14ac:dyDescent="0.15">
      <c r="G2" s="223" t="s">
        <v>738</v>
      </c>
      <c r="H2" s="223" t="s">
        <v>2</v>
      </c>
      <c r="I2" s="223" t="s">
        <v>626</v>
      </c>
      <c r="J2" s="216" t="s">
        <v>739</v>
      </c>
      <c r="K2" s="217"/>
      <c r="L2" s="217"/>
      <c r="M2" s="218"/>
    </row>
    <row r="3" spans="1:14" ht="54" customHeight="1" x14ac:dyDescent="0.15">
      <c r="G3" s="223"/>
      <c r="H3" s="223"/>
      <c r="I3" s="223"/>
      <c r="J3" s="84" t="s">
        <v>740</v>
      </c>
      <c r="K3" s="84" t="s">
        <v>771</v>
      </c>
      <c r="L3" s="84" t="s">
        <v>741</v>
      </c>
      <c r="M3" s="84" t="s">
        <v>742</v>
      </c>
    </row>
    <row r="4" spans="1:14" ht="11.25" thickBot="1" x14ac:dyDescent="0.2">
      <c r="A4" s="187">
        <f>'Раздел 0'!M27</f>
        <v>0</v>
      </c>
      <c r="B4" s="185">
        <f>'Раздел 1'!D15</f>
        <v>0</v>
      </c>
      <c r="C4" s="184" t="str" cm="1">
        <f t="array" ref="C4">_xlfn.IFS(SUM('Раздел 1'!$D$5:$D$6)&gt;0,"ФКиС",SUM('Раздел 1'!$D$7:$D$8)&gt;0,"Образование",SUM('Раздел 1'!$D$9:$D$10)&gt;0,"Другая")</f>
        <v>ФКиС</v>
      </c>
      <c r="D4" s="184" t="str" cm="1">
        <f t="array" ref="D4">_xlfn.IFS(SUM('Раздел 1'!$E$12)&gt;0,"СШ",SUM('Раздел 1'!$F$12)&gt;0,"СШОР",SUM('Раздел 1'!$G$12)&gt;0,"УОР",SUM('Раздел 1'!$H$12)&gt;0,"ЦСП",SUM('Раздел 1'!$I$12)&gt;0,"ДРУГИЕ",SUM('Раздел 1'!$E$13)&gt;0,"ОСП СШ",SUM('Раздел 1'!$F$13)&gt;0,"ОСП СШОР",SUM('Раздел 1'!$I$13)&gt;0,"ОСП ДРУГИЕ")</f>
        <v>ЦСП</v>
      </c>
      <c r="E4" s="184">
        <f>IF(SUM('Раздел 1'!$D$12)&gt;0,SUM('Раздел 1'!$D$13),"")</f>
        <v>0</v>
      </c>
      <c r="F4" s="184" t="e" cm="1">
        <f t="array" ref="F4">_xlfn.IFS(SUM('Раздел 1'!$D$19)&gt;0,"РФ",SUM('Раздел 1'!$E$19)&gt;0,"СУБЪЕКТ",SUM('Раздел 1'!$F$19:$G$19)&gt;0,"МУНИЦИПАЛ",SUM('Раздел 1'!$H$19:$I$19)&gt;0,"ИНЫЕ")</f>
        <v>#N/A</v>
      </c>
      <c r="G4" s="74">
        <v>1</v>
      </c>
      <c r="H4" s="133" t="s">
        <v>743</v>
      </c>
      <c r="I4" s="74">
        <v>3</v>
      </c>
      <c r="J4" s="74">
        <v>4</v>
      </c>
      <c r="K4" s="74">
        <v>5</v>
      </c>
      <c r="L4" s="74">
        <v>6</v>
      </c>
      <c r="M4" s="74">
        <v>7</v>
      </c>
      <c r="N4" s="134">
        <v>8</v>
      </c>
    </row>
    <row r="5" spans="1:14" ht="15" customHeight="1" x14ac:dyDescent="0.15">
      <c r="G5" s="131" t="s">
        <v>744</v>
      </c>
      <c r="H5" s="132" t="s">
        <v>22</v>
      </c>
      <c r="I5" s="137">
        <f>SUM(I6:I7,I9,I11:I12,I16,I21,I25)</f>
        <v>0</v>
      </c>
      <c r="J5" s="137">
        <f>SUM(J6:J7,J9,J11:J12,J16,J21,J25)</f>
        <v>0</v>
      </c>
      <c r="K5" s="137">
        <f t="shared" ref="K5:M5" si="0">SUM(K6:K7,K9,K11:K12,K16,K21,K25)</f>
        <v>0</v>
      </c>
      <c r="L5" s="137">
        <f t="shared" si="0"/>
        <v>0</v>
      </c>
      <c r="M5" s="137">
        <f t="shared" si="0"/>
        <v>0</v>
      </c>
      <c r="N5" s="130">
        <f>SUM(I5:M25)</f>
        <v>0</v>
      </c>
    </row>
    <row r="6" spans="1:14" ht="21" x14ac:dyDescent="0.15">
      <c r="G6" s="124" t="s">
        <v>745</v>
      </c>
      <c r="H6" s="125" t="s">
        <v>24</v>
      </c>
      <c r="I6" s="138">
        <f t="shared" ref="I6:I25" si="1">SUM(J6:M6)</f>
        <v>0</v>
      </c>
      <c r="J6" s="197"/>
      <c r="K6" s="197"/>
      <c r="L6" s="197"/>
      <c r="M6" s="197"/>
      <c r="N6" s="130">
        <f t="shared" ref="N6:N25" si="2">SUM(I6:M6)</f>
        <v>0</v>
      </c>
    </row>
    <row r="7" spans="1:14" x14ac:dyDescent="0.15">
      <c r="G7" s="124" t="s">
        <v>746</v>
      </c>
      <c r="H7" s="123" t="s">
        <v>26</v>
      </c>
      <c r="I7" s="138">
        <f t="shared" si="1"/>
        <v>0</v>
      </c>
      <c r="J7" s="197"/>
      <c r="K7" s="197"/>
      <c r="L7" s="197"/>
      <c r="M7" s="197"/>
      <c r="N7" s="130">
        <f t="shared" si="2"/>
        <v>0</v>
      </c>
    </row>
    <row r="8" spans="1:14" ht="31.5" x14ac:dyDescent="0.15">
      <c r="G8" s="193" t="s">
        <v>914</v>
      </c>
      <c r="H8" s="132" t="s">
        <v>28</v>
      </c>
      <c r="I8" s="138">
        <f t="shared" si="1"/>
        <v>0</v>
      </c>
      <c r="J8" s="197"/>
      <c r="K8" s="197"/>
      <c r="L8" s="197"/>
      <c r="M8" s="197"/>
      <c r="N8" s="130">
        <f t="shared" si="2"/>
        <v>0</v>
      </c>
    </row>
    <row r="9" spans="1:14" x14ac:dyDescent="0.15">
      <c r="G9" s="124" t="s">
        <v>747</v>
      </c>
      <c r="H9" s="125" t="s">
        <v>30</v>
      </c>
      <c r="I9" s="138">
        <f t="shared" si="1"/>
        <v>0</v>
      </c>
      <c r="J9" s="197"/>
      <c r="K9" s="197"/>
      <c r="L9" s="197"/>
      <c r="M9" s="197"/>
      <c r="N9" s="130">
        <f t="shared" si="2"/>
        <v>0</v>
      </c>
    </row>
    <row r="10" spans="1:14" ht="31.5" x14ac:dyDescent="0.15">
      <c r="G10" s="193" t="s">
        <v>915</v>
      </c>
      <c r="H10" s="123" t="s">
        <v>32</v>
      </c>
      <c r="I10" s="138">
        <f t="shared" si="1"/>
        <v>0</v>
      </c>
      <c r="J10" s="197"/>
      <c r="K10" s="197"/>
      <c r="L10" s="197"/>
      <c r="M10" s="197"/>
      <c r="N10" s="130">
        <f t="shared" si="2"/>
        <v>0</v>
      </c>
    </row>
    <row r="11" spans="1:14" x14ac:dyDescent="0.15">
      <c r="G11" s="124" t="s">
        <v>748</v>
      </c>
      <c r="H11" s="132" t="s">
        <v>34</v>
      </c>
      <c r="I11" s="138">
        <f t="shared" si="1"/>
        <v>0</v>
      </c>
      <c r="J11" s="197"/>
      <c r="K11" s="197"/>
      <c r="L11" s="197"/>
      <c r="M11" s="197"/>
      <c r="N11" s="130">
        <f t="shared" si="2"/>
        <v>0</v>
      </c>
    </row>
    <row r="12" spans="1:14" x14ac:dyDescent="0.15">
      <c r="G12" s="124" t="s">
        <v>902</v>
      </c>
      <c r="H12" s="125" t="s">
        <v>36</v>
      </c>
      <c r="I12" s="138">
        <f t="shared" si="1"/>
        <v>0</v>
      </c>
      <c r="J12" s="138">
        <f>SUM(J13:J15)</f>
        <v>0</v>
      </c>
      <c r="K12" s="138">
        <f t="shared" ref="K12:M12" si="3">SUM(K13:K15)</f>
        <v>0</v>
      </c>
      <c r="L12" s="138">
        <f t="shared" si="3"/>
        <v>0</v>
      </c>
      <c r="M12" s="138">
        <f t="shared" si="3"/>
        <v>0</v>
      </c>
      <c r="N12" s="130">
        <f t="shared" si="2"/>
        <v>0</v>
      </c>
    </row>
    <row r="13" spans="1:14" ht="21" x14ac:dyDescent="0.15">
      <c r="G13" s="86" t="s">
        <v>749</v>
      </c>
      <c r="H13" s="123" t="s">
        <v>38</v>
      </c>
      <c r="I13" s="138">
        <f t="shared" si="1"/>
        <v>0</v>
      </c>
      <c r="J13" s="197"/>
      <c r="K13" s="197"/>
      <c r="L13" s="197"/>
      <c r="M13" s="197"/>
      <c r="N13" s="130">
        <f t="shared" si="2"/>
        <v>0</v>
      </c>
    </row>
    <row r="14" spans="1:14" x14ac:dyDescent="0.15">
      <c r="G14" s="86" t="s">
        <v>750</v>
      </c>
      <c r="H14" s="132" t="s">
        <v>40</v>
      </c>
      <c r="I14" s="138">
        <f t="shared" si="1"/>
        <v>0</v>
      </c>
      <c r="J14" s="197"/>
      <c r="K14" s="197"/>
      <c r="L14" s="197"/>
      <c r="M14" s="197"/>
      <c r="N14" s="130">
        <f t="shared" si="2"/>
        <v>0</v>
      </c>
    </row>
    <row r="15" spans="1:14" x14ac:dyDescent="0.15">
      <c r="G15" s="86" t="s">
        <v>751</v>
      </c>
      <c r="H15" s="125" t="s">
        <v>42</v>
      </c>
      <c r="I15" s="138">
        <f t="shared" si="1"/>
        <v>0</v>
      </c>
      <c r="J15" s="197"/>
      <c r="K15" s="197"/>
      <c r="L15" s="197"/>
      <c r="M15" s="197"/>
      <c r="N15" s="130">
        <f t="shared" si="2"/>
        <v>0</v>
      </c>
    </row>
    <row r="16" spans="1:14" ht="31.5" x14ac:dyDescent="0.15">
      <c r="G16" s="124" t="s">
        <v>903</v>
      </c>
      <c r="H16" s="123" t="s">
        <v>44</v>
      </c>
      <c r="I16" s="138">
        <f t="shared" si="1"/>
        <v>0</v>
      </c>
      <c r="J16" s="138">
        <f>SUM(J17:J20)</f>
        <v>0</v>
      </c>
      <c r="K16" s="138">
        <f t="shared" ref="K16:M16" si="4">SUM(K17:K20)</f>
        <v>0</v>
      </c>
      <c r="L16" s="138">
        <f t="shared" si="4"/>
        <v>0</v>
      </c>
      <c r="M16" s="138">
        <f t="shared" si="4"/>
        <v>0</v>
      </c>
      <c r="N16" s="130">
        <f t="shared" si="2"/>
        <v>0</v>
      </c>
    </row>
    <row r="17" spans="7:14" ht="21" x14ac:dyDescent="0.15">
      <c r="G17" s="193" t="s">
        <v>752</v>
      </c>
      <c r="H17" s="132" t="s">
        <v>46</v>
      </c>
      <c r="I17" s="138">
        <f t="shared" si="1"/>
        <v>0</v>
      </c>
      <c r="J17" s="197"/>
      <c r="K17" s="197"/>
      <c r="L17" s="197"/>
      <c r="M17" s="197"/>
      <c r="N17" s="130">
        <f t="shared" si="2"/>
        <v>0</v>
      </c>
    </row>
    <row r="18" spans="7:14" x14ac:dyDescent="0.15">
      <c r="G18" s="193" t="s">
        <v>753</v>
      </c>
      <c r="H18" s="125" t="s">
        <v>48</v>
      </c>
      <c r="I18" s="138">
        <f t="shared" si="1"/>
        <v>0</v>
      </c>
      <c r="J18" s="197"/>
      <c r="K18" s="197"/>
      <c r="L18" s="197"/>
      <c r="M18" s="197"/>
      <c r="N18" s="130">
        <f t="shared" si="2"/>
        <v>0</v>
      </c>
    </row>
    <row r="19" spans="7:14" x14ac:dyDescent="0.15">
      <c r="G19" s="194" t="s">
        <v>754</v>
      </c>
      <c r="H19" s="123" t="s">
        <v>50</v>
      </c>
      <c r="I19" s="138">
        <f t="shared" si="1"/>
        <v>0</v>
      </c>
      <c r="J19" s="197"/>
      <c r="K19" s="197"/>
      <c r="L19" s="197"/>
      <c r="M19" s="197"/>
      <c r="N19" s="130">
        <f t="shared" si="2"/>
        <v>0</v>
      </c>
    </row>
    <row r="20" spans="7:14" x14ac:dyDescent="0.15">
      <c r="G20" s="193" t="s">
        <v>755</v>
      </c>
      <c r="H20" s="132" t="s">
        <v>52</v>
      </c>
      <c r="I20" s="138">
        <f t="shared" si="1"/>
        <v>0</v>
      </c>
      <c r="J20" s="197"/>
      <c r="K20" s="197"/>
      <c r="L20" s="197"/>
      <c r="M20" s="197"/>
      <c r="N20" s="130">
        <f t="shared" si="2"/>
        <v>0</v>
      </c>
    </row>
    <row r="21" spans="7:14" x14ac:dyDescent="0.15">
      <c r="G21" s="124" t="s">
        <v>904</v>
      </c>
      <c r="H21" s="125" t="s">
        <v>53</v>
      </c>
      <c r="I21" s="138">
        <f t="shared" si="1"/>
        <v>0</v>
      </c>
      <c r="J21" s="138">
        <f>SUM(J22:J24)</f>
        <v>0</v>
      </c>
      <c r="K21" s="138">
        <f t="shared" ref="K21:M21" si="5">SUM(K22:K24)</f>
        <v>0</v>
      </c>
      <c r="L21" s="138">
        <f t="shared" si="5"/>
        <v>0</v>
      </c>
      <c r="M21" s="138">
        <f t="shared" si="5"/>
        <v>0</v>
      </c>
      <c r="N21" s="130">
        <f t="shared" si="2"/>
        <v>0</v>
      </c>
    </row>
    <row r="22" spans="7:14" ht="21" x14ac:dyDescent="0.15">
      <c r="G22" s="193" t="s">
        <v>756</v>
      </c>
      <c r="H22" s="123" t="s">
        <v>55</v>
      </c>
      <c r="I22" s="138">
        <f t="shared" si="1"/>
        <v>0</v>
      </c>
      <c r="J22" s="197"/>
      <c r="K22" s="197"/>
      <c r="L22" s="197"/>
      <c r="M22" s="197"/>
      <c r="N22" s="130">
        <f t="shared" si="2"/>
        <v>0</v>
      </c>
    </row>
    <row r="23" spans="7:14" ht="21" x14ac:dyDescent="0.15">
      <c r="G23" s="193" t="s">
        <v>757</v>
      </c>
      <c r="H23" s="132" t="s">
        <v>57</v>
      </c>
      <c r="I23" s="138">
        <f t="shared" si="1"/>
        <v>0</v>
      </c>
      <c r="J23" s="197"/>
      <c r="K23" s="197"/>
      <c r="L23" s="197"/>
      <c r="M23" s="197"/>
      <c r="N23" s="130">
        <f t="shared" si="2"/>
        <v>0</v>
      </c>
    </row>
    <row r="24" spans="7:14" ht="21" x14ac:dyDescent="0.15">
      <c r="G24" s="193" t="s">
        <v>758</v>
      </c>
      <c r="H24" s="125" t="s">
        <v>59</v>
      </c>
      <c r="I24" s="138">
        <f t="shared" si="1"/>
        <v>0</v>
      </c>
      <c r="J24" s="197"/>
      <c r="K24" s="197"/>
      <c r="L24" s="197"/>
      <c r="M24" s="197"/>
      <c r="N24" s="130">
        <f t="shared" si="2"/>
        <v>0</v>
      </c>
    </row>
    <row r="25" spans="7:14" x14ac:dyDescent="0.15">
      <c r="G25" s="124" t="s">
        <v>759</v>
      </c>
      <c r="H25" s="123" t="s">
        <v>61</v>
      </c>
      <c r="I25" s="138">
        <f t="shared" si="1"/>
        <v>0</v>
      </c>
      <c r="J25" s="197"/>
      <c r="K25" s="197"/>
      <c r="L25" s="197"/>
      <c r="M25" s="197"/>
      <c r="N25" s="130">
        <f t="shared" si="2"/>
        <v>0</v>
      </c>
    </row>
    <row r="26" spans="7:14" x14ac:dyDescent="0.15">
      <c r="G26" s="66"/>
      <c r="H26" s="76"/>
      <c r="I26" s="66"/>
      <c r="J26" s="66"/>
      <c r="K26" s="66"/>
      <c r="L26" s="66"/>
      <c r="M26" s="66"/>
      <c r="N26" s="66"/>
    </row>
    <row r="27" spans="7:14" ht="18" customHeight="1" x14ac:dyDescent="0.15">
      <c r="G27" s="126" t="s">
        <v>760</v>
      </c>
      <c r="H27" s="125" t="s">
        <v>884</v>
      </c>
      <c r="I27" s="203"/>
      <c r="J27" s="66"/>
      <c r="K27" s="66"/>
      <c r="L27" s="66"/>
      <c r="M27" s="66"/>
      <c r="N27" s="66"/>
    </row>
    <row r="29" spans="7:14" ht="42" x14ac:dyDescent="0.15">
      <c r="G29" s="127" t="s">
        <v>901</v>
      </c>
      <c r="H29" s="219"/>
      <c r="I29" s="219"/>
      <c r="J29" s="76"/>
      <c r="K29" s="199"/>
      <c r="L29" s="76"/>
      <c r="M29" s="195"/>
      <c r="N29" s="126"/>
    </row>
    <row r="30" spans="7:14" ht="22.5" customHeight="1" x14ac:dyDescent="0.15">
      <c r="H30" s="222" t="s">
        <v>933</v>
      </c>
      <c r="I30" s="222"/>
      <c r="J30" s="128"/>
      <c r="K30" s="69" t="s">
        <v>761</v>
      </c>
      <c r="L30" s="128"/>
      <c r="M30" s="129" t="s">
        <v>762</v>
      </c>
    </row>
    <row r="31" spans="7:14" x14ac:dyDescent="0.15">
      <c r="H31" s="129"/>
      <c r="I31" s="129"/>
      <c r="J31" s="128"/>
      <c r="K31" s="129"/>
      <c r="L31" s="128"/>
      <c r="M31" s="129"/>
    </row>
    <row r="32" spans="7:14" ht="27" customHeight="1" x14ac:dyDescent="0.15">
      <c r="H32" s="220"/>
      <c r="I32" s="220"/>
      <c r="J32" s="135"/>
      <c r="K32" s="200"/>
      <c r="L32" s="135"/>
      <c r="M32" s="196" t="s">
        <v>927</v>
      </c>
    </row>
    <row r="33" spans="8:13" ht="21" customHeight="1" x14ac:dyDescent="0.15">
      <c r="H33" s="222" t="s">
        <v>934</v>
      </c>
      <c r="I33" s="222"/>
      <c r="J33" s="126"/>
      <c r="K33" s="69" t="s">
        <v>763</v>
      </c>
      <c r="L33" s="126"/>
      <c r="M33" s="76" t="s">
        <v>764</v>
      </c>
    </row>
  </sheetData>
  <sheetProtection algorithmName="SHA-512" hashValue="mkEdOvw+eHf4LEAkSvZBS9KSZTjm8AGxDLe3afi6UWplyWn8IETLzrh97E6jtLuV0FMn+PRyIqPX+AJ8BEWVCw==" saltValue="HRZ2SuvuA94JOfCJqEtlMA==" spinCount="100000" sheet="1" selectLockedCells="1"/>
  <mergeCells count="9">
    <mergeCell ref="J2:M2"/>
    <mergeCell ref="H29:I29"/>
    <mergeCell ref="H32:I32"/>
    <mergeCell ref="G1:M1"/>
    <mergeCell ref="H33:I33"/>
    <mergeCell ref="G2:G3"/>
    <mergeCell ref="H2:H3"/>
    <mergeCell ref="I2:I3"/>
    <mergeCell ref="H30:I30"/>
  </mergeCells>
  <phoneticPr fontId="20" type="noConversion"/>
  <conditionalFormatting sqref="H29 K29 H32 K32">
    <cfRule type="expression" dxfId="13" priority="4">
      <formula>ISBLANK(H29)</formula>
    </cfRule>
  </conditionalFormatting>
  <conditionalFormatting sqref="J8:M8">
    <cfRule type="expression" dxfId="8" priority="41">
      <formula>J8&gt;J7</formula>
    </cfRule>
  </conditionalFormatting>
  <conditionalFormatting sqref="J10:M10">
    <cfRule type="expression" dxfId="6" priority="40">
      <formula>J10&gt;J9</formula>
    </cfRule>
  </conditionalFormatting>
  <conditionalFormatting sqref="J22:M25 J6:M11 J13:M15 J17:M20">
    <cfRule type="expression" dxfId="4" priority="18">
      <formula>NOT(OR(J6=ROUND(J6,1),J6=INT(J6)))</formula>
    </cfRule>
    <cfRule type="expression" dxfId="3" priority="43">
      <formula>_xlfn.ISFORMULA(J6)</formula>
    </cfRule>
    <cfRule type="expression" dxfId="2" priority="44">
      <formula>ISTEXT(J6)</formula>
    </cfRule>
  </conditionalFormatting>
  <pageMargins left="0.7" right="0.7" top="0.75" bottom="0.75" header="0.3" footer="0.3"/>
  <pageSetup paperSize="9" orientation="portrait" r:id="rId1"/>
  <ignoredErrors>
    <ignoredError sqref="H4:H7 H26:H27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4" operator="beginsWith" id="{682550A7-ED16-41CE-8134-11E0DE40A281}">
            <xm:f>LEFT(H29,LEN("="))="="</xm:f>
            <xm:f>"="</xm:f>
            <x14:dxf>
              <fill>
                <patternFill>
                  <bgColor rgb="FFFF0000"/>
                </patternFill>
              </fill>
            </x14:dxf>
          </x14:cfRule>
          <xm:sqref>H29 K29 H32 K32</xm:sqref>
        </x14:conditionalFormatting>
        <x14:conditionalFormatting xmlns:xm="http://schemas.microsoft.com/office/excel/2006/main">
          <x14:cfRule type="expression" priority="35" id="{96E9F9D7-83A0-4682-853C-CB810A80FF4C}">
            <xm:f>AND($I$17&gt;0,'Раздел 9'!$I$10=0)</xm:f>
            <x14:dxf>
              <fill>
                <patternFill>
                  <bgColor rgb="FFFF0000"/>
                </patternFill>
              </fill>
            </x14:dxf>
          </x14:cfRule>
          <xm:sqref>I17:M17</xm:sqref>
        </x14:conditionalFormatting>
        <x14:conditionalFormatting xmlns:xm="http://schemas.microsoft.com/office/excel/2006/main">
          <x14:cfRule type="expression" priority="23" id="{FCF0604F-CFDC-470B-8BCB-16E249497703}">
            <xm:f>AND($I$18&gt;0,SUM('Раздел 8'!$Q323:$R323,'Раздел 8'!$AA323:$AB323)=0)</xm:f>
            <x14:dxf>
              <fill>
                <patternFill>
                  <bgColor rgb="FFFF0000"/>
                </patternFill>
              </fill>
            </x14:dxf>
          </x14:cfRule>
          <xm:sqref>I18:M18</xm:sqref>
        </x14:conditionalFormatting>
        <x14:conditionalFormatting xmlns:xm="http://schemas.microsoft.com/office/excel/2006/main">
          <x14:cfRule type="expression" priority="38" id="{5AB6B8A8-C071-4ADF-AB8C-803991A8A8C4}">
            <xm:f>AND($I19&gt;0,'Раздел 9'!$I$14=0)</xm:f>
            <x14:dxf>
              <fill>
                <patternFill>
                  <bgColor rgb="FFFF0000"/>
                </patternFill>
              </fill>
            </x14:dxf>
          </x14:cfRule>
          <xm:sqref>I19:M19</xm:sqref>
        </x14:conditionalFormatting>
        <x14:conditionalFormatting xmlns:xm="http://schemas.microsoft.com/office/excel/2006/main">
          <x14:cfRule type="expression" priority="1" id="{C871C3F7-EC0A-495A-A942-B4CF912DF96E}">
            <xm:f>AND(SUM('Раздел 6'!$AI$323:$AM$323)&gt;0,$I$10=0)</xm:f>
            <x14:dxf>
              <fill>
                <patternFill>
                  <bgColor rgb="FFFFFF00"/>
                </patternFill>
              </fill>
            </x14:dxf>
          </x14:cfRule>
          <xm:sqref>J10:M10</xm:sqref>
        </x14:conditionalFormatting>
        <x14:conditionalFormatting xmlns:xm="http://schemas.microsoft.com/office/excel/2006/main">
          <x14:cfRule type="expression" priority="13" id="{5A27E1F6-6136-4FB9-ADEE-D959278548EE}">
            <xm:f>AND('Раздел 10'!$O$48&gt;0,$I22=0)</xm:f>
            <x14:dxf>
              <fill>
                <patternFill>
                  <bgColor rgb="FFFFFF00"/>
                </patternFill>
              </fill>
            </x14:dxf>
          </x14:cfRule>
          <xm:sqref>J22:M22</xm:sqref>
        </x14:conditionalFormatting>
        <x14:conditionalFormatting xmlns:xm="http://schemas.microsoft.com/office/excel/2006/main">
          <x14:cfRule type="expression" priority="11" id="{5D638315-3806-4BE8-A342-AB7E1F1C5189}">
            <xm:f>AND('Раздел 10'!$I$48&gt;0,$I23=0)</xm:f>
            <x14:dxf>
              <fill>
                <patternFill>
                  <bgColor rgb="FFFFFF00"/>
                </patternFill>
              </fill>
            </x14:dxf>
          </x14:cfRule>
          <xm:sqref>J23:M23</xm:sqref>
        </x14:conditionalFormatting>
        <x14:conditionalFormatting xmlns:xm="http://schemas.microsoft.com/office/excel/2006/main">
          <x14:cfRule type="expression" priority="7" id="{63751ABE-002D-4AAC-8E84-5A778534BAF8}">
            <xm:f>AND('Раздел 10'!$T$48&gt;0,$I$24=0)</xm:f>
            <x14:dxf>
              <fill>
                <patternFill>
                  <bgColor rgb="FFFFFF00"/>
                </patternFill>
              </fill>
            </x14:dxf>
          </x14:cfRule>
          <xm:sqref>J24:M24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Раздел 0</vt:lpstr>
      <vt:lpstr>Раздел 1</vt:lpstr>
      <vt:lpstr>Раздел 2</vt:lpstr>
      <vt:lpstr>Раздел 3</vt:lpstr>
      <vt:lpstr>Раздел 4</vt:lpstr>
      <vt:lpstr>Раздел 5</vt:lpstr>
      <vt:lpstr>Раздел 6</vt:lpstr>
      <vt:lpstr>Раздел 7</vt:lpstr>
      <vt:lpstr>Раздел 8</vt:lpstr>
      <vt:lpstr>Раздел 9</vt:lpstr>
      <vt:lpstr>Раздел 10</vt:lpstr>
      <vt:lpstr>Раздел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STAT26</dc:creator>
  <cp:lastModifiedBy>Ivan Morgan</cp:lastModifiedBy>
  <cp:lastPrinted>2026-07-24T13:16:51Z</cp:lastPrinted>
  <dcterms:created xsi:type="dcterms:W3CDTF">2015-06-05T18:19:34Z</dcterms:created>
  <dcterms:modified xsi:type="dcterms:W3CDTF">2026-09-21T09:53:32Z</dcterms:modified>
</cp:coreProperties>
</file>